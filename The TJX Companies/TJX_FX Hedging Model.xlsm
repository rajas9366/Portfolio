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654d43c501d0a7b/Documents/"/>
    </mc:Choice>
  </mc:AlternateContent>
  <xr:revisionPtr revIDLastSave="1221" documentId="8_{3E22DB37-9491-4E0F-A9B4-64DB21A38AD5}" xr6:coauthVersionLast="47" xr6:coauthVersionMax="47" xr10:uidLastSave="{61C18121-3D46-41BF-9EB3-333181AF756C}"/>
  <bookViews>
    <workbookView xWindow="-108" yWindow="-108" windowWidth="23256" windowHeight="12456" xr2:uid="{263B7C2A-C62A-4B5A-BD2D-ACB6B925FB26}"/>
  </bookViews>
  <sheets>
    <sheet name="Model" sheetId="13" r:id="rId1"/>
    <sheet name="Assumptions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3" l="1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972" i="13"/>
  <c r="F973" i="13"/>
  <c r="F974" i="13"/>
  <c r="F975" i="13"/>
  <c r="F976" i="13"/>
  <c r="F977" i="13"/>
  <c r="F978" i="13"/>
  <c r="F979" i="13"/>
  <c r="F980" i="13"/>
  <c r="F981" i="13"/>
  <c r="F982" i="13"/>
  <c r="F983" i="13"/>
  <c r="F984" i="13"/>
  <c r="F985" i="13"/>
  <c r="F986" i="13"/>
  <c r="F987" i="13"/>
  <c r="F988" i="13"/>
  <c r="F989" i="13"/>
  <c r="F990" i="13"/>
  <c r="F991" i="13"/>
  <c r="F992" i="13"/>
  <c r="F993" i="13"/>
  <c r="F994" i="13"/>
  <c r="F995" i="13"/>
  <c r="F996" i="13"/>
  <c r="F997" i="13"/>
  <c r="F998" i="13"/>
  <c r="F999" i="13"/>
  <c r="F1000" i="13"/>
  <c r="F1001" i="13"/>
  <c r="F1002" i="13"/>
  <c r="F1003" i="13"/>
  <c r="F1004" i="13"/>
  <c r="E1004" i="13"/>
  <c r="E1003" i="13"/>
  <c r="E1002" i="13"/>
  <c r="E1001" i="13"/>
  <c r="E1000" i="13"/>
  <c r="E999" i="13"/>
  <c r="E998" i="13"/>
  <c r="E997" i="13"/>
  <c r="E996" i="13"/>
  <c r="E995" i="13"/>
  <c r="E994" i="13"/>
  <c r="E993" i="13"/>
  <c r="E992" i="13"/>
  <c r="E991" i="13"/>
  <c r="E990" i="13"/>
  <c r="E989" i="13"/>
  <c r="E988" i="13"/>
  <c r="E987" i="13"/>
  <c r="E986" i="13"/>
  <c r="E985" i="13"/>
  <c r="E984" i="13"/>
  <c r="E983" i="13"/>
  <c r="E982" i="13"/>
  <c r="E981" i="13"/>
  <c r="E980" i="13"/>
  <c r="E979" i="13"/>
  <c r="E978" i="13"/>
  <c r="E977" i="13"/>
  <c r="E976" i="13"/>
  <c r="E975" i="13"/>
  <c r="E974" i="13"/>
  <c r="E973" i="13"/>
  <c r="E972" i="13"/>
  <c r="E971" i="13"/>
  <c r="E970" i="13"/>
  <c r="E969" i="13"/>
  <c r="E968" i="13"/>
  <c r="E967" i="13"/>
  <c r="E966" i="13"/>
  <c r="E965" i="13"/>
  <c r="E964" i="13"/>
  <c r="E963" i="13"/>
  <c r="E962" i="13"/>
  <c r="E961" i="13"/>
  <c r="E960" i="13"/>
  <c r="E959" i="13"/>
  <c r="E958" i="13"/>
  <c r="E957" i="13"/>
  <c r="E956" i="13"/>
  <c r="E955" i="13"/>
  <c r="E954" i="13"/>
  <c r="E953" i="13"/>
  <c r="E952" i="13"/>
  <c r="E951" i="13"/>
  <c r="E950" i="13"/>
  <c r="E949" i="13"/>
  <c r="E948" i="13"/>
  <c r="E947" i="13"/>
  <c r="E946" i="13"/>
  <c r="E945" i="13"/>
  <c r="E944" i="13"/>
  <c r="E943" i="13"/>
  <c r="E942" i="13"/>
  <c r="E941" i="13"/>
  <c r="E940" i="13"/>
  <c r="E939" i="13"/>
  <c r="E938" i="13"/>
  <c r="E937" i="13"/>
  <c r="E936" i="13"/>
  <c r="E935" i="13"/>
  <c r="E934" i="13"/>
  <c r="E933" i="13"/>
  <c r="E932" i="13"/>
  <c r="E931" i="13"/>
  <c r="E930" i="13"/>
  <c r="E929" i="13"/>
  <c r="E928" i="13"/>
  <c r="E927" i="13"/>
  <c r="E926" i="13"/>
  <c r="E925" i="13"/>
  <c r="E924" i="13"/>
  <c r="E923" i="13"/>
  <c r="E922" i="13"/>
  <c r="E921" i="13"/>
  <c r="E920" i="13"/>
  <c r="E919" i="13"/>
  <c r="E918" i="13"/>
  <c r="E917" i="13"/>
  <c r="E916" i="13"/>
  <c r="E915" i="13"/>
  <c r="E914" i="13"/>
  <c r="E913" i="13"/>
  <c r="E912" i="13"/>
  <c r="E911" i="13"/>
  <c r="E910" i="13"/>
  <c r="E909" i="13"/>
  <c r="E908" i="13"/>
  <c r="E907" i="13"/>
  <c r="E906" i="13"/>
  <c r="E905" i="13"/>
  <c r="E904" i="13"/>
  <c r="E903" i="13"/>
  <c r="E902" i="13"/>
  <c r="E901" i="13"/>
  <c r="E900" i="13"/>
  <c r="E899" i="13"/>
  <c r="E898" i="13"/>
  <c r="E897" i="13"/>
  <c r="E896" i="13"/>
  <c r="E895" i="13"/>
  <c r="E894" i="13"/>
  <c r="E893" i="13"/>
  <c r="E892" i="13"/>
  <c r="E891" i="13"/>
  <c r="E890" i="13"/>
  <c r="E889" i="13"/>
  <c r="E888" i="13"/>
  <c r="E887" i="13"/>
  <c r="E886" i="13"/>
  <c r="E885" i="13"/>
  <c r="E884" i="13"/>
  <c r="E883" i="13"/>
  <c r="E882" i="13"/>
  <c r="E881" i="13"/>
  <c r="E880" i="13"/>
  <c r="E879" i="13"/>
  <c r="E878" i="13"/>
  <c r="E877" i="13"/>
  <c r="E876" i="13"/>
  <c r="E875" i="13"/>
  <c r="E874" i="13"/>
  <c r="E873" i="13"/>
  <c r="E872" i="13"/>
  <c r="E871" i="13"/>
  <c r="E870" i="13"/>
  <c r="E869" i="13"/>
  <c r="E868" i="13"/>
  <c r="E867" i="13"/>
  <c r="E866" i="13"/>
  <c r="E865" i="13"/>
  <c r="E864" i="13"/>
  <c r="E863" i="13"/>
  <c r="E862" i="13"/>
  <c r="E861" i="13"/>
  <c r="E860" i="13"/>
  <c r="E859" i="13"/>
  <c r="E858" i="13"/>
  <c r="E857" i="13"/>
  <c r="E856" i="13"/>
  <c r="E855" i="13"/>
  <c r="E854" i="13"/>
  <c r="E853" i="13"/>
  <c r="E852" i="13"/>
  <c r="E851" i="13"/>
  <c r="E850" i="13"/>
  <c r="E849" i="13"/>
  <c r="E848" i="13"/>
  <c r="E847" i="13"/>
  <c r="E846" i="13"/>
  <c r="E845" i="13"/>
  <c r="E844" i="13"/>
  <c r="E843" i="13"/>
  <c r="E842" i="13"/>
  <c r="E841" i="13"/>
  <c r="E840" i="13"/>
  <c r="E839" i="13"/>
  <c r="E838" i="13"/>
  <c r="E837" i="13"/>
  <c r="E836" i="13"/>
  <c r="E835" i="13"/>
  <c r="E834" i="13"/>
  <c r="E833" i="13"/>
  <c r="E832" i="13"/>
  <c r="E831" i="13"/>
  <c r="E830" i="13"/>
  <c r="E829" i="13"/>
  <c r="E828" i="13"/>
  <c r="E827" i="13"/>
  <c r="E826" i="13"/>
  <c r="E825" i="13"/>
  <c r="E824" i="13"/>
  <c r="E823" i="13"/>
  <c r="E822" i="13"/>
  <c r="E821" i="13"/>
  <c r="E820" i="13"/>
  <c r="E819" i="13"/>
  <c r="E818" i="13"/>
  <c r="E817" i="13"/>
  <c r="E816" i="13"/>
  <c r="E815" i="13"/>
  <c r="E814" i="13"/>
  <c r="E813" i="13"/>
  <c r="E812" i="13"/>
  <c r="E811" i="13"/>
  <c r="E810" i="13"/>
  <c r="E809" i="13"/>
  <c r="E808" i="13"/>
  <c r="E807" i="13"/>
  <c r="E806" i="13"/>
  <c r="E805" i="13"/>
  <c r="E804" i="13"/>
  <c r="E803" i="13"/>
  <c r="E802" i="13"/>
  <c r="E801" i="13"/>
  <c r="E800" i="13"/>
  <c r="E799" i="13"/>
  <c r="E798" i="13"/>
  <c r="E797" i="13"/>
  <c r="E796" i="13"/>
  <c r="E795" i="13"/>
  <c r="E794" i="13"/>
  <c r="E793" i="13"/>
  <c r="E792" i="13"/>
  <c r="E791" i="13"/>
  <c r="E790" i="13"/>
  <c r="E789" i="13"/>
  <c r="E788" i="13"/>
  <c r="E787" i="13"/>
  <c r="E786" i="13"/>
  <c r="E785" i="13"/>
  <c r="E784" i="13"/>
  <c r="E783" i="13"/>
  <c r="E782" i="13"/>
  <c r="E781" i="13"/>
  <c r="E780" i="13"/>
  <c r="E779" i="13"/>
  <c r="E778" i="13"/>
  <c r="E777" i="13"/>
  <c r="E776" i="13"/>
  <c r="E775" i="13"/>
  <c r="E774" i="13"/>
  <c r="E773" i="13"/>
  <c r="E772" i="13"/>
  <c r="E771" i="13"/>
  <c r="E770" i="13"/>
  <c r="E769" i="13"/>
  <c r="E768" i="13"/>
  <c r="E767" i="13"/>
  <c r="E766" i="13"/>
  <c r="E765" i="13"/>
  <c r="E764" i="13"/>
  <c r="E763" i="13"/>
  <c r="E762" i="13"/>
  <c r="E761" i="13"/>
  <c r="E760" i="13"/>
  <c r="E759" i="13"/>
  <c r="E758" i="13"/>
  <c r="E757" i="13"/>
  <c r="E756" i="13"/>
  <c r="E755" i="13"/>
  <c r="E754" i="13"/>
  <c r="E753" i="13"/>
  <c r="E752" i="13"/>
  <c r="E751" i="13"/>
  <c r="E750" i="13"/>
  <c r="E749" i="13"/>
  <c r="E748" i="13"/>
  <c r="E747" i="13"/>
  <c r="E746" i="13"/>
  <c r="E745" i="13"/>
  <c r="E744" i="13"/>
  <c r="E743" i="13"/>
  <c r="E742" i="13"/>
  <c r="E741" i="13"/>
  <c r="E740" i="13"/>
  <c r="E739" i="13"/>
  <c r="E738" i="13"/>
  <c r="E737" i="13"/>
  <c r="E736" i="13"/>
  <c r="E735" i="13"/>
  <c r="E734" i="13"/>
  <c r="E733" i="13"/>
  <c r="E732" i="13"/>
  <c r="E731" i="13"/>
  <c r="E730" i="13"/>
  <c r="E729" i="13"/>
  <c r="E728" i="13"/>
  <c r="E727" i="13"/>
  <c r="E726" i="13"/>
  <c r="E725" i="13"/>
  <c r="E724" i="13"/>
  <c r="E723" i="13"/>
  <c r="E722" i="13"/>
  <c r="E721" i="13"/>
  <c r="E720" i="13"/>
  <c r="E719" i="13"/>
  <c r="E718" i="13"/>
  <c r="E717" i="13"/>
  <c r="E716" i="13"/>
  <c r="E715" i="13"/>
  <c r="E714" i="13"/>
  <c r="E713" i="13"/>
  <c r="E712" i="13"/>
  <c r="E711" i="13"/>
  <c r="E710" i="13"/>
  <c r="E709" i="13"/>
  <c r="E708" i="13"/>
  <c r="E707" i="13"/>
  <c r="E706" i="13"/>
  <c r="E705" i="13"/>
  <c r="E704" i="13"/>
  <c r="E703" i="13"/>
  <c r="E702" i="13"/>
  <c r="E701" i="13"/>
  <c r="E700" i="13"/>
  <c r="E699" i="13"/>
  <c r="E698" i="13"/>
  <c r="E697" i="13"/>
  <c r="E696" i="13"/>
  <c r="E695" i="13"/>
  <c r="E694" i="13"/>
  <c r="E693" i="13"/>
  <c r="E692" i="13"/>
  <c r="E691" i="13"/>
  <c r="E690" i="13"/>
  <c r="E689" i="13"/>
  <c r="E688" i="13"/>
  <c r="E687" i="13"/>
  <c r="E686" i="13"/>
  <c r="E685" i="13"/>
  <c r="E684" i="13"/>
  <c r="E683" i="13"/>
  <c r="E682" i="13"/>
  <c r="E681" i="13"/>
  <c r="E680" i="13"/>
  <c r="E679" i="13"/>
  <c r="E678" i="13"/>
  <c r="E677" i="13"/>
  <c r="E676" i="13"/>
  <c r="E675" i="13"/>
  <c r="E674" i="13"/>
  <c r="E673" i="13"/>
  <c r="E672" i="13"/>
  <c r="E671" i="13"/>
  <c r="E670" i="13"/>
  <c r="E669" i="13"/>
  <c r="E668" i="13"/>
  <c r="E667" i="13"/>
  <c r="E666" i="13"/>
  <c r="E665" i="13"/>
  <c r="E664" i="13"/>
  <c r="E663" i="13"/>
  <c r="E662" i="13"/>
  <c r="E661" i="13"/>
  <c r="E660" i="13"/>
  <c r="E659" i="13"/>
  <c r="E658" i="13"/>
  <c r="E657" i="13"/>
  <c r="E656" i="13"/>
  <c r="E655" i="13"/>
  <c r="E654" i="13"/>
  <c r="E653" i="13"/>
  <c r="E652" i="13"/>
  <c r="E651" i="13"/>
  <c r="E650" i="13"/>
  <c r="E649" i="13"/>
  <c r="E648" i="13"/>
  <c r="E647" i="13"/>
  <c r="E646" i="13"/>
  <c r="E645" i="13"/>
  <c r="E644" i="13"/>
  <c r="E643" i="13"/>
  <c r="E642" i="13"/>
  <c r="E641" i="13"/>
  <c r="E640" i="13"/>
  <c r="E639" i="13"/>
  <c r="E638" i="13"/>
  <c r="E637" i="13"/>
  <c r="E636" i="13"/>
  <c r="E635" i="13"/>
  <c r="E634" i="13"/>
  <c r="E633" i="13"/>
  <c r="E632" i="13"/>
  <c r="E631" i="13"/>
  <c r="E630" i="13"/>
  <c r="E629" i="13"/>
  <c r="E628" i="13"/>
  <c r="E627" i="13"/>
  <c r="E626" i="13"/>
  <c r="E625" i="13"/>
  <c r="E624" i="13"/>
  <c r="E623" i="13"/>
  <c r="E622" i="13"/>
  <c r="E621" i="13"/>
  <c r="E620" i="13"/>
  <c r="E619" i="13"/>
  <c r="E618" i="13"/>
  <c r="E617" i="13"/>
  <c r="E616" i="13"/>
  <c r="E615" i="13"/>
  <c r="E614" i="13"/>
  <c r="E613" i="13"/>
  <c r="E612" i="13"/>
  <c r="E611" i="13"/>
  <c r="E610" i="13"/>
  <c r="E609" i="13"/>
  <c r="E608" i="13"/>
  <c r="E607" i="13"/>
  <c r="E606" i="13"/>
  <c r="E605" i="13"/>
  <c r="E604" i="13"/>
  <c r="E603" i="13"/>
  <c r="E602" i="13"/>
  <c r="E601" i="13"/>
  <c r="E600" i="13"/>
  <c r="E599" i="13"/>
  <c r="E598" i="13"/>
  <c r="E597" i="13"/>
  <c r="E596" i="13"/>
  <c r="E595" i="13"/>
  <c r="E594" i="13"/>
  <c r="E593" i="13"/>
  <c r="E592" i="13"/>
  <c r="E591" i="13"/>
  <c r="E590" i="13"/>
  <c r="E589" i="13"/>
  <c r="E588" i="13"/>
  <c r="E587" i="13"/>
  <c r="E586" i="13"/>
  <c r="E585" i="13"/>
  <c r="E584" i="13"/>
  <c r="E583" i="13"/>
  <c r="E582" i="13"/>
  <c r="E581" i="13"/>
  <c r="E580" i="13"/>
  <c r="E579" i="13"/>
  <c r="E578" i="13"/>
  <c r="E577" i="13"/>
  <c r="E576" i="13"/>
  <c r="E575" i="13"/>
  <c r="E574" i="13"/>
  <c r="E573" i="13"/>
  <c r="E572" i="13"/>
  <c r="E571" i="13"/>
  <c r="E570" i="13"/>
  <c r="E569" i="13"/>
  <c r="E568" i="13"/>
  <c r="E567" i="13"/>
  <c r="E566" i="13"/>
  <c r="E565" i="13"/>
  <c r="E564" i="13"/>
  <c r="E563" i="13"/>
  <c r="E562" i="13"/>
  <c r="E561" i="13"/>
  <c r="E560" i="13"/>
  <c r="E559" i="13"/>
  <c r="E558" i="13"/>
  <c r="E557" i="13"/>
  <c r="E556" i="13"/>
  <c r="E555" i="13"/>
  <c r="E554" i="13"/>
  <c r="E553" i="13"/>
  <c r="E552" i="13"/>
  <c r="E551" i="13"/>
  <c r="E550" i="13"/>
  <c r="E549" i="13"/>
  <c r="E548" i="13"/>
  <c r="E547" i="13"/>
  <c r="E546" i="13"/>
  <c r="E545" i="13"/>
  <c r="E544" i="13"/>
  <c r="E543" i="13"/>
  <c r="E542" i="13"/>
  <c r="E541" i="13"/>
  <c r="E540" i="13"/>
  <c r="E539" i="13"/>
  <c r="E538" i="13"/>
  <c r="E537" i="13"/>
  <c r="E536" i="13"/>
  <c r="E535" i="13"/>
  <c r="E534" i="13"/>
  <c r="E533" i="13"/>
  <c r="E532" i="13"/>
  <c r="E531" i="13"/>
  <c r="E530" i="13"/>
  <c r="E529" i="13"/>
  <c r="E528" i="13"/>
  <c r="E527" i="13"/>
  <c r="E526" i="13"/>
  <c r="E525" i="13"/>
  <c r="E524" i="13"/>
  <c r="E523" i="13"/>
  <c r="E522" i="13"/>
  <c r="E521" i="13"/>
  <c r="E520" i="13"/>
  <c r="E519" i="13"/>
  <c r="E518" i="13"/>
  <c r="E517" i="13"/>
  <c r="E516" i="13"/>
  <c r="E515" i="13"/>
  <c r="E514" i="13"/>
  <c r="E513" i="13"/>
  <c r="E512" i="13"/>
  <c r="E511" i="13"/>
  <c r="E510" i="13"/>
  <c r="E509" i="13"/>
  <c r="E508" i="13"/>
  <c r="E507" i="13"/>
  <c r="E506" i="13"/>
  <c r="E505" i="13"/>
  <c r="E504" i="13"/>
  <c r="E503" i="13"/>
  <c r="E502" i="13"/>
  <c r="E501" i="13"/>
  <c r="E500" i="13"/>
  <c r="E499" i="13"/>
  <c r="E498" i="13"/>
  <c r="E497" i="13"/>
  <c r="E496" i="13"/>
  <c r="E495" i="13"/>
  <c r="E494" i="13"/>
  <c r="E493" i="13"/>
  <c r="E492" i="13"/>
  <c r="E491" i="13"/>
  <c r="E490" i="13"/>
  <c r="E489" i="13"/>
  <c r="E488" i="13"/>
  <c r="E487" i="13"/>
  <c r="E486" i="13"/>
  <c r="E485" i="13"/>
  <c r="E484" i="13"/>
  <c r="E483" i="13"/>
  <c r="E482" i="13"/>
  <c r="E481" i="13"/>
  <c r="E480" i="13"/>
  <c r="E479" i="13"/>
  <c r="E478" i="13"/>
  <c r="E477" i="13"/>
  <c r="E476" i="13"/>
  <c r="E475" i="13"/>
  <c r="E474" i="13"/>
  <c r="E473" i="13"/>
  <c r="E472" i="13"/>
  <c r="E471" i="13"/>
  <c r="E470" i="13"/>
  <c r="E469" i="13"/>
  <c r="E468" i="13"/>
  <c r="E467" i="13"/>
  <c r="E466" i="13"/>
  <c r="E465" i="13"/>
  <c r="E464" i="13"/>
  <c r="E463" i="13"/>
  <c r="E462" i="13"/>
  <c r="E461" i="13"/>
  <c r="E460" i="13"/>
  <c r="E459" i="13"/>
  <c r="E458" i="13"/>
  <c r="E457" i="13"/>
  <c r="E456" i="13"/>
  <c r="E455" i="13"/>
  <c r="E454" i="13"/>
  <c r="E453" i="13"/>
  <c r="E452" i="13"/>
  <c r="E451" i="13"/>
  <c r="E450" i="13"/>
  <c r="E449" i="13"/>
  <c r="E448" i="13"/>
  <c r="E447" i="13"/>
  <c r="E446" i="13"/>
  <c r="E445" i="13"/>
  <c r="E444" i="13"/>
  <c r="E443" i="13"/>
  <c r="E442" i="13"/>
  <c r="E441" i="13"/>
  <c r="E440" i="13"/>
  <c r="E439" i="13"/>
  <c r="E438" i="13"/>
  <c r="E437" i="13"/>
  <c r="E436" i="13"/>
  <c r="E435" i="13"/>
  <c r="E434" i="13"/>
  <c r="E433" i="13"/>
  <c r="E432" i="13"/>
  <c r="E431" i="13"/>
  <c r="E430" i="13"/>
  <c r="E429" i="13"/>
  <c r="E428" i="13"/>
  <c r="E427" i="13"/>
  <c r="E426" i="13"/>
  <c r="E425" i="13"/>
  <c r="E424" i="13"/>
  <c r="E423" i="13"/>
  <c r="E422" i="13"/>
  <c r="E421" i="13"/>
  <c r="E420" i="13"/>
  <c r="E419" i="13"/>
  <c r="E418" i="13"/>
  <c r="E417" i="13"/>
  <c r="E416" i="13"/>
  <c r="E415" i="13"/>
  <c r="E414" i="13"/>
  <c r="E413" i="13"/>
  <c r="E412" i="13"/>
  <c r="E411" i="13"/>
  <c r="E410" i="13"/>
  <c r="E409" i="13"/>
  <c r="E408" i="13"/>
  <c r="E407" i="13"/>
  <c r="E406" i="13"/>
  <c r="E405" i="13"/>
  <c r="E404" i="13"/>
  <c r="E403" i="13"/>
  <c r="E402" i="13"/>
  <c r="E401" i="13"/>
  <c r="E400" i="13"/>
  <c r="E399" i="13"/>
  <c r="E398" i="13"/>
  <c r="E397" i="13"/>
  <c r="E396" i="13"/>
  <c r="E395" i="13"/>
  <c r="E394" i="13"/>
  <c r="E393" i="13"/>
  <c r="E392" i="13"/>
  <c r="E391" i="13"/>
  <c r="E390" i="13"/>
  <c r="E389" i="13"/>
  <c r="E388" i="13"/>
  <c r="E387" i="13"/>
  <c r="E386" i="13"/>
  <c r="E385" i="13"/>
  <c r="E384" i="13"/>
  <c r="E383" i="13"/>
  <c r="E382" i="13"/>
  <c r="E381" i="13"/>
  <c r="E380" i="13"/>
  <c r="E379" i="13"/>
  <c r="E378" i="13"/>
  <c r="E377" i="13"/>
  <c r="E376" i="13"/>
  <c r="E375" i="13"/>
  <c r="E374" i="13"/>
  <c r="E373" i="13"/>
  <c r="E372" i="13"/>
  <c r="E371" i="13"/>
  <c r="E370" i="13"/>
  <c r="E369" i="13"/>
  <c r="E368" i="13"/>
  <c r="E367" i="13"/>
  <c r="E366" i="13"/>
  <c r="E365" i="13"/>
  <c r="E364" i="13"/>
  <c r="E363" i="13"/>
  <c r="E362" i="13"/>
  <c r="E361" i="13"/>
  <c r="E360" i="13"/>
  <c r="E359" i="13"/>
  <c r="E358" i="13"/>
  <c r="E357" i="13"/>
  <c r="E356" i="13"/>
  <c r="E355" i="13"/>
  <c r="E354" i="13"/>
  <c r="E353" i="13"/>
  <c r="E352" i="13"/>
  <c r="E351" i="13"/>
  <c r="E350" i="13"/>
  <c r="E349" i="13"/>
  <c r="E348" i="13"/>
  <c r="E347" i="13"/>
  <c r="E346" i="13"/>
  <c r="E345" i="13"/>
  <c r="E344" i="13"/>
  <c r="E343" i="13"/>
  <c r="E342" i="13"/>
  <c r="E341" i="13"/>
  <c r="E340" i="13"/>
  <c r="E339" i="13"/>
  <c r="E338" i="13"/>
  <c r="E337" i="13"/>
  <c r="E336" i="13"/>
  <c r="E335" i="13"/>
  <c r="E334" i="13"/>
  <c r="E333" i="13"/>
  <c r="E332" i="13"/>
  <c r="E331" i="13"/>
  <c r="E330" i="13"/>
  <c r="E329" i="13"/>
  <c r="E328" i="13"/>
  <c r="E327" i="13"/>
  <c r="E326" i="13"/>
  <c r="E325" i="13"/>
  <c r="E324" i="13"/>
  <c r="E323" i="13"/>
  <c r="E322" i="13"/>
  <c r="E321" i="13"/>
  <c r="E320" i="13"/>
  <c r="E319" i="13"/>
  <c r="E318" i="13"/>
  <c r="E317" i="13"/>
  <c r="E316" i="13"/>
  <c r="E315" i="13"/>
  <c r="E314" i="13"/>
  <c r="E313" i="13"/>
  <c r="E312" i="13"/>
  <c r="E311" i="13"/>
  <c r="E310" i="13"/>
  <c r="E309" i="13"/>
  <c r="E308" i="13"/>
  <c r="E307" i="13"/>
  <c r="E306" i="13"/>
  <c r="E305" i="13"/>
  <c r="E304" i="13"/>
  <c r="E303" i="13"/>
  <c r="E302" i="13"/>
  <c r="E301" i="13"/>
  <c r="E300" i="13"/>
  <c r="E299" i="13"/>
  <c r="E298" i="13"/>
  <c r="E297" i="13"/>
  <c r="E296" i="13"/>
  <c r="E295" i="13"/>
  <c r="E294" i="13"/>
  <c r="E293" i="13"/>
  <c r="E292" i="13"/>
  <c r="E291" i="13"/>
  <c r="E290" i="13"/>
  <c r="E289" i="13"/>
  <c r="E288" i="13"/>
  <c r="E287" i="13"/>
  <c r="E286" i="13"/>
  <c r="E285" i="13"/>
  <c r="E284" i="13"/>
  <c r="E283" i="13"/>
  <c r="E282" i="13"/>
  <c r="E281" i="13"/>
  <c r="E280" i="13"/>
  <c r="E279" i="13"/>
  <c r="E278" i="13"/>
  <c r="E277" i="13"/>
  <c r="E276" i="13"/>
  <c r="E275" i="13"/>
  <c r="E274" i="13"/>
  <c r="E273" i="13"/>
  <c r="E272" i="13"/>
  <c r="E271" i="13"/>
  <c r="E270" i="13"/>
  <c r="E269" i="13"/>
  <c r="E268" i="13"/>
  <c r="E267" i="13"/>
  <c r="E266" i="13"/>
  <c r="E265" i="13"/>
  <c r="E264" i="13"/>
  <c r="E263" i="13"/>
  <c r="E262" i="13"/>
  <c r="E261" i="13"/>
  <c r="E260" i="13"/>
  <c r="E259" i="13"/>
  <c r="E258" i="13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C9" i="13"/>
  <c r="C13" i="13"/>
  <c r="C12" i="13"/>
  <c r="C11" i="13"/>
  <c r="C10" i="13"/>
  <c r="D4" i="5"/>
  <c r="D5" i="5"/>
  <c r="D9" i="5"/>
  <c r="D8" i="5"/>
  <c r="D7" i="5"/>
  <c r="G34" i="13" l="1"/>
  <c r="H34" i="13" s="1"/>
  <c r="G114" i="13"/>
  <c r="H114" i="13" s="1"/>
  <c r="G201" i="13"/>
  <c r="H201" i="13" s="1"/>
  <c r="G290" i="13"/>
  <c r="H290" i="13" s="1"/>
  <c r="G385" i="13"/>
  <c r="H385" i="13" s="1"/>
  <c r="G578" i="13"/>
  <c r="H578" i="13" s="1"/>
  <c r="G676" i="13"/>
  <c r="H676" i="13" s="1"/>
  <c r="G481" i="13"/>
  <c r="H481" i="13" s="1"/>
  <c r="G801" i="13"/>
  <c r="H801" i="13" s="1"/>
  <c r="G897" i="13"/>
  <c r="H897" i="13" s="1"/>
  <c r="G210" i="13"/>
  <c r="H210" i="13" s="1"/>
  <c r="G712" i="13"/>
  <c r="H712" i="13" s="1"/>
  <c r="G37" i="13"/>
  <c r="H37" i="13" s="1"/>
  <c r="G713" i="13"/>
  <c r="H713" i="13" s="1"/>
  <c r="G47" i="13"/>
  <c r="H47" i="13" s="1"/>
  <c r="G303" i="13"/>
  <c r="H303" i="13" s="1"/>
  <c r="G911" i="13"/>
  <c r="H911" i="13" s="1"/>
  <c r="G48" i="13"/>
  <c r="H48" i="13" s="1"/>
  <c r="G304" i="13"/>
  <c r="H304" i="13" s="1"/>
  <c r="G816" i="13"/>
  <c r="H816" i="13" s="1"/>
  <c r="G150" i="13"/>
  <c r="H150" i="13" s="1"/>
  <c r="G328" i="13"/>
  <c r="H328" i="13" s="1"/>
  <c r="G520" i="13"/>
  <c r="H520" i="13" s="1"/>
  <c r="G719" i="13"/>
  <c r="H719" i="13" s="1"/>
  <c r="G817" i="13"/>
  <c r="H817" i="13" s="1"/>
  <c r="G151" i="13"/>
  <c r="H151" i="13" s="1"/>
  <c r="G335" i="13"/>
  <c r="H335" i="13" s="1"/>
  <c r="G720" i="13"/>
  <c r="H720" i="13" s="1"/>
  <c r="G914" i="13"/>
  <c r="H914" i="13" s="1"/>
  <c r="G166" i="13"/>
  <c r="H166" i="13" s="1"/>
  <c r="G336" i="13"/>
  <c r="H336" i="13" s="1"/>
  <c r="G525" i="13"/>
  <c r="H525" i="13" s="1"/>
  <c r="G623" i="13"/>
  <c r="H623" i="13" s="1"/>
  <c r="G941" i="13"/>
  <c r="H941" i="13" s="1"/>
  <c r="G82" i="13"/>
  <c r="H82" i="13" s="1"/>
  <c r="G167" i="13"/>
  <c r="H167" i="13" s="1"/>
  <c r="G258" i="13"/>
  <c r="H258" i="13" s="1"/>
  <c r="G337" i="13"/>
  <c r="H337" i="13" s="1"/>
  <c r="G433" i="13"/>
  <c r="H433" i="13" s="1"/>
  <c r="G526" i="13"/>
  <c r="H526" i="13" s="1"/>
  <c r="G624" i="13"/>
  <c r="H624" i="13" s="1"/>
  <c r="G752" i="13"/>
  <c r="H752" i="13" s="1"/>
  <c r="G849" i="13"/>
  <c r="H849" i="13" s="1"/>
  <c r="G809" i="13"/>
  <c r="H809" i="13" s="1"/>
  <c r="G294" i="13"/>
  <c r="H294" i="13" s="1"/>
  <c r="G580" i="13"/>
  <c r="H580" i="13" s="1"/>
  <c r="G985" i="13"/>
  <c r="H985" i="13" s="1"/>
  <c r="G133" i="13"/>
  <c r="H133" i="13" s="1"/>
  <c r="G215" i="13"/>
  <c r="H215" i="13" s="1"/>
  <c r="G496" i="13"/>
  <c r="H496" i="13" s="1"/>
  <c r="G912" i="13"/>
  <c r="H912" i="13" s="1"/>
  <c r="G66" i="13"/>
  <c r="H66" i="13" s="1"/>
  <c r="G241" i="13"/>
  <c r="H241" i="13" s="1"/>
  <c r="G621" i="13"/>
  <c r="H621" i="13" s="1"/>
  <c r="G913" i="13"/>
  <c r="H913" i="13" s="1"/>
  <c r="G80" i="13"/>
  <c r="H80" i="13" s="1"/>
  <c r="G242" i="13"/>
  <c r="H242" i="13" s="1"/>
  <c r="G425" i="13"/>
  <c r="H425" i="13" s="1"/>
  <c r="G622" i="13"/>
  <c r="H622" i="13" s="1"/>
  <c r="G818" i="13"/>
  <c r="H818" i="13" s="1"/>
  <c r="G81" i="13"/>
  <c r="H81" i="13" s="1"/>
  <c r="G243" i="13"/>
  <c r="H243" i="13" s="1"/>
  <c r="G429" i="13"/>
  <c r="H429" i="13" s="1"/>
  <c r="G721" i="13"/>
  <c r="H721" i="13" s="1"/>
  <c r="G848" i="13"/>
  <c r="H848" i="13" s="1"/>
  <c r="G83" i="13"/>
  <c r="H83" i="13" s="1"/>
  <c r="G168" i="13"/>
  <c r="H168" i="13" s="1"/>
  <c r="G259" i="13"/>
  <c r="H259" i="13" s="1"/>
  <c r="G350" i="13"/>
  <c r="H350" i="13" s="1"/>
  <c r="G434" i="13"/>
  <c r="H434" i="13" s="1"/>
  <c r="G527" i="13"/>
  <c r="H527" i="13" s="1"/>
  <c r="G625" i="13"/>
  <c r="H625" i="13" s="1"/>
  <c r="G753" i="13"/>
  <c r="H753" i="13" s="1"/>
  <c r="G850" i="13"/>
  <c r="H850" i="13" s="1"/>
  <c r="G946" i="13"/>
  <c r="H946" i="13" s="1"/>
  <c r="G205" i="13"/>
  <c r="H205" i="13" s="1"/>
  <c r="G677" i="13"/>
  <c r="H677" i="13" s="1"/>
  <c r="G813" i="13"/>
  <c r="H813" i="13" s="1"/>
  <c r="G127" i="13"/>
  <c r="H127" i="13" s="1"/>
  <c r="G399" i="13"/>
  <c r="H399" i="13" s="1"/>
  <c r="G616" i="13"/>
  <c r="H616" i="13" s="1"/>
  <c r="G815" i="13"/>
  <c r="H815" i="13" s="1"/>
  <c r="G718" i="13"/>
  <c r="H718" i="13" s="1"/>
  <c r="G521" i="13"/>
  <c r="H521" i="13" s="1"/>
  <c r="G84" i="13"/>
  <c r="H84" i="13" s="1"/>
  <c r="G169" i="13"/>
  <c r="H169" i="13" s="1"/>
  <c r="G260" i="13"/>
  <c r="H260" i="13" s="1"/>
  <c r="G354" i="13"/>
  <c r="H354" i="13" s="1"/>
  <c r="G447" i="13"/>
  <c r="H447" i="13" s="1"/>
  <c r="G531" i="13"/>
  <c r="H531" i="13" s="1"/>
  <c r="G656" i="13"/>
  <c r="H656" i="13" s="1"/>
  <c r="G754" i="13"/>
  <c r="H754" i="13" s="1"/>
  <c r="G947" i="13"/>
  <c r="H947" i="13" s="1"/>
  <c r="G85" i="13"/>
  <c r="H85" i="13" s="1"/>
  <c r="G173" i="13"/>
  <c r="H173" i="13" s="1"/>
  <c r="G261" i="13"/>
  <c r="H261" i="13" s="1"/>
  <c r="G355" i="13"/>
  <c r="H355" i="13" s="1"/>
  <c r="G448" i="13"/>
  <c r="H448" i="13" s="1"/>
  <c r="G544" i="13"/>
  <c r="H544" i="13" s="1"/>
  <c r="G657" i="13"/>
  <c r="H657" i="13" s="1"/>
  <c r="G770" i="13"/>
  <c r="H770" i="13" s="1"/>
  <c r="G953" i="13"/>
  <c r="H953" i="13" s="1"/>
  <c r="G121" i="13"/>
  <c r="H121" i="13" s="1"/>
  <c r="G291" i="13"/>
  <c r="H291" i="13" s="1"/>
  <c r="G482" i="13"/>
  <c r="H482" i="13" s="1"/>
  <c r="G579" i="13"/>
  <c r="H579" i="13" s="1"/>
  <c r="G211" i="13"/>
  <c r="H211" i="13" s="1"/>
  <c r="G388" i="13"/>
  <c r="H388" i="13" s="1"/>
  <c r="G581" i="13"/>
  <c r="H581" i="13" s="1"/>
  <c r="G814" i="13"/>
  <c r="H814" i="13" s="1"/>
  <c r="G717" i="13"/>
  <c r="H717" i="13" s="1"/>
  <c r="G400" i="13"/>
  <c r="H400" i="13" s="1"/>
  <c r="G86" i="13"/>
  <c r="H86" i="13" s="1"/>
  <c r="G174" i="13"/>
  <c r="H174" i="13" s="1"/>
  <c r="G262" i="13"/>
  <c r="H262" i="13" s="1"/>
  <c r="G356" i="13"/>
  <c r="H356" i="13" s="1"/>
  <c r="G452" i="13"/>
  <c r="H452" i="13" s="1"/>
  <c r="G560" i="13"/>
  <c r="H560" i="13" s="1"/>
  <c r="G673" i="13"/>
  <c r="H673" i="13" s="1"/>
  <c r="G771" i="13"/>
  <c r="H771" i="13" s="1"/>
  <c r="G868" i="13"/>
  <c r="H868" i="13" s="1"/>
  <c r="G965" i="13"/>
  <c r="H965" i="13" s="1"/>
  <c r="G35" i="13"/>
  <c r="H35" i="13" s="1"/>
  <c r="G386" i="13"/>
  <c r="H386" i="13" s="1"/>
  <c r="G898" i="13"/>
  <c r="H898" i="13" s="1"/>
  <c r="G36" i="13"/>
  <c r="H36" i="13" s="1"/>
  <c r="G125" i="13"/>
  <c r="H125" i="13" s="1"/>
  <c r="G387" i="13"/>
  <c r="H387" i="13" s="1"/>
  <c r="G483" i="13"/>
  <c r="H483" i="13" s="1"/>
  <c r="G909" i="13"/>
  <c r="H909" i="13" s="1"/>
  <c r="G126" i="13"/>
  <c r="H126" i="13" s="1"/>
  <c r="G302" i="13"/>
  <c r="H302" i="13" s="1"/>
  <c r="G484" i="13"/>
  <c r="H484" i="13" s="1"/>
  <c r="G910" i="13"/>
  <c r="H910" i="13" s="1"/>
  <c r="G26" i="13"/>
  <c r="H26" i="13" s="1"/>
  <c r="G112" i="13"/>
  <c r="H112" i="13" s="1"/>
  <c r="G199" i="13"/>
  <c r="H199" i="13" s="1"/>
  <c r="G288" i="13"/>
  <c r="H288" i="13" s="1"/>
  <c r="G383" i="13"/>
  <c r="H383" i="13" s="1"/>
  <c r="G479" i="13"/>
  <c r="H479" i="13" s="1"/>
  <c r="G576" i="13"/>
  <c r="H576" i="13" s="1"/>
  <c r="G674" i="13"/>
  <c r="H674" i="13" s="1"/>
  <c r="G772" i="13"/>
  <c r="H772" i="13" s="1"/>
  <c r="G869" i="13"/>
  <c r="H869" i="13" s="1"/>
  <c r="G966" i="13"/>
  <c r="H966" i="13" s="1"/>
  <c r="G29" i="13"/>
  <c r="H29" i="13" s="1"/>
  <c r="G113" i="13"/>
  <c r="H113" i="13" s="1"/>
  <c r="G200" i="13"/>
  <c r="H200" i="13" s="1"/>
  <c r="G289" i="13"/>
  <c r="H289" i="13" s="1"/>
  <c r="G384" i="13"/>
  <c r="H384" i="13" s="1"/>
  <c r="G480" i="13"/>
  <c r="H480" i="13" s="1"/>
  <c r="G577" i="13"/>
  <c r="H577" i="13" s="1"/>
  <c r="G675" i="13"/>
  <c r="H675" i="13" s="1"/>
  <c r="G870" i="13"/>
  <c r="H870" i="13" s="1"/>
  <c r="G967" i="13"/>
  <c r="H967" i="13" s="1"/>
  <c r="G545" i="13"/>
  <c r="H545" i="13" s="1"/>
  <c r="G641" i="13"/>
  <c r="H641" i="13" s="1"/>
  <c r="G774" i="13"/>
  <c r="H774" i="13" s="1"/>
  <c r="G49" i="13"/>
  <c r="H49" i="13" s="1"/>
  <c r="G177" i="13"/>
  <c r="H177" i="13" s="1"/>
  <c r="G263" i="13"/>
  <c r="H263" i="13" s="1"/>
  <c r="G357" i="13"/>
  <c r="H357" i="13" s="1"/>
  <c r="G453" i="13"/>
  <c r="H453" i="13" s="1"/>
  <c r="G546" i="13"/>
  <c r="H546" i="13" s="1"/>
  <c r="G642" i="13"/>
  <c r="H642" i="13" s="1"/>
  <c r="G738" i="13"/>
  <c r="H738" i="13" s="1"/>
  <c r="G819" i="13"/>
  <c r="H819" i="13" s="1"/>
  <c r="G968" i="13"/>
  <c r="H968" i="13" s="1"/>
  <c r="G6" i="13"/>
  <c r="H6" i="13" s="1"/>
  <c r="G54" i="13"/>
  <c r="H54" i="13" s="1"/>
  <c r="G88" i="13"/>
  <c r="H88" i="13" s="1"/>
  <c r="G137" i="13"/>
  <c r="H137" i="13" s="1"/>
  <c r="G178" i="13"/>
  <c r="H178" i="13" s="1"/>
  <c r="G225" i="13"/>
  <c r="H225" i="13" s="1"/>
  <c r="G264" i="13"/>
  <c r="H264" i="13" s="1"/>
  <c r="G317" i="13"/>
  <c r="H317" i="13" s="1"/>
  <c r="G358" i="13"/>
  <c r="H358" i="13" s="1"/>
  <c r="G402" i="13"/>
  <c r="H402" i="13" s="1"/>
  <c r="G454" i="13"/>
  <c r="H454" i="13" s="1"/>
  <c r="G498" i="13"/>
  <c r="H498" i="13" s="1"/>
  <c r="G550" i="13"/>
  <c r="H550" i="13" s="1"/>
  <c r="G594" i="13"/>
  <c r="H594" i="13" s="1"/>
  <c r="G643" i="13"/>
  <c r="H643" i="13" s="1"/>
  <c r="G690" i="13"/>
  <c r="H690" i="13" s="1"/>
  <c r="G739" i="13"/>
  <c r="H739" i="13" s="1"/>
  <c r="G776" i="13"/>
  <c r="H776" i="13" s="1"/>
  <c r="G835" i="13"/>
  <c r="H835" i="13" s="1"/>
  <c r="G872" i="13"/>
  <c r="H872" i="13" s="1"/>
  <c r="G916" i="13"/>
  <c r="H916" i="13" s="1"/>
  <c r="G969" i="13"/>
  <c r="H969" i="13" s="1"/>
  <c r="G582" i="13"/>
  <c r="H582" i="13" s="1"/>
  <c r="G678" i="13"/>
  <c r="H678" i="13" s="1"/>
  <c r="G722" i="13"/>
  <c r="H722" i="13" s="1"/>
  <c r="G5" i="13"/>
  <c r="H5" i="13" s="1"/>
  <c r="G87" i="13"/>
  <c r="H87" i="13" s="1"/>
  <c r="G134" i="13"/>
  <c r="H134" i="13" s="1"/>
  <c r="G224" i="13"/>
  <c r="H224" i="13" s="1"/>
  <c r="G305" i="13"/>
  <c r="H305" i="13" s="1"/>
  <c r="G401" i="13"/>
  <c r="H401" i="13" s="1"/>
  <c r="G497" i="13"/>
  <c r="H497" i="13" s="1"/>
  <c r="G593" i="13"/>
  <c r="H593" i="13" s="1"/>
  <c r="G679" i="13"/>
  <c r="H679" i="13" s="1"/>
  <c r="G775" i="13"/>
  <c r="H775" i="13" s="1"/>
  <c r="G871" i="13"/>
  <c r="H871" i="13" s="1"/>
  <c r="G915" i="13"/>
  <c r="H915" i="13" s="1"/>
  <c r="G7" i="13"/>
  <c r="H7" i="13" s="1"/>
  <c r="G55" i="13"/>
  <c r="H55" i="13" s="1"/>
  <c r="G89" i="13"/>
  <c r="H89" i="13" s="1"/>
  <c r="G144" i="13"/>
  <c r="H144" i="13" s="1"/>
  <c r="G179" i="13"/>
  <c r="H179" i="13" s="1"/>
  <c r="G226" i="13"/>
  <c r="H226" i="13" s="1"/>
  <c r="G265" i="13"/>
  <c r="H265" i="13" s="1"/>
  <c r="G318" i="13"/>
  <c r="H318" i="13" s="1"/>
  <c r="G359" i="13"/>
  <c r="H359" i="13" s="1"/>
  <c r="G414" i="13"/>
  <c r="H414" i="13" s="1"/>
  <c r="G455" i="13"/>
  <c r="H455" i="13" s="1"/>
  <c r="G499" i="13"/>
  <c r="H499" i="13" s="1"/>
  <c r="G551" i="13"/>
  <c r="H551" i="13" s="1"/>
  <c r="G595" i="13"/>
  <c r="H595" i="13" s="1"/>
  <c r="G644" i="13"/>
  <c r="H644" i="13" s="1"/>
  <c r="G740" i="13"/>
  <c r="H740" i="13" s="1"/>
  <c r="G787" i="13"/>
  <c r="H787" i="13" s="1"/>
  <c r="G836" i="13"/>
  <c r="H836" i="13" s="1"/>
  <c r="G873" i="13"/>
  <c r="H873" i="13" s="1"/>
  <c r="G932" i="13"/>
  <c r="H932" i="13" s="1"/>
  <c r="G978" i="13"/>
  <c r="H978" i="13" s="1"/>
  <c r="G19" i="13"/>
  <c r="H19" i="13" s="1"/>
  <c r="G56" i="13"/>
  <c r="H56" i="13" s="1"/>
  <c r="G93" i="13"/>
  <c r="H93" i="13" s="1"/>
  <c r="G145" i="13"/>
  <c r="H145" i="13" s="1"/>
  <c r="G180" i="13"/>
  <c r="H180" i="13" s="1"/>
  <c r="G231" i="13"/>
  <c r="H231" i="13" s="1"/>
  <c r="G269" i="13"/>
  <c r="H269" i="13" s="1"/>
  <c r="G319" i="13"/>
  <c r="H319" i="13" s="1"/>
  <c r="G360" i="13"/>
  <c r="H360" i="13" s="1"/>
  <c r="G415" i="13"/>
  <c r="H415" i="13" s="1"/>
  <c r="G456" i="13"/>
  <c r="H456" i="13" s="1"/>
  <c r="G505" i="13"/>
  <c r="H505" i="13" s="1"/>
  <c r="G552" i="13"/>
  <c r="H552" i="13" s="1"/>
  <c r="G596" i="13"/>
  <c r="H596" i="13" s="1"/>
  <c r="G648" i="13"/>
  <c r="H648" i="13" s="1"/>
  <c r="G692" i="13"/>
  <c r="H692" i="13" s="1"/>
  <c r="G741" i="13"/>
  <c r="H741" i="13" s="1"/>
  <c r="G788" i="13"/>
  <c r="H788" i="13" s="1"/>
  <c r="G837" i="13"/>
  <c r="H837" i="13" s="1"/>
  <c r="G881" i="13"/>
  <c r="H881" i="13" s="1"/>
  <c r="G933" i="13"/>
  <c r="H933" i="13" s="1"/>
  <c r="G979" i="13"/>
  <c r="H979" i="13" s="1"/>
  <c r="G20" i="13"/>
  <c r="H20" i="13" s="1"/>
  <c r="G62" i="13"/>
  <c r="H62" i="13" s="1"/>
  <c r="G105" i="13"/>
  <c r="H105" i="13" s="1"/>
  <c r="G146" i="13"/>
  <c r="H146" i="13" s="1"/>
  <c r="G181" i="13"/>
  <c r="H181" i="13" s="1"/>
  <c r="G237" i="13"/>
  <c r="H237" i="13" s="1"/>
  <c r="G270" i="13"/>
  <c r="H270" i="13" s="1"/>
  <c r="G324" i="13"/>
  <c r="H324" i="13" s="1"/>
  <c r="G361" i="13"/>
  <c r="H361" i="13" s="1"/>
  <c r="G416" i="13"/>
  <c r="H416" i="13" s="1"/>
  <c r="G457" i="13"/>
  <c r="H457" i="13" s="1"/>
  <c r="G512" i="13"/>
  <c r="H512" i="13" s="1"/>
  <c r="G553" i="13"/>
  <c r="H553" i="13" s="1"/>
  <c r="G605" i="13"/>
  <c r="H605" i="13" s="1"/>
  <c r="G649" i="13"/>
  <c r="H649" i="13" s="1"/>
  <c r="G693" i="13"/>
  <c r="H693" i="13" s="1"/>
  <c r="G742" i="13"/>
  <c r="H742" i="13" s="1"/>
  <c r="G789" i="13"/>
  <c r="H789" i="13" s="1"/>
  <c r="G838" i="13"/>
  <c r="H838" i="13" s="1"/>
  <c r="G885" i="13"/>
  <c r="H885" i="13" s="1"/>
  <c r="G934" i="13"/>
  <c r="H934" i="13" s="1"/>
  <c r="G983" i="13"/>
  <c r="H983" i="13" s="1"/>
  <c r="G23" i="13"/>
  <c r="H23" i="13" s="1"/>
  <c r="G63" i="13"/>
  <c r="H63" i="13" s="1"/>
  <c r="G109" i="13"/>
  <c r="H109" i="13" s="1"/>
  <c r="G147" i="13"/>
  <c r="H147" i="13" s="1"/>
  <c r="G196" i="13"/>
  <c r="H196" i="13" s="1"/>
  <c r="G238" i="13"/>
  <c r="H238" i="13" s="1"/>
  <c r="G271" i="13"/>
  <c r="H271" i="13" s="1"/>
  <c r="G325" i="13"/>
  <c r="H325" i="13" s="1"/>
  <c r="G365" i="13"/>
  <c r="H365" i="13" s="1"/>
  <c r="G421" i="13"/>
  <c r="H421" i="13" s="1"/>
  <c r="G461" i="13"/>
  <c r="H461" i="13" s="1"/>
  <c r="G513" i="13"/>
  <c r="H513" i="13" s="1"/>
  <c r="G557" i="13"/>
  <c r="H557" i="13" s="1"/>
  <c r="G606" i="13"/>
  <c r="H606" i="13" s="1"/>
  <c r="G653" i="13"/>
  <c r="H653" i="13" s="1"/>
  <c r="G702" i="13"/>
  <c r="H702" i="13" s="1"/>
  <c r="G749" i="13"/>
  <c r="H749" i="13" s="1"/>
  <c r="G790" i="13"/>
  <c r="H790" i="13" s="1"/>
  <c r="G839" i="13"/>
  <c r="H839" i="13" s="1"/>
  <c r="G886" i="13"/>
  <c r="H886" i="13" s="1"/>
  <c r="G935" i="13"/>
  <c r="H935" i="13" s="1"/>
  <c r="G984" i="13"/>
  <c r="H984" i="13" s="1"/>
  <c r="G24" i="13"/>
  <c r="H24" i="13" s="1"/>
  <c r="G64" i="13"/>
  <c r="H64" i="13" s="1"/>
  <c r="G110" i="13"/>
  <c r="H110" i="13" s="1"/>
  <c r="G148" i="13"/>
  <c r="H148" i="13" s="1"/>
  <c r="G197" i="13"/>
  <c r="H197" i="13" s="1"/>
  <c r="G239" i="13"/>
  <c r="H239" i="13" s="1"/>
  <c r="G286" i="13"/>
  <c r="H286" i="13" s="1"/>
  <c r="G326" i="13"/>
  <c r="H326" i="13" s="1"/>
  <c r="G366" i="13"/>
  <c r="H366" i="13" s="1"/>
  <c r="G422" i="13"/>
  <c r="H422" i="13" s="1"/>
  <c r="G462" i="13"/>
  <c r="H462" i="13" s="1"/>
  <c r="G518" i="13"/>
  <c r="H518" i="13" s="1"/>
  <c r="G558" i="13"/>
  <c r="H558" i="13" s="1"/>
  <c r="G610" i="13"/>
  <c r="H610" i="13" s="1"/>
  <c r="G654" i="13"/>
  <c r="H654" i="13" s="1"/>
  <c r="G703" i="13"/>
  <c r="H703" i="13" s="1"/>
  <c r="G750" i="13"/>
  <c r="H750" i="13" s="1"/>
  <c r="G799" i="13"/>
  <c r="H799" i="13" s="1"/>
  <c r="G840" i="13"/>
  <c r="H840" i="13" s="1"/>
  <c r="G887" i="13"/>
  <c r="H887" i="13" s="1"/>
  <c r="G936" i="13"/>
  <c r="H936" i="13" s="1"/>
  <c r="G993" i="13"/>
  <c r="H993" i="13" s="1"/>
  <c r="G25" i="13"/>
  <c r="H25" i="13" s="1"/>
  <c r="G65" i="13"/>
  <c r="H65" i="13" s="1"/>
  <c r="G111" i="13"/>
  <c r="H111" i="13" s="1"/>
  <c r="G149" i="13"/>
  <c r="H149" i="13" s="1"/>
  <c r="G198" i="13"/>
  <c r="H198" i="13" s="1"/>
  <c r="G240" i="13"/>
  <c r="H240" i="13" s="1"/>
  <c r="G287" i="13"/>
  <c r="H287" i="13" s="1"/>
  <c r="G327" i="13"/>
  <c r="H327" i="13" s="1"/>
  <c r="G382" i="13"/>
  <c r="H382" i="13" s="1"/>
  <c r="G423" i="13"/>
  <c r="H423" i="13" s="1"/>
  <c r="G463" i="13"/>
  <c r="H463" i="13" s="1"/>
  <c r="G519" i="13"/>
  <c r="H519" i="13" s="1"/>
  <c r="G559" i="13"/>
  <c r="H559" i="13" s="1"/>
  <c r="G615" i="13"/>
  <c r="H615" i="13" s="1"/>
  <c r="G655" i="13"/>
  <c r="H655" i="13" s="1"/>
  <c r="G704" i="13"/>
  <c r="H704" i="13" s="1"/>
  <c r="G751" i="13"/>
  <c r="H751" i="13" s="1"/>
  <c r="G800" i="13"/>
  <c r="H800" i="13" s="1"/>
  <c r="G847" i="13"/>
  <c r="H847" i="13" s="1"/>
  <c r="G896" i="13"/>
  <c r="H896" i="13" s="1"/>
  <c r="G937" i="13"/>
  <c r="H937" i="13" s="1"/>
  <c r="G989" i="13"/>
  <c r="H989" i="13" s="1"/>
  <c r="G14" i="13"/>
  <c r="H14" i="13" s="1"/>
  <c r="G67" i="13"/>
  <c r="H67" i="13" s="1"/>
  <c r="G128" i="13"/>
  <c r="H128" i="13" s="1"/>
  <c r="G189" i="13"/>
  <c r="H189" i="13" s="1"/>
  <c r="G244" i="13"/>
  <c r="H244" i="13" s="1"/>
  <c r="G306" i="13"/>
  <c r="H306" i="13" s="1"/>
  <c r="G374" i="13"/>
  <c r="H374" i="13" s="1"/>
  <c r="G435" i="13"/>
  <c r="H435" i="13" s="1"/>
  <c r="G500" i="13"/>
  <c r="H500" i="13" s="1"/>
  <c r="G565" i="13"/>
  <c r="H565" i="13" s="1"/>
  <c r="G629" i="13"/>
  <c r="H629" i="13" s="1"/>
  <c r="G694" i="13"/>
  <c r="H694" i="13" s="1"/>
  <c r="G759" i="13"/>
  <c r="H759" i="13" s="1"/>
  <c r="G820" i="13"/>
  <c r="H820" i="13" s="1"/>
  <c r="G888" i="13"/>
  <c r="H888" i="13" s="1"/>
  <c r="G990" i="13"/>
  <c r="H990" i="13" s="1"/>
  <c r="G15" i="13"/>
  <c r="H15" i="13" s="1"/>
  <c r="G68" i="13"/>
  <c r="H68" i="13" s="1"/>
  <c r="G129" i="13"/>
  <c r="H129" i="13" s="1"/>
  <c r="G190" i="13"/>
  <c r="H190" i="13" s="1"/>
  <c r="G245" i="13"/>
  <c r="H245" i="13" s="1"/>
  <c r="G279" i="13"/>
  <c r="H279" i="13" s="1"/>
  <c r="G339" i="13"/>
  <c r="H339" i="13" s="1"/>
  <c r="G375" i="13"/>
  <c r="H375" i="13" s="1"/>
  <c r="G436" i="13"/>
  <c r="H436" i="13" s="1"/>
  <c r="G472" i="13"/>
  <c r="H472" i="13" s="1"/>
  <c r="G501" i="13"/>
  <c r="H501" i="13" s="1"/>
  <c r="G598" i="13"/>
  <c r="H598" i="13" s="1"/>
  <c r="G958" i="13"/>
  <c r="H958" i="13" s="1"/>
  <c r="G42" i="13"/>
  <c r="H42" i="13" s="1"/>
  <c r="G102" i="13"/>
  <c r="H102" i="13" s="1"/>
  <c r="G159" i="13"/>
  <c r="H159" i="13" s="1"/>
  <c r="G221" i="13"/>
  <c r="H221" i="13" s="1"/>
  <c r="G280" i="13"/>
  <c r="H280" i="13" s="1"/>
  <c r="G376" i="13"/>
  <c r="H376" i="13" s="1"/>
  <c r="G437" i="13"/>
  <c r="H437" i="13" s="1"/>
  <c r="G473" i="13"/>
  <c r="H473" i="13" s="1"/>
  <c r="G502" i="13"/>
  <c r="H502" i="13" s="1"/>
  <c r="G534" i="13"/>
  <c r="H534" i="13" s="1"/>
  <c r="G573" i="13"/>
  <c r="H573" i="13" s="1"/>
  <c r="G599" i="13"/>
  <c r="H599" i="13" s="1"/>
  <c r="G670" i="13"/>
  <c r="H670" i="13" s="1"/>
  <c r="G696" i="13"/>
  <c r="H696" i="13" s="1"/>
  <c r="G728" i="13"/>
  <c r="H728" i="13" s="1"/>
  <c r="G761" i="13"/>
  <c r="H761" i="13" s="1"/>
  <c r="G793" i="13"/>
  <c r="H793" i="13" s="1"/>
  <c r="G825" i="13"/>
  <c r="H825" i="13" s="1"/>
  <c r="G861" i="13"/>
  <c r="H861" i="13" s="1"/>
  <c r="G893" i="13"/>
  <c r="H893" i="13" s="1"/>
  <c r="G919" i="13"/>
  <c r="H919" i="13" s="1"/>
  <c r="G992" i="13"/>
  <c r="H992" i="13" s="1"/>
  <c r="G17" i="13"/>
  <c r="H17" i="13" s="1"/>
  <c r="G45" i="13"/>
  <c r="H45" i="13" s="1"/>
  <c r="G70" i="13"/>
  <c r="H70" i="13" s="1"/>
  <c r="G103" i="13"/>
  <c r="H103" i="13" s="1"/>
  <c r="G131" i="13"/>
  <c r="H131" i="13" s="1"/>
  <c r="G160" i="13"/>
  <c r="H160" i="13" s="1"/>
  <c r="G192" i="13"/>
  <c r="H192" i="13" s="1"/>
  <c r="G222" i="13"/>
  <c r="H222" i="13" s="1"/>
  <c r="G247" i="13"/>
  <c r="H247" i="13" s="1"/>
  <c r="G281" i="13"/>
  <c r="H281" i="13" s="1"/>
  <c r="G309" i="13"/>
  <c r="H309" i="13" s="1"/>
  <c r="G341" i="13"/>
  <c r="H341" i="13" s="1"/>
  <c r="G377" i="13"/>
  <c r="H377" i="13" s="1"/>
  <c r="G406" i="13"/>
  <c r="H406" i="13" s="1"/>
  <c r="G438" i="13"/>
  <c r="H438" i="13" s="1"/>
  <c r="G477" i="13"/>
  <c r="H477" i="13" s="1"/>
  <c r="G503" i="13"/>
  <c r="H503" i="13" s="1"/>
  <c r="G535" i="13"/>
  <c r="H535" i="13" s="1"/>
  <c r="G574" i="13"/>
  <c r="H574" i="13" s="1"/>
  <c r="G600" i="13"/>
  <c r="H600" i="13" s="1"/>
  <c r="G632" i="13"/>
  <c r="H632" i="13" s="1"/>
  <c r="G671" i="13"/>
  <c r="H671" i="13" s="1"/>
  <c r="G697" i="13"/>
  <c r="H697" i="13" s="1"/>
  <c r="G729" i="13"/>
  <c r="H729" i="13" s="1"/>
  <c r="G768" i="13"/>
  <c r="H768" i="13" s="1"/>
  <c r="G797" i="13"/>
  <c r="H797" i="13" s="1"/>
  <c r="G829" i="13"/>
  <c r="H829" i="13" s="1"/>
  <c r="G862" i="13"/>
  <c r="H862" i="13" s="1"/>
  <c r="G894" i="13"/>
  <c r="H894" i="13" s="1"/>
  <c r="G926" i="13"/>
  <c r="H926" i="13" s="1"/>
  <c r="G960" i="13"/>
  <c r="H960" i="13" s="1"/>
  <c r="G38" i="13"/>
  <c r="H38" i="13" s="1"/>
  <c r="G100" i="13"/>
  <c r="H100" i="13" s="1"/>
  <c r="G152" i="13"/>
  <c r="H152" i="13" s="1"/>
  <c r="G216" i="13"/>
  <c r="H216" i="13" s="1"/>
  <c r="G278" i="13"/>
  <c r="H278" i="13" s="1"/>
  <c r="G338" i="13"/>
  <c r="H338" i="13" s="1"/>
  <c r="G403" i="13"/>
  <c r="H403" i="13" s="1"/>
  <c r="G471" i="13"/>
  <c r="H471" i="13" s="1"/>
  <c r="G532" i="13"/>
  <c r="H532" i="13" s="1"/>
  <c r="G597" i="13"/>
  <c r="H597" i="13" s="1"/>
  <c r="G662" i="13"/>
  <c r="H662" i="13" s="1"/>
  <c r="G723" i="13"/>
  <c r="H723" i="13" s="1"/>
  <c r="G791" i="13"/>
  <c r="H791" i="13" s="1"/>
  <c r="G856" i="13"/>
  <c r="H856" i="13" s="1"/>
  <c r="G917" i="13"/>
  <c r="H917" i="13" s="1"/>
  <c r="G957" i="13"/>
  <c r="H957" i="13" s="1"/>
  <c r="G41" i="13"/>
  <c r="H41" i="13" s="1"/>
  <c r="G101" i="13"/>
  <c r="H101" i="13" s="1"/>
  <c r="G158" i="13"/>
  <c r="H158" i="13" s="1"/>
  <c r="G217" i="13"/>
  <c r="H217" i="13" s="1"/>
  <c r="G307" i="13"/>
  <c r="H307" i="13" s="1"/>
  <c r="G404" i="13"/>
  <c r="H404" i="13" s="1"/>
  <c r="G533" i="13"/>
  <c r="H533" i="13" s="1"/>
  <c r="G569" i="13"/>
  <c r="H569" i="13" s="1"/>
  <c r="G630" i="13"/>
  <c r="H630" i="13" s="1"/>
  <c r="G695" i="13"/>
  <c r="H695" i="13" s="1"/>
  <c r="G727" i="13"/>
  <c r="H727" i="13" s="1"/>
  <c r="G760" i="13"/>
  <c r="H760" i="13" s="1"/>
  <c r="G792" i="13"/>
  <c r="H792" i="13" s="1"/>
  <c r="G821" i="13"/>
  <c r="H821" i="13" s="1"/>
  <c r="G857" i="13"/>
  <c r="H857" i="13" s="1"/>
  <c r="G889" i="13"/>
  <c r="H889" i="13" s="1"/>
  <c r="G918" i="13"/>
  <c r="H918" i="13" s="1"/>
  <c r="G991" i="13"/>
  <c r="H991" i="13" s="1"/>
  <c r="G16" i="13"/>
  <c r="H16" i="13" s="1"/>
  <c r="G69" i="13"/>
  <c r="H69" i="13" s="1"/>
  <c r="G130" i="13"/>
  <c r="H130" i="13" s="1"/>
  <c r="G191" i="13"/>
  <c r="H191" i="13" s="1"/>
  <c r="G246" i="13"/>
  <c r="H246" i="13" s="1"/>
  <c r="G308" i="13"/>
  <c r="H308" i="13" s="1"/>
  <c r="G340" i="13"/>
  <c r="H340" i="13" s="1"/>
  <c r="G405" i="13"/>
  <c r="H405" i="13" s="1"/>
  <c r="G631" i="13"/>
  <c r="H631" i="13" s="1"/>
  <c r="G959" i="13"/>
  <c r="H959" i="13" s="1"/>
  <c r="G1004" i="13"/>
  <c r="H1004" i="13" s="1"/>
  <c r="G18" i="13"/>
  <c r="H18" i="13" s="1"/>
  <c r="G46" i="13"/>
  <c r="H46" i="13" s="1"/>
  <c r="G77" i="13"/>
  <c r="H77" i="13" s="1"/>
  <c r="G104" i="13"/>
  <c r="H104" i="13" s="1"/>
  <c r="G132" i="13"/>
  <c r="H132" i="13" s="1"/>
  <c r="G165" i="13"/>
  <c r="H165" i="13" s="1"/>
  <c r="G193" i="13"/>
  <c r="H193" i="13" s="1"/>
  <c r="G223" i="13"/>
  <c r="H223" i="13" s="1"/>
  <c r="G257" i="13"/>
  <c r="H257" i="13" s="1"/>
  <c r="G285" i="13"/>
  <c r="H285" i="13" s="1"/>
  <c r="G313" i="13"/>
  <c r="H313" i="13" s="1"/>
  <c r="G349" i="13"/>
  <c r="H349" i="13" s="1"/>
  <c r="G381" i="13"/>
  <c r="H381" i="13" s="1"/>
  <c r="G407" i="13"/>
  <c r="H407" i="13" s="1"/>
  <c r="G446" i="13"/>
  <c r="H446" i="13" s="1"/>
  <c r="G478" i="13"/>
  <c r="H478" i="13" s="1"/>
  <c r="G504" i="13"/>
  <c r="H504" i="13" s="1"/>
  <c r="G543" i="13"/>
  <c r="H543" i="13" s="1"/>
  <c r="G575" i="13"/>
  <c r="H575" i="13" s="1"/>
  <c r="G601" i="13"/>
  <c r="H601" i="13" s="1"/>
  <c r="G640" i="13"/>
  <c r="H640" i="13" s="1"/>
  <c r="G672" i="13"/>
  <c r="H672" i="13" s="1"/>
  <c r="G701" i="13"/>
  <c r="H701" i="13" s="1"/>
  <c r="G737" i="13"/>
  <c r="H737" i="13" s="1"/>
  <c r="G769" i="13"/>
  <c r="H769" i="13" s="1"/>
  <c r="G798" i="13"/>
  <c r="H798" i="13" s="1"/>
  <c r="G834" i="13"/>
  <c r="H834" i="13" s="1"/>
  <c r="G866" i="13"/>
  <c r="H866" i="13" s="1"/>
  <c r="G895" i="13"/>
  <c r="H895" i="13" s="1"/>
  <c r="G931" i="13"/>
  <c r="H931" i="13" s="1"/>
  <c r="G964" i="13"/>
  <c r="H964" i="13" s="1"/>
  <c r="G994" i="13"/>
  <c r="H994" i="13" s="1"/>
  <c r="G948" i="13"/>
  <c r="H948" i="13" s="1"/>
  <c r="G973" i="13"/>
  <c r="H973" i="13" s="1"/>
  <c r="G995" i="13"/>
  <c r="H995" i="13" s="1"/>
  <c r="G8" i="13"/>
  <c r="H8" i="13" s="1"/>
  <c r="G30" i="13"/>
  <c r="H30" i="13" s="1"/>
  <c r="G50" i="13"/>
  <c r="H50" i="13" s="1"/>
  <c r="G71" i="13"/>
  <c r="H71" i="13" s="1"/>
  <c r="G115" i="13"/>
  <c r="H115" i="13" s="1"/>
  <c r="G138" i="13"/>
  <c r="H138" i="13" s="1"/>
  <c r="G161" i="13"/>
  <c r="H161" i="13" s="1"/>
  <c r="G182" i="13"/>
  <c r="H182" i="13" s="1"/>
  <c r="G206" i="13"/>
  <c r="H206" i="13" s="1"/>
  <c r="G227" i="13"/>
  <c r="H227" i="13" s="1"/>
  <c r="G248" i="13"/>
  <c r="H248" i="13" s="1"/>
  <c r="G272" i="13"/>
  <c r="H272" i="13" s="1"/>
  <c r="G295" i="13"/>
  <c r="H295" i="13" s="1"/>
  <c r="G320" i="13"/>
  <c r="H320" i="13" s="1"/>
  <c r="G342" i="13"/>
  <c r="H342" i="13" s="1"/>
  <c r="G367" i="13"/>
  <c r="H367" i="13" s="1"/>
  <c r="G392" i="13"/>
  <c r="H392" i="13" s="1"/>
  <c r="G417" i="13"/>
  <c r="H417" i="13" s="1"/>
  <c r="G439" i="13"/>
  <c r="H439" i="13" s="1"/>
  <c r="G464" i="13"/>
  <c r="H464" i="13" s="1"/>
  <c r="G486" i="13"/>
  <c r="H486" i="13" s="1"/>
  <c r="G514" i="13"/>
  <c r="H514" i="13" s="1"/>
  <c r="G536" i="13"/>
  <c r="H536" i="13" s="1"/>
  <c r="G561" i="13"/>
  <c r="H561" i="13" s="1"/>
  <c r="G583" i="13"/>
  <c r="H583" i="13" s="1"/>
  <c r="G611" i="13"/>
  <c r="H611" i="13" s="1"/>
  <c r="G633" i="13"/>
  <c r="H633" i="13" s="1"/>
  <c r="G658" i="13"/>
  <c r="H658" i="13" s="1"/>
  <c r="G680" i="13"/>
  <c r="H680" i="13" s="1"/>
  <c r="G708" i="13"/>
  <c r="H708" i="13" s="1"/>
  <c r="G733" i="13"/>
  <c r="H733" i="13" s="1"/>
  <c r="G755" i="13"/>
  <c r="H755" i="13" s="1"/>
  <c r="G777" i="13"/>
  <c r="H777" i="13" s="1"/>
  <c r="G802" i="13"/>
  <c r="H802" i="13" s="1"/>
  <c r="G830" i="13"/>
  <c r="H830" i="13" s="1"/>
  <c r="G852" i="13"/>
  <c r="H852" i="13" s="1"/>
  <c r="G877" i="13"/>
  <c r="H877" i="13" s="1"/>
  <c r="G899" i="13"/>
  <c r="H899" i="13" s="1"/>
  <c r="G927" i="13"/>
  <c r="H927" i="13" s="1"/>
  <c r="G949" i="13"/>
  <c r="H949" i="13" s="1"/>
  <c r="G974" i="13"/>
  <c r="H974" i="13" s="1"/>
  <c r="G996" i="13"/>
  <c r="H996" i="13" s="1"/>
  <c r="G9" i="13"/>
  <c r="H9" i="13" s="1"/>
  <c r="G31" i="13"/>
  <c r="H31" i="13" s="1"/>
  <c r="G831" i="13"/>
  <c r="H831" i="13" s="1"/>
  <c r="G10" i="13"/>
  <c r="H10" i="13" s="1"/>
  <c r="G32" i="13"/>
  <c r="H32" i="13" s="1"/>
  <c r="G52" i="13"/>
  <c r="H52" i="13" s="1"/>
  <c r="G73" i="13"/>
  <c r="H73" i="13" s="1"/>
  <c r="G96" i="13"/>
  <c r="H96" i="13" s="1"/>
  <c r="G119" i="13"/>
  <c r="H119" i="13" s="1"/>
  <c r="G142" i="13"/>
  <c r="H142" i="13" s="1"/>
  <c r="G163" i="13"/>
  <c r="H163" i="13" s="1"/>
  <c r="G184" i="13"/>
  <c r="H184" i="13" s="1"/>
  <c r="G208" i="13"/>
  <c r="H208" i="13" s="1"/>
  <c r="G229" i="13"/>
  <c r="H229" i="13" s="1"/>
  <c r="G253" i="13"/>
  <c r="H253" i="13" s="1"/>
  <c r="G276" i="13"/>
  <c r="H276" i="13" s="1"/>
  <c r="G297" i="13"/>
  <c r="H297" i="13" s="1"/>
  <c r="G322" i="13"/>
  <c r="H322" i="13" s="1"/>
  <c r="G344" i="13"/>
  <c r="H344" i="13" s="1"/>
  <c r="G369" i="13"/>
  <c r="H369" i="13" s="1"/>
  <c r="G397" i="13"/>
  <c r="H397" i="13" s="1"/>
  <c r="G419" i="13"/>
  <c r="H419" i="13" s="1"/>
  <c r="G441" i="13"/>
  <c r="H441" i="13" s="1"/>
  <c r="G466" i="13"/>
  <c r="H466" i="13" s="1"/>
  <c r="G494" i="13"/>
  <c r="H494" i="13" s="1"/>
  <c r="G516" i="13"/>
  <c r="H516" i="13" s="1"/>
  <c r="G541" i="13"/>
  <c r="H541" i="13" s="1"/>
  <c r="G563" i="13"/>
  <c r="H563" i="13" s="1"/>
  <c r="G591" i="13"/>
  <c r="H591" i="13" s="1"/>
  <c r="G613" i="13"/>
  <c r="H613" i="13" s="1"/>
  <c r="G638" i="13"/>
  <c r="H638" i="13" s="1"/>
  <c r="G660" i="13"/>
  <c r="H660" i="13" s="1"/>
  <c r="G685" i="13"/>
  <c r="H685" i="13" s="1"/>
  <c r="G710" i="13"/>
  <c r="H710" i="13" s="1"/>
  <c r="G735" i="13"/>
  <c r="H735" i="13" s="1"/>
  <c r="G757" i="13"/>
  <c r="H757" i="13" s="1"/>
  <c r="G782" i="13"/>
  <c r="H782" i="13" s="1"/>
  <c r="G807" i="13"/>
  <c r="H807" i="13" s="1"/>
  <c r="G832" i="13"/>
  <c r="H832" i="13" s="1"/>
  <c r="G854" i="13"/>
  <c r="H854" i="13" s="1"/>
  <c r="G879" i="13"/>
  <c r="H879" i="13" s="1"/>
  <c r="G904" i="13"/>
  <c r="H904" i="13" s="1"/>
  <c r="G929" i="13"/>
  <c r="H929" i="13" s="1"/>
  <c r="G951" i="13"/>
  <c r="H951" i="13" s="1"/>
  <c r="G976" i="13"/>
  <c r="H976" i="13" s="1"/>
  <c r="G970" i="13"/>
  <c r="H970" i="13" s="1"/>
  <c r="G698" i="13"/>
  <c r="H698" i="13" s="1"/>
  <c r="G618" i="13"/>
  <c r="H618" i="13" s="1"/>
  <c r="G586" i="13"/>
  <c r="H586" i="13" s="1"/>
  <c r="G554" i="13"/>
  <c r="H554" i="13" s="1"/>
  <c r="G522" i="13"/>
  <c r="H522" i="13" s="1"/>
  <c r="G490" i="13"/>
  <c r="H490" i="13" s="1"/>
  <c r="G458" i="13"/>
  <c r="H458" i="13" s="1"/>
  <c r="G442" i="13"/>
  <c r="H442" i="13" s="1"/>
  <c r="G426" i="13"/>
  <c r="H426" i="13" s="1"/>
  <c r="G394" i="13"/>
  <c r="H394" i="13" s="1"/>
  <c r="G378" i="13"/>
  <c r="H378" i="13" s="1"/>
  <c r="G362" i="13"/>
  <c r="H362" i="13" s="1"/>
  <c r="G314" i="13"/>
  <c r="H314" i="13" s="1"/>
  <c r="G298" i="13"/>
  <c r="H298" i="13" s="1"/>
  <c r="G282" i="13"/>
  <c r="H282" i="13" s="1"/>
  <c r="G250" i="13"/>
  <c r="H250" i="13" s="1"/>
  <c r="G234" i="13"/>
  <c r="H234" i="13" s="1"/>
  <c r="G218" i="13"/>
  <c r="H218" i="13" s="1"/>
  <c r="G202" i="13"/>
  <c r="H202" i="13" s="1"/>
  <c r="G170" i="13"/>
  <c r="H170" i="13" s="1"/>
  <c r="G154" i="13"/>
  <c r="H154" i="13" s="1"/>
  <c r="G1002" i="13"/>
  <c r="H1002" i="13" s="1"/>
  <c r="G954" i="13"/>
  <c r="H954" i="13" s="1"/>
  <c r="G922" i="13"/>
  <c r="H922" i="13" s="1"/>
  <c r="G906" i="13"/>
  <c r="H906" i="13" s="1"/>
  <c r="G874" i="13"/>
  <c r="H874" i="13" s="1"/>
  <c r="G842" i="13"/>
  <c r="H842" i="13" s="1"/>
  <c r="G810" i="13"/>
  <c r="H810" i="13" s="1"/>
  <c r="G746" i="13"/>
  <c r="H746" i="13" s="1"/>
  <c r="G634" i="13"/>
  <c r="H634" i="13" s="1"/>
  <c r="G506" i="13"/>
  <c r="H506" i="13" s="1"/>
  <c r="G330" i="13"/>
  <c r="H330" i="13" s="1"/>
  <c r="G938" i="13"/>
  <c r="H938" i="13" s="1"/>
  <c r="G890" i="13"/>
  <c r="H890" i="13" s="1"/>
  <c r="G858" i="13"/>
  <c r="H858" i="13" s="1"/>
  <c r="G826" i="13"/>
  <c r="H826" i="13" s="1"/>
  <c r="G794" i="13"/>
  <c r="H794" i="13" s="1"/>
  <c r="G778" i="13"/>
  <c r="H778" i="13" s="1"/>
  <c r="G762" i="13"/>
  <c r="H762" i="13" s="1"/>
  <c r="G730" i="13"/>
  <c r="H730" i="13" s="1"/>
  <c r="G714" i="13"/>
  <c r="H714" i="13" s="1"/>
  <c r="G682" i="13"/>
  <c r="H682" i="13" s="1"/>
  <c r="G666" i="13"/>
  <c r="H666" i="13" s="1"/>
  <c r="G650" i="13"/>
  <c r="H650" i="13" s="1"/>
  <c r="G602" i="13"/>
  <c r="H602" i="13" s="1"/>
  <c r="G570" i="13"/>
  <c r="H570" i="13" s="1"/>
  <c r="G538" i="13"/>
  <c r="H538" i="13" s="1"/>
  <c r="G474" i="13"/>
  <c r="H474" i="13" s="1"/>
  <c r="G410" i="13"/>
  <c r="H410" i="13" s="1"/>
  <c r="G346" i="13"/>
  <c r="H346" i="13" s="1"/>
  <c r="G266" i="13"/>
  <c r="H266" i="13" s="1"/>
  <c r="G186" i="13"/>
  <c r="H186" i="13" s="1"/>
  <c r="G122" i="13"/>
  <c r="H122" i="13" s="1"/>
  <c r="G106" i="13"/>
  <c r="H106" i="13" s="1"/>
  <c r="G90" i="13"/>
  <c r="H90" i="13" s="1"/>
  <c r="G58" i="13"/>
  <c r="H58" i="13" s="1"/>
  <c r="G1001" i="13"/>
  <c r="H1001" i="13" s="1"/>
  <c r="G982" i="13"/>
  <c r="H982" i="13" s="1"/>
  <c r="G963" i="13"/>
  <c r="H963" i="13" s="1"/>
  <c r="G944" i="13"/>
  <c r="H944" i="13" s="1"/>
  <c r="G925" i="13"/>
  <c r="H925" i="13" s="1"/>
  <c r="G903" i="13"/>
  <c r="H903" i="13" s="1"/>
  <c r="G884" i="13"/>
  <c r="H884" i="13" s="1"/>
  <c r="G865" i="13"/>
  <c r="H865" i="13" s="1"/>
  <c r="G846" i="13"/>
  <c r="H846" i="13" s="1"/>
  <c r="G824" i="13"/>
  <c r="H824" i="13" s="1"/>
  <c r="G805" i="13"/>
  <c r="H805" i="13" s="1"/>
  <c r="G786" i="13"/>
  <c r="H786" i="13" s="1"/>
  <c r="G767" i="13"/>
  <c r="H767" i="13" s="1"/>
  <c r="G745" i="13"/>
  <c r="H745" i="13" s="1"/>
  <c r="G726" i="13"/>
  <c r="H726" i="13" s="1"/>
  <c r="G707" i="13"/>
  <c r="H707" i="13" s="1"/>
  <c r="G688" i="13"/>
  <c r="H688" i="13" s="1"/>
  <c r="G669" i="13"/>
  <c r="H669" i="13" s="1"/>
  <c r="G647" i="13"/>
  <c r="H647" i="13" s="1"/>
  <c r="G628" i="13"/>
  <c r="H628" i="13" s="1"/>
  <c r="G609" i="13"/>
  <c r="H609" i="13" s="1"/>
  <c r="G590" i="13"/>
  <c r="H590" i="13" s="1"/>
  <c r="G568" i="13"/>
  <c r="H568" i="13" s="1"/>
  <c r="G549" i="13"/>
  <c r="H549" i="13" s="1"/>
  <c r="G530" i="13"/>
  <c r="H530" i="13" s="1"/>
  <c r="G511" i="13"/>
  <c r="H511" i="13" s="1"/>
  <c r="G489" i="13"/>
  <c r="H489" i="13" s="1"/>
  <c r="G470" i="13"/>
  <c r="H470" i="13" s="1"/>
  <c r="G451" i="13"/>
  <c r="H451" i="13" s="1"/>
  <c r="G432" i="13"/>
  <c r="H432" i="13" s="1"/>
  <c r="G413" i="13"/>
  <c r="H413" i="13" s="1"/>
  <c r="G391" i="13"/>
  <c r="H391" i="13" s="1"/>
  <c r="G372" i="13"/>
  <c r="H372" i="13" s="1"/>
  <c r="G353" i="13"/>
  <c r="H353" i="13" s="1"/>
  <c r="G334" i="13"/>
  <c r="H334" i="13" s="1"/>
  <c r="G312" i="13"/>
  <c r="H312" i="13" s="1"/>
  <c r="G293" i="13"/>
  <c r="H293" i="13" s="1"/>
  <c r="G274" i="13"/>
  <c r="H274" i="13" s="1"/>
  <c r="G255" i="13"/>
  <c r="H255" i="13" s="1"/>
  <c r="G233" i="13"/>
  <c r="H233" i="13" s="1"/>
  <c r="G214" i="13"/>
  <c r="H214" i="13" s="1"/>
  <c r="G195" i="13"/>
  <c r="H195" i="13" s="1"/>
  <c r="G176" i="13"/>
  <c r="H176" i="13" s="1"/>
  <c r="G157" i="13"/>
  <c r="H157" i="13" s="1"/>
  <c r="G136" i="13"/>
  <c r="H136" i="13" s="1"/>
  <c r="G117" i="13"/>
  <c r="H117" i="13" s="1"/>
  <c r="G98" i="13"/>
  <c r="H98" i="13" s="1"/>
  <c r="G79" i="13"/>
  <c r="H79" i="13" s="1"/>
  <c r="G61" i="13"/>
  <c r="H61" i="13" s="1"/>
  <c r="G40" i="13"/>
  <c r="H40" i="13" s="1"/>
  <c r="G22" i="13"/>
  <c r="H22" i="13" s="1"/>
  <c r="G135" i="13"/>
  <c r="H135" i="13" s="1"/>
  <c r="G1000" i="13"/>
  <c r="H1000" i="13" s="1"/>
  <c r="G981" i="13"/>
  <c r="H981" i="13" s="1"/>
  <c r="G962" i="13"/>
  <c r="H962" i="13" s="1"/>
  <c r="G943" i="13"/>
  <c r="H943" i="13" s="1"/>
  <c r="G921" i="13"/>
  <c r="H921" i="13" s="1"/>
  <c r="G902" i="13"/>
  <c r="H902" i="13" s="1"/>
  <c r="G883" i="13"/>
  <c r="H883" i="13" s="1"/>
  <c r="G864" i="13"/>
  <c r="H864" i="13" s="1"/>
  <c r="G845" i="13"/>
  <c r="H845" i="13" s="1"/>
  <c r="G823" i="13"/>
  <c r="H823" i="13" s="1"/>
  <c r="G804" i="13"/>
  <c r="H804" i="13" s="1"/>
  <c r="G785" i="13"/>
  <c r="H785" i="13" s="1"/>
  <c r="G766" i="13"/>
  <c r="H766" i="13" s="1"/>
  <c r="G744" i="13"/>
  <c r="H744" i="13" s="1"/>
  <c r="G725" i="13"/>
  <c r="H725" i="13" s="1"/>
  <c r="G706" i="13"/>
  <c r="H706" i="13" s="1"/>
  <c r="G687" i="13"/>
  <c r="H687" i="13" s="1"/>
  <c r="G665" i="13"/>
  <c r="H665" i="13" s="1"/>
  <c r="G646" i="13"/>
  <c r="H646" i="13" s="1"/>
  <c r="G627" i="13"/>
  <c r="H627" i="13" s="1"/>
  <c r="G608" i="13"/>
  <c r="H608" i="13" s="1"/>
  <c r="G589" i="13"/>
  <c r="H589" i="13" s="1"/>
  <c r="G567" i="13"/>
  <c r="H567" i="13" s="1"/>
  <c r="G548" i="13"/>
  <c r="H548" i="13" s="1"/>
  <c r="G529" i="13"/>
  <c r="H529" i="13" s="1"/>
  <c r="G510" i="13"/>
  <c r="H510" i="13" s="1"/>
  <c r="G488" i="13"/>
  <c r="H488" i="13" s="1"/>
  <c r="G469" i="13"/>
  <c r="H469" i="13" s="1"/>
  <c r="G450" i="13"/>
  <c r="H450" i="13" s="1"/>
  <c r="G431" i="13"/>
  <c r="H431" i="13" s="1"/>
  <c r="G409" i="13"/>
  <c r="H409" i="13" s="1"/>
  <c r="G390" i="13"/>
  <c r="H390" i="13" s="1"/>
  <c r="G371" i="13"/>
  <c r="H371" i="13" s="1"/>
  <c r="G352" i="13"/>
  <c r="H352" i="13" s="1"/>
  <c r="G333" i="13"/>
  <c r="H333" i="13" s="1"/>
  <c r="G311" i="13"/>
  <c r="H311" i="13" s="1"/>
  <c r="G292" i="13"/>
  <c r="H292" i="13" s="1"/>
  <c r="G273" i="13"/>
  <c r="H273" i="13" s="1"/>
  <c r="G254" i="13"/>
  <c r="H254" i="13" s="1"/>
  <c r="G232" i="13"/>
  <c r="H232" i="13" s="1"/>
  <c r="G213" i="13"/>
  <c r="H213" i="13" s="1"/>
  <c r="G194" i="13"/>
  <c r="H194" i="13" s="1"/>
  <c r="G175" i="13"/>
  <c r="H175" i="13" s="1"/>
  <c r="G153" i="13"/>
  <c r="H153" i="13" s="1"/>
  <c r="G116" i="13"/>
  <c r="H116" i="13" s="1"/>
  <c r="G97" i="13"/>
  <c r="H97" i="13" s="1"/>
  <c r="G78" i="13"/>
  <c r="H78" i="13" s="1"/>
  <c r="G57" i="13"/>
  <c r="H57" i="13" s="1"/>
  <c r="G39" i="13"/>
  <c r="H39" i="13" s="1"/>
  <c r="G21" i="13"/>
  <c r="H21" i="13" s="1"/>
  <c r="G980" i="13"/>
  <c r="H980" i="13" s="1"/>
  <c r="G961" i="13"/>
  <c r="H961" i="13" s="1"/>
  <c r="G942" i="13"/>
  <c r="H942" i="13" s="1"/>
  <c r="G920" i="13"/>
  <c r="H920" i="13" s="1"/>
  <c r="G901" i="13"/>
  <c r="H901" i="13" s="1"/>
  <c r="G882" i="13"/>
  <c r="H882" i="13" s="1"/>
  <c r="G863" i="13"/>
  <c r="H863" i="13" s="1"/>
  <c r="G841" i="13"/>
  <c r="H841" i="13" s="1"/>
  <c r="G822" i="13"/>
  <c r="H822" i="13" s="1"/>
  <c r="G803" i="13"/>
  <c r="H803" i="13" s="1"/>
  <c r="G784" i="13"/>
  <c r="H784" i="13" s="1"/>
  <c r="G765" i="13"/>
  <c r="H765" i="13" s="1"/>
  <c r="G743" i="13"/>
  <c r="H743" i="13" s="1"/>
  <c r="G724" i="13"/>
  <c r="H724" i="13" s="1"/>
  <c r="G705" i="13"/>
  <c r="H705" i="13" s="1"/>
  <c r="G686" i="13"/>
  <c r="H686" i="13" s="1"/>
  <c r="G664" i="13"/>
  <c r="H664" i="13" s="1"/>
  <c r="G645" i="13"/>
  <c r="H645" i="13" s="1"/>
  <c r="G626" i="13"/>
  <c r="H626" i="13" s="1"/>
  <c r="G607" i="13"/>
  <c r="H607" i="13" s="1"/>
  <c r="G585" i="13"/>
  <c r="H585" i="13" s="1"/>
  <c r="G566" i="13"/>
  <c r="H566" i="13" s="1"/>
  <c r="G547" i="13"/>
  <c r="H547" i="13" s="1"/>
  <c r="G528" i="13"/>
  <c r="H528" i="13" s="1"/>
  <c r="G509" i="13"/>
  <c r="H509" i="13" s="1"/>
  <c r="G487" i="13"/>
  <c r="H487" i="13" s="1"/>
  <c r="G468" i="13"/>
  <c r="H468" i="13" s="1"/>
  <c r="G449" i="13"/>
  <c r="H449" i="13" s="1"/>
  <c r="G430" i="13"/>
  <c r="H430" i="13" s="1"/>
  <c r="G408" i="13"/>
  <c r="H408" i="13" s="1"/>
  <c r="G389" i="13"/>
  <c r="H389" i="13" s="1"/>
  <c r="G370" i="13"/>
  <c r="H370" i="13" s="1"/>
  <c r="G351" i="13"/>
  <c r="H351" i="13" s="1"/>
  <c r="G329" i="13"/>
  <c r="H329" i="13" s="1"/>
  <c r="G310" i="13"/>
  <c r="H310" i="13" s="1"/>
  <c r="G51" i="13"/>
  <c r="H51" i="13" s="1"/>
  <c r="G72" i="13"/>
  <c r="H72" i="13" s="1"/>
  <c r="G95" i="13"/>
  <c r="H95" i="13" s="1"/>
  <c r="G118" i="13"/>
  <c r="H118" i="13" s="1"/>
  <c r="G141" i="13"/>
  <c r="H141" i="13" s="1"/>
  <c r="G162" i="13"/>
  <c r="H162" i="13" s="1"/>
  <c r="G183" i="13"/>
  <c r="H183" i="13" s="1"/>
  <c r="G207" i="13"/>
  <c r="H207" i="13" s="1"/>
  <c r="G228" i="13"/>
  <c r="H228" i="13" s="1"/>
  <c r="G249" i="13"/>
  <c r="H249" i="13" s="1"/>
  <c r="G275" i="13"/>
  <c r="H275" i="13" s="1"/>
  <c r="G296" i="13"/>
  <c r="H296" i="13" s="1"/>
  <c r="G321" i="13"/>
  <c r="H321" i="13" s="1"/>
  <c r="G343" i="13"/>
  <c r="H343" i="13" s="1"/>
  <c r="G368" i="13"/>
  <c r="H368" i="13" s="1"/>
  <c r="G393" i="13"/>
  <c r="H393" i="13" s="1"/>
  <c r="G418" i="13"/>
  <c r="H418" i="13" s="1"/>
  <c r="G440" i="13"/>
  <c r="H440" i="13" s="1"/>
  <c r="G465" i="13"/>
  <c r="H465" i="13" s="1"/>
  <c r="G493" i="13"/>
  <c r="H493" i="13" s="1"/>
  <c r="G515" i="13"/>
  <c r="H515" i="13" s="1"/>
  <c r="G537" i="13"/>
  <c r="H537" i="13" s="1"/>
  <c r="G562" i="13"/>
  <c r="H562" i="13" s="1"/>
  <c r="G584" i="13"/>
  <c r="H584" i="13" s="1"/>
  <c r="G612" i="13"/>
  <c r="H612" i="13" s="1"/>
  <c r="G637" i="13"/>
  <c r="H637" i="13" s="1"/>
  <c r="G659" i="13"/>
  <c r="H659" i="13" s="1"/>
  <c r="G681" i="13"/>
  <c r="H681" i="13" s="1"/>
  <c r="G709" i="13"/>
  <c r="H709" i="13" s="1"/>
  <c r="G734" i="13"/>
  <c r="H734" i="13" s="1"/>
  <c r="G756" i="13"/>
  <c r="H756" i="13" s="1"/>
  <c r="G781" i="13"/>
  <c r="H781" i="13" s="1"/>
  <c r="G806" i="13"/>
  <c r="H806" i="13" s="1"/>
  <c r="G853" i="13"/>
  <c r="H853" i="13" s="1"/>
  <c r="G878" i="13"/>
  <c r="H878" i="13" s="1"/>
  <c r="G900" i="13"/>
  <c r="H900" i="13" s="1"/>
  <c r="G928" i="13"/>
  <c r="H928" i="13" s="1"/>
  <c r="G950" i="13"/>
  <c r="H950" i="13" s="1"/>
  <c r="G975" i="13"/>
  <c r="H975" i="13" s="1"/>
  <c r="G997" i="13"/>
  <c r="H997" i="13" s="1"/>
  <c r="G13" i="13"/>
  <c r="H13" i="13" s="1"/>
  <c r="G33" i="13"/>
  <c r="H33" i="13" s="1"/>
  <c r="G53" i="13"/>
  <c r="H53" i="13" s="1"/>
  <c r="G74" i="13"/>
  <c r="H74" i="13" s="1"/>
  <c r="G99" i="13"/>
  <c r="H99" i="13" s="1"/>
  <c r="G120" i="13"/>
  <c r="H120" i="13" s="1"/>
  <c r="G143" i="13"/>
  <c r="H143" i="13" s="1"/>
  <c r="G164" i="13"/>
  <c r="H164" i="13" s="1"/>
  <c r="G185" i="13"/>
  <c r="H185" i="13" s="1"/>
  <c r="G209" i="13"/>
  <c r="H209" i="13" s="1"/>
  <c r="G230" i="13"/>
  <c r="H230" i="13" s="1"/>
  <c r="G256" i="13"/>
  <c r="H256" i="13" s="1"/>
  <c r="G277" i="13"/>
  <c r="H277" i="13" s="1"/>
  <c r="G301" i="13"/>
  <c r="H301" i="13" s="1"/>
  <c r="G323" i="13"/>
  <c r="H323" i="13" s="1"/>
  <c r="G345" i="13"/>
  <c r="H345" i="13" s="1"/>
  <c r="G373" i="13"/>
  <c r="H373" i="13" s="1"/>
  <c r="G398" i="13"/>
  <c r="H398" i="13" s="1"/>
  <c r="G420" i="13"/>
  <c r="H420" i="13" s="1"/>
  <c r="G445" i="13"/>
  <c r="H445" i="13" s="1"/>
  <c r="G467" i="13"/>
  <c r="H467" i="13" s="1"/>
  <c r="G495" i="13"/>
  <c r="H495" i="13" s="1"/>
  <c r="G517" i="13"/>
  <c r="H517" i="13" s="1"/>
  <c r="G542" i="13"/>
  <c r="H542" i="13" s="1"/>
  <c r="G564" i="13"/>
  <c r="H564" i="13" s="1"/>
  <c r="G592" i="13"/>
  <c r="H592" i="13" s="1"/>
  <c r="G614" i="13"/>
  <c r="H614" i="13" s="1"/>
  <c r="G639" i="13"/>
  <c r="H639" i="13" s="1"/>
  <c r="G661" i="13"/>
  <c r="H661" i="13" s="1"/>
  <c r="G689" i="13"/>
  <c r="H689" i="13" s="1"/>
  <c r="G711" i="13"/>
  <c r="H711" i="13" s="1"/>
  <c r="G736" i="13"/>
  <c r="H736" i="13" s="1"/>
  <c r="G758" i="13"/>
  <c r="H758" i="13" s="1"/>
  <c r="G783" i="13"/>
  <c r="H783" i="13" s="1"/>
  <c r="G808" i="13"/>
  <c r="H808" i="13" s="1"/>
  <c r="G833" i="13"/>
  <c r="H833" i="13" s="1"/>
  <c r="G855" i="13"/>
  <c r="H855" i="13" s="1"/>
  <c r="G880" i="13"/>
  <c r="H880" i="13" s="1"/>
  <c r="G905" i="13"/>
  <c r="H905" i="13" s="1"/>
  <c r="G930" i="13"/>
  <c r="H930" i="13" s="1"/>
  <c r="G952" i="13"/>
  <c r="H952" i="13" s="1"/>
  <c r="G977" i="13"/>
  <c r="H977" i="13" s="1"/>
  <c r="G999" i="13"/>
  <c r="H999" i="13" s="1"/>
  <c r="G986" i="13"/>
  <c r="H986" i="13" s="1"/>
  <c r="G11" i="13"/>
  <c r="H11" i="13" s="1"/>
  <c r="G27" i="13"/>
  <c r="H27" i="13" s="1"/>
  <c r="G43" i="13"/>
  <c r="H43" i="13" s="1"/>
  <c r="G59" i="13"/>
  <c r="H59" i="13" s="1"/>
  <c r="G75" i="13"/>
  <c r="H75" i="13" s="1"/>
  <c r="G91" i="13"/>
  <c r="H91" i="13" s="1"/>
  <c r="G107" i="13"/>
  <c r="H107" i="13" s="1"/>
  <c r="G123" i="13"/>
  <c r="H123" i="13" s="1"/>
  <c r="G139" i="13"/>
  <c r="H139" i="13" s="1"/>
  <c r="G155" i="13"/>
  <c r="H155" i="13" s="1"/>
  <c r="G171" i="13"/>
  <c r="H171" i="13" s="1"/>
  <c r="G187" i="13"/>
  <c r="H187" i="13" s="1"/>
  <c r="G203" i="13"/>
  <c r="H203" i="13" s="1"/>
  <c r="G219" i="13"/>
  <c r="H219" i="13" s="1"/>
  <c r="G235" i="13"/>
  <c r="H235" i="13" s="1"/>
  <c r="G251" i="13"/>
  <c r="H251" i="13" s="1"/>
  <c r="G267" i="13"/>
  <c r="H267" i="13" s="1"/>
  <c r="G283" i="13"/>
  <c r="H283" i="13" s="1"/>
  <c r="G299" i="13"/>
  <c r="H299" i="13" s="1"/>
  <c r="G315" i="13"/>
  <c r="H315" i="13" s="1"/>
  <c r="G331" i="13"/>
  <c r="H331" i="13" s="1"/>
  <c r="G347" i="13"/>
  <c r="H347" i="13" s="1"/>
  <c r="G363" i="13"/>
  <c r="H363" i="13" s="1"/>
  <c r="G379" i="13"/>
  <c r="H379" i="13" s="1"/>
  <c r="G395" i="13"/>
  <c r="H395" i="13" s="1"/>
  <c r="G411" i="13"/>
  <c r="H411" i="13" s="1"/>
  <c r="G427" i="13"/>
  <c r="H427" i="13" s="1"/>
  <c r="G443" i="13"/>
  <c r="H443" i="13" s="1"/>
  <c r="G459" i="13"/>
  <c r="H459" i="13" s="1"/>
  <c r="G475" i="13"/>
  <c r="H475" i="13" s="1"/>
  <c r="G491" i="13"/>
  <c r="H491" i="13" s="1"/>
  <c r="G507" i="13"/>
  <c r="H507" i="13" s="1"/>
  <c r="G523" i="13"/>
  <c r="H523" i="13" s="1"/>
  <c r="G539" i="13"/>
  <c r="H539" i="13" s="1"/>
  <c r="G555" i="13"/>
  <c r="H555" i="13" s="1"/>
  <c r="G571" i="13"/>
  <c r="H571" i="13" s="1"/>
  <c r="G587" i="13"/>
  <c r="H587" i="13" s="1"/>
  <c r="G603" i="13"/>
  <c r="H603" i="13" s="1"/>
  <c r="G619" i="13"/>
  <c r="H619" i="13" s="1"/>
  <c r="G635" i="13"/>
  <c r="H635" i="13" s="1"/>
  <c r="G651" i="13"/>
  <c r="H651" i="13" s="1"/>
  <c r="G667" i="13"/>
  <c r="H667" i="13" s="1"/>
  <c r="G683" i="13"/>
  <c r="H683" i="13" s="1"/>
  <c r="G699" i="13"/>
  <c r="H699" i="13" s="1"/>
  <c r="G715" i="13"/>
  <c r="H715" i="13" s="1"/>
  <c r="G731" i="13"/>
  <c r="H731" i="13" s="1"/>
  <c r="G747" i="13"/>
  <c r="H747" i="13" s="1"/>
  <c r="G763" i="13"/>
  <c r="H763" i="13" s="1"/>
  <c r="G779" i="13"/>
  <c r="H779" i="13" s="1"/>
  <c r="G795" i="13"/>
  <c r="H795" i="13" s="1"/>
  <c r="G811" i="13"/>
  <c r="H811" i="13" s="1"/>
  <c r="G827" i="13"/>
  <c r="H827" i="13" s="1"/>
  <c r="G843" i="13"/>
  <c r="H843" i="13" s="1"/>
  <c r="G859" i="13"/>
  <c r="H859" i="13" s="1"/>
  <c r="G875" i="13"/>
  <c r="H875" i="13" s="1"/>
  <c r="G891" i="13"/>
  <c r="H891" i="13" s="1"/>
  <c r="G907" i="13"/>
  <c r="H907" i="13" s="1"/>
  <c r="G923" i="13"/>
  <c r="H923" i="13" s="1"/>
  <c r="G939" i="13"/>
  <c r="H939" i="13" s="1"/>
  <c r="G955" i="13"/>
  <c r="H955" i="13" s="1"/>
  <c r="G971" i="13"/>
  <c r="H971" i="13" s="1"/>
  <c r="G987" i="13"/>
  <c r="H987" i="13" s="1"/>
  <c r="G1003" i="13"/>
  <c r="H1003" i="13" s="1"/>
  <c r="G12" i="13"/>
  <c r="H12" i="13" s="1"/>
  <c r="G28" i="13"/>
  <c r="H28" i="13" s="1"/>
  <c r="G44" i="13"/>
  <c r="H44" i="13" s="1"/>
  <c r="G60" i="13"/>
  <c r="H60" i="13" s="1"/>
  <c r="G76" i="13"/>
  <c r="H76" i="13" s="1"/>
  <c r="G92" i="13"/>
  <c r="H92" i="13" s="1"/>
  <c r="G108" i="13"/>
  <c r="H108" i="13" s="1"/>
  <c r="G124" i="13"/>
  <c r="H124" i="13" s="1"/>
  <c r="G140" i="13"/>
  <c r="H140" i="13" s="1"/>
  <c r="G156" i="13"/>
  <c r="H156" i="13" s="1"/>
  <c r="G172" i="13"/>
  <c r="H172" i="13" s="1"/>
  <c r="G188" i="13"/>
  <c r="H188" i="13" s="1"/>
  <c r="G204" i="13"/>
  <c r="H204" i="13" s="1"/>
  <c r="G220" i="13"/>
  <c r="H220" i="13" s="1"/>
  <c r="G236" i="13"/>
  <c r="H236" i="13" s="1"/>
  <c r="G252" i="13"/>
  <c r="H252" i="13" s="1"/>
  <c r="G268" i="13"/>
  <c r="H268" i="13" s="1"/>
  <c r="G284" i="13"/>
  <c r="H284" i="13" s="1"/>
  <c r="G300" i="13"/>
  <c r="H300" i="13" s="1"/>
  <c r="G316" i="13"/>
  <c r="H316" i="13" s="1"/>
  <c r="G332" i="13"/>
  <c r="H332" i="13" s="1"/>
  <c r="G348" i="13"/>
  <c r="H348" i="13" s="1"/>
  <c r="G364" i="13"/>
  <c r="H364" i="13" s="1"/>
  <c r="G380" i="13"/>
  <c r="H380" i="13" s="1"/>
  <c r="G396" i="13"/>
  <c r="H396" i="13" s="1"/>
  <c r="G412" i="13"/>
  <c r="H412" i="13" s="1"/>
  <c r="G428" i="13"/>
  <c r="H428" i="13" s="1"/>
  <c r="G444" i="13"/>
  <c r="H444" i="13" s="1"/>
  <c r="G460" i="13"/>
  <c r="H460" i="13" s="1"/>
  <c r="G476" i="13"/>
  <c r="H476" i="13" s="1"/>
  <c r="G492" i="13"/>
  <c r="H492" i="13" s="1"/>
  <c r="G508" i="13"/>
  <c r="H508" i="13" s="1"/>
  <c r="G524" i="13"/>
  <c r="H524" i="13" s="1"/>
  <c r="G540" i="13"/>
  <c r="H540" i="13" s="1"/>
  <c r="G556" i="13"/>
  <c r="H556" i="13" s="1"/>
  <c r="G572" i="13"/>
  <c r="H572" i="13" s="1"/>
  <c r="G588" i="13"/>
  <c r="H588" i="13" s="1"/>
  <c r="G604" i="13"/>
  <c r="H604" i="13" s="1"/>
  <c r="G620" i="13"/>
  <c r="H620" i="13" s="1"/>
  <c r="G636" i="13"/>
  <c r="H636" i="13" s="1"/>
  <c r="G652" i="13"/>
  <c r="H652" i="13" s="1"/>
  <c r="G668" i="13"/>
  <c r="H668" i="13" s="1"/>
  <c r="G684" i="13"/>
  <c r="H684" i="13" s="1"/>
  <c r="G700" i="13"/>
  <c r="H700" i="13" s="1"/>
  <c r="G716" i="13"/>
  <c r="H716" i="13" s="1"/>
  <c r="G732" i="13"/>
  <c r="H732" i="13" s="1"/>
  <c r="G748" i="13"/>
  <c r="H748" i="13" s="1"/>
  <c r="G764" i="13"/>
  <c r="H764" i="13" s="1"/>
  <c r="G780" i="13"/>
  <c r="H780" i="13" s="1"/>
  <c r="G796" i="13"/>
  <c r="H796" i="13" s="1"/>
  <c r="G812" i="13"/>
  <c r="H812" i="13" s="1"/>
  <c r="G828" i="13"/>
  <c r="H828" i="13" s="1"/>
  <c r="G844" i="13"/>
  <c r="H844" i="13" s="1"/>
  <c r="G860" i="13"/>
  <c r="H860" i="13" s="1"/>
  <c r="G876" i="13"/>
  <c r="H876" i="13" s="1"/>
  <c r="G892" i="13"/>
  <c r="H892" i="13" s="1"/>
  <c r="G908" i="13"/>
  <c r="H908" i="13" s="1"/>
  <c r="G924" i="13"/>
  <c r="H924" i="13" s="1"/>
  <c r="G940" i="13"/>
  <c r="H940" i="13" s="1"/>
  <c r="G956" i="13"/>
  <c r="H956" i="13" s="1"/>
  <c r="G972" i="13"/>
  <c r="H972" i="13" s="1"/>
  <c r="G988" i="13"/>
  <c r="H988" i="13" s="1"/>
  <c r="G691" i="13"/>
  <c r="H691" i="13" s="1"/>
  <c r="G617" i="13"/>
  <c r="H617" i="13" s="1"/>
  <c r="G424" i="13"/>
  <c r="H424" i="13" s="1"/>
  <c r="G212" i="13"/>
  <c r="H212" i="13" s="1"/>
  <c r="G663" i="13"/>
  <c r="H663" i="13" s="1"/>
  <c r="G867" i="13"/>
  <c r="H867" i="13" s="1"/>
  <c r="G773" i="13"/>
  <c r="H773" i="13" s="1"/>
  <c r="G485" i="13"/>
  <c r="H485" i="13" s="1"/>
  <c r="G94" i="13"/>
  <c r="H94" i="13" s="1"/>
  <c r="G945" i="13"/>
  <c r="H945" i="13" s="1"/>
  <c r="G998" i="13"/>
  <c r="H998" i="13" s="1"/>
  <c r="G851" i="13"/>
  <c r="H851" i="13" s="1"/>
  <c r="K5" i="13" l="1"/>
</calcChain>
</file>

<file path=xl/sharedStrings.xml><?xml version="1.0" encoding="utf-8"?>
<sst xmlns="http://schemas.openxmlformats.org/spreadsheetml/2006/main" count="29" uniqueCount="27">
  <si>
    <t>TJX STRATEGIC INPUTS</t>
  </si>
  <si>
    <t>Inventory Cost ($M)</t>
  </si>
  <si>
    <t>Retail Target ($M)</t>
  </si>
  <si>
    <t>Base Freight ($M)</t>
  </si>
  <si>
    <t>FX Spot</t>
  </si>
  <si>
    <t>Volatility (%)</t>
  </si>
  <si>
    <t>Trial</t>
  </si>
  <si>
    <t>FX Rate</t>
  </si>
  <si>
    <t>Profit $</t>
  </si>
  <si>
    <t>Margin %</t>
  </si>
  <si>
    <t>Freight Multiplier</t>
  </si>
  <si>
    <t>Hedge Ratio</t>
  </si>
  <si>
    <t>Scenario Name</t>
  </si>
  <si>
    <t>FX Volatility</t>
  </si>
  <si>
    <t>Baseline</t>
  </si>
  <si>
    <t>Market Crisis</t>
  </si>
  <si>
    <t>Inflationary</t>
  </si>
  <si>
    <t>Black Swan</t>
  </si>
  <si>
    <t>Low Volatility</t>
  </si>
  <si>
    <t>Stable Market</t>
  </si>
  <si>
    <t>Hedge Ratio (%)</t>
  </si>
  <si>
    <t>The TJX Companies: FX Risk Hedging Model</t>
  </si>
  <si>
    <t>Simulated Profit at 95% VaR:</t>
  </si>
  <si>
    <t>Freight Mult</t>
  </si>
  <si>
    <t>Scenario Selector:</t>
  </si>
  <si>
    <t>Hedged Rate</t>
  </si>
  <si>
    <t>FX Spot (EUR/USD)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</si>
</sst>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Color10]&quot;$&quot;\ #,##0.00\ &quot;M&quot;\ ;[Red]&quot;$&quot;\ \-#,##0.00\ &quot;M&quot;\ ;[White]&quot;$&quot;\ 0.00\ &quot;M&quot;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3232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A5002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50021"/>
        <bgColor indexed="64"/>
      </patternFill>
    </fill>
  </fills>
  <borders count="8">
    <border>
      <left/>
      <right/>
      <top/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/>
      <top style="thin">
        <color rgb="FF505050"/>
      </top>
      <bottom style="thin">
        <color rgb="FF505050"/>
      </bottom>
      <diagonal/>
    </border>
    <border>
      <left/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3" fillId="2" borderId="1" xfId="0" applyFont="1" applyFill="1" applyBorder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1" fillId="2" borderId="0" xfId="0" applyFont="1" applyFill="1"/>
    <xf numFmtId="164" fontId="2" fillId="2" borderId="0" xfId="0" applyNumberFormat="1" applyFont="1" applyFill="1"/>
    <xf numFmtId="0" fontId="8" fillId="2" borderId="0" xfId="0" applyFont="1" applyFill="1" applyAlignment="1">
      <alignment horizontal="right"/>
    </xf>
    <xf numFmtId="0" fontId="6" fillId="3" borderId="5" xfId="0" applyFont="1" applyFill="1" applyBorder="1"/>
    <xf numFmtId="0" fontId="0" fillId="3" borderId="6" xfId="0" applyFill="1" applyBorder="1"/>
    <xf numFmtId="0" fontId="7" fillId="3" borderId="6" xfId="0" applyFont="1" applyFill="1" applyBorder="1"/>
    <xf numFmtId="0" fontId="0" fillId="3" borderId="7" xfId="0" applyFill="1" applyBorder="1"/>
    <xf numFmtId="0" fontId="0" fillId="2" borderId="4" xfId="0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</cellXfs>
  <cellStyles count="1">
    <cellStyle name="Normal" xfId="0" builtinId="0"/>
  </cellStyles>
  <dxfs count="8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Model!$G$4</c:f>
              <c:strCache>
                <c:ptCount val="1"/>
                <c:pt idx="0">
                  <c:v>Profit $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Model!$G$5:$G$1004</c:f>
              <c:numCache>
                <c:formatCode>General</c:formatCode>
                <c:ptCount val="1000"/>
                <c:pt idx="0">
                  <c:v>1426.1966459271594</c:v>
                </c:pt>
                <c:pt idx="1">
                  <c:v>1950.5768033607292</c:v>
                </c:pt>
                <c:pt idx="2">
                  <c:v>1894.8435666410965</c:v>
                </c:pt>
                <c:pt idx="3">
                  <c:v>1705.5299619134457</c:v>
                </c:pt>
                <c:pt idx="4">
                  <c:v>1627.9563077305138</c:v>
                </c:pt>
                <c:pt idx="5">
                  <c:v>1788.8239885957032</c:v>
                </c:pt>
                <c:pt idx="6">
                  <c:v>2000.3020065857402</c:v>
                </c:pt>
                <c:pt idx="7">
                  <c:v>2117.7958101956174</c:v>
                </c:pt>
                <c:pt idx="8">
                  <c:v>2163.4758751738486</c:v>
                </c:pt>
                <c:pt idx="9">
                  <c:v>1124.5863808650415</c:v>
                </c:pt>
                <c:pt idx="10">
                  <c:v>2032.2342809943052</c:v>
                </c:pt>
                <c:pt idx="11">
                  <c:v>1935.0188993053021</c:v>
                </c:pt>
                <c:pt idx="12">
                  <c:v>2082.0482030175863</c:v>
                </c:pt>
                <c:pt idx="13">
                  <c:v>1925.1606267038298</c:v>
                </c:pt>
                <c:pt idx="14">
                  <c:v>1247.1710537959216</c:v>
                </c:pt>
                <c:pt idx="15">
                  <c:v>1235.8572621543879</c:v>
                </c:pt>
                <c:pt idx="16">
                  <c:v>1408.4949070279617</c:v>
                </c:pt>
                <c:pt idx="17">
                  <c:v>1518.5363736421514</c:v>
                </c:pt>
                <c:pt idx="18">
                  <c:v>2596.4837341480838</c:v>
                </c:pt>
                <c:pt idx="19">
                  <c:v>2113.4080591153584</c:v>
                </c:pt>
                <c:pt idx="20">
                  <c:v>1617.8402418822061</c:v>
                </c:pt>
                <c:pt idx="21">
                  <c:v>1861.9349517121782</c:v>
                </c:pt>
                <c:pt idx="22">
                  <c:v>1854.985278897853</c:v>
                </c:pt>
                <c:pt idx="23">
                  <c:v>1788.8876903069661</c:v>
                </c:pt>
                <c:pt idx="24">
                  <c:v>1616.7966221065205</c:v>
                </c:pt>
                <c:pt idx="25">
                  <c:v>2128.8326977672632</c:v>
                </c:pt>
                <c:pt idx="26">
                  <c:v>1815.9808177215148</c:v>
                </c:pt>
                <c:pt idx="27">
                  <c:v>1864.9567889661441</c:v>
                </c:pt>
                <c:pt idx="28">
                  <c:v>1844.5215633445359</c:v>
                </c:pt>
                <c:pt idx="29">
                  <c:v>1561.1468791536934</c:v>
                </c:pt>
                <c:pt idx="30">
                  <c:v>1758.0551504394118</c:v>
                </c:pt>
                <c:pt idx="31">
                  <c:v>1354.214625021986</c:v>
                </c:pt>
                <c:pt idx="32">
                  <c:v>2151.9336362129011</c:v>
                </c:pt>
                <c:pt idx="33">
                  <c:v>1491.9623343802996</c:v>
                </c:pt>
                <c:pt idx="34">
                  <c:v>1697.6118231279502</c:v>
                </c:pt>
                <c:pt idx="35">
                  <c:v>1797.8539336121589</c:v>
                </c:pt>
                <c:pt idx="36">
                  <c:v>1935.3171731999503</c:v>
                </c:pt>
                <c:pt idx="37">
                  <c:v>2140.8078750109698</c:v>
                </c:pt>
                <c:pt idx="38">
                  <c:v>1301.7370320539358</c:v>
                </c:pt>
                <c:pt idx="39">
                  <c:v>1599.0893727958751</c:v>
                </c:pt>
                <c:pt idx="40">
                  <c:v>1396.7338864137873</c:v>
                </c:pt>
                <c:pt idx="41">
                  <c:v>1050.0785531547813</c:v>
                </c:pt>
                <c:pt idx="42">
                  <c:v>1457.5401480904816</c:v>
                </c:pt>
                <c:pt idx="43">
                  <c:v>1751.4108020562087</c:v>
                </c:pt>
                <c:pt idx="44">
                  <c:v>2030.9722348979517</c:v>
                </c:pt>
                <c:pt idx="45">
                  <c:v>1518.5004989355452</c:v>
                </c:pt>
                <c:pt idx="46">
                  <c:v>1255.9759679435224</c:v>
                </c:pt>
                <c:pt idx="47">
                  <c:v>1779.7331869051509</c:v>
                </c:pt>
                <c:pt idx="48">
                  <c:v>1905.1406290286582</c:v>
                </c:pt>
                <c:pt idx="49">
                  <c:v>1713.1220572656555</c:v>
                </c:pt>
                <c:pt idx="50">
                  <c:v>1925.7642253030644</c:v>
                </c:pt>
                <c:pt idx="51">
                  <c:v>1906.165354961392</c:v>
                </c:pt>
                <c:pt idx="52">
                  <c:v>1100.205168337814</c:v>
                </c:pt>
                <c:pt idx="53">
                  <c:v>1834.7615405983688</c:v>
                </c:pt>
                <c:pt idx="54">
                  <c:v>1633.2570052014707</c:v>
                </c:pt>
                <c:pt idx="55">
                  <c:v>1592.8818616006881</c:v>
                </c:pt>
                <c:pt idx="56">
                  <c:v>1629.6303572406182</c:v>
                </c:pt>
                <c:pt idx="57">
                  <c:v>1790.5095477162379</c:v>
                </c:pt>
                <c:pt idx="58">
                  <c:v>1661.5293166147248</c:v>
                </c:pt>
                <c:pt idx="59">
                  <c:v>1264.9596658047753</c:v>
                </c:pt>
                <c:pt idx="60">
                  <c:v>1845.7853586922379</c:v>
                </c:pt>
                <c:pt idx="61">
                  <c:v>2190.6731700102346</c:v>
                </c:pt>
                <c:pt idx="62">
                  <c:v>2089.362914464476</c:v>
                </c:pt>
                <c:pt idx="63">
                  <c:v>996.3088040104526</c:v>
                </c:pt>
                <c:pt idx="64">
                  <c:v>1367.7559596390483</c:v>
                </c:pt>
                <c:pt idx="65">
                  <c:v>1839.1248176181132</c:v>
                </c:pt>
                <c:pt idx="66">
                  <c:v>1733.964942019277</c:v>
                </c:pt>
                <c:pt idx="67">
                  <c:v>1848.577520383694</c:v>
                </c:pt>
                <c:pt idx="68">
                  <c:v>1206.328143309458</c:v>
                </c:pt>
                <c:pt idx="69">
                  <c:v>2113.3136373475577</c:v>
                </c:pt>
                <c:pt idx="70">
                  <c:v>2219.2150522695288</c:v>
                </c:pt>
                <c:pt idx="71">
                  <c:v>1722.0495568140966</c:v>
                </c:pt>
                <c:pt idx="72">
                  <c:v>1828.1126544670524</c:v>
                </c:pt>
                <c:pt idx="73">
                  <c:v>2428.406524101104</c:v>
                </c:pt>
                <c:pt idx="74">
                  <c:v>2007.8872702012259</c:v>
                </c:pt>
                <c:pt idx="75">
                  <c:v>1928.7711777776724</c:v>
                </c:pt>
                <c:pt idx="76">
                  <c:v>1616.0111069631446</c:v>
                </c:pt>
                <c:pt idx="77">
                  <c:v>1509.2546391305971</c:v>
                </c:pt>
                <c:pt idx="78">
                  <c:v>2024.1498383265487</c:v>
                </c:pt>
                <c:pt idx="79">
                  <c:v>1607.8298440680408</c:v>
                </c:pt>
                <c:pt idx="80">
                  <c:v>1740.8048121363734</c:v>
                </c:pt>
                <c:pt idx="81">
                  <c:v>2070.824875465285</c:v>
                </c:pt>
                <c:pt idx="82">
                  <c:v>1778.4473072143387</c:v>
                </c:pt>
                <c:pt idx="83">
                  <c:v>2044.0288353881244</c:v>
                </c:pt>
                <c:pt idx="84">
                  <c:v>2058.7641130297588</c:v>
                </c:pt>
                <c:pt idx="85">
                  <c:v>1810.4892210222338</c:v>
                </c:pt>
                <c:pt idx="86">
                  <c:v>2183.4412131003724</c:v>
                </c:pt>
                <c:pt idx="87">
                  <c:v>1646.1212099449135</c:v>
                </c:pt>
                <c:pt idx="88">
                  <c:v>1904.9532294876799</c:v>
                </c:pt>
                <c:pt idx="89">
                  <c:v>1924.2405071790422</c:v>
                </c:pt>
                <c:pt idx="90">
                  <c:v>1323.3692414403667</c:v>
                </c:pt>
                <c:pt idx="91">
                  <c:v>1402.400061180283</c:v>
                </c:pt>
                <c:pt idx="92">
                  <c:v>1838.0987479795212</c:v>
                </c:pt>
                <c:pt idx="93">
                  <c:v>1895.5747860917982</c:v>
                </c:pt>
                <c:pt idx="94">
                  <c:v>1715.1795556571296</c:v>
                </c:pt>
                <c:pt idx="95">
                  <c:v>1848.1174921824436</c:v>
                </c:pt>
                <c:pt idx="96">
                  <c:v>2210.4410602527137</c:v>
                </c:pt>
                <c:pt idx="97">
                  <c:v>2026.6577966439363</c:v>
                </c:pt>
                <c:pt idx="98">
                  <c:v>1516.0887725108871</c:v>
                </c:pt>
                <c:pt idx="99">
                  <c:v>1862.1068869588614</c:v>
                </c:pt>
                <c:pt idx="100">
                  <c:v>1697.1981516961575</c:v>
                </c:pt>
                <c:pt idx="101">
                  <c:v>1976.4005448553239</c:v>
                </c:pt>
                <c:pt idx="102">
                  <c:v>1319.1076270340791</c:v>
                </c:pt>
                <c:pt idx="103">
                  <c:v>2131.6851700276661</c:v>
                </c:pt>
                <c:pt idx="104">
                  <c:v>1665.3022200338623</c:v>
                </c:pt>
                <c:pt idx="105">
                  <c:v>1711.3009018024311</c:v>
                </c:pt>
                <c:pt idx="106">
                  <c:v>2140.9071555719725</c:v>
                </c:pt>
                <c:pt idx="107">
                  <c:v>1748.681406695272</c:v>
                </c:pt>
                <c:pt idx="108">
                  <c:v>1789.0755675641374</c:v>
                </c:pt>
                <c:pt idx="109">
                  <c:v>1787.132883649015</c:v>
                </c:pt>
                <c:pt idx="110">
                  <c:v>1445.6090738963042</c:v>
                </c:pt>
                <c:pt idx="111">
                  <c:v>1349.9504101470147</c:v>
                </c:pt>
                <c:pt idx="112">
                  <c:v>1541.9060398719957</c:v>
                </c:pt>
                <c:pt idx="113">
                  <c:v>2102.4935298598639</c:v>
                </c:pt>
                <c:pt idx="114">
                  <c:v>2045.4069709752016</c:v>
                </c:pt>
                <c:pt idx="115">
                  <c:v>1747.0257308911907</c:v>
                </c:pt>
                <c:pt idx="116">
                  <c:v>1655.9888825376102</c:v>
                </c:pt>
                <c:pt idx="117">
                  <c:v>1431.4490197353448</c:v>
                </c:pt>
                <c:pt idx="118">
                  <c:v>1700.9468334209628</c:v>
                </c:pt>
                <c:pt idx="119">
                  <c:v>1861.16950998892</c:v>
                </c:pt>
                <c:pt idx="120">
                  <c:v>1728.5212314668324</c:v>
                </c:pt>
                <c:pt idx="121">
                  <c:v>1307.0759223036396</c:v>
                </c:pt>
                <c:pt idx="122">
                  <c:v>1143.9757613510849</c:v>
                </c:pt>
                <c:pt idx="123">
                  <c:v>1510.0445332223339</c:v>
                </c:pt>
                <c:pt idx="124">
                  <c:v>1699.6970392225264</c:v>
                </c:pt>
                <c:pt idx="125">
                  <c:v>1499.9673995562516</c:v>
                </c:pt>
                <c:pt idx="126">
                  <c:v>1775.3856409023565</c:v>
                </c:pt>
                <c:pt idx="127">
                  <c:v>1846.4050336017042</c:v>
                </c:pt>
                <c:pt idx="128">
                  <c:v>1962.056017583327</c:v>
                </c:pt>
                <c:pt idx="129">
                  <c:v>1817.8410964935777</c:v>
                </c:pt>
                <c:pt idx="130">
                  <c:v>1605.0014462283898</c:v>
                </c:pt>
                <c:pt idx="131">
                  <c:v>1971.6729624321538</c:v>
                </c:pt>
                <c:pt idx="132">
                  <c:v>1765.7313204914547</c:v>
                </c:pt>
                <c:pt idx="133">
                  <c:v>1594.6270756018851</c:v>
                </c:pt>
                <c:pt idx="134">
                  <c:v>1802.8154188179597</c:v>
                </c:pt>
                <c:pt idx="135">
                  <c:v>1678.6206970438373</c:v>
                </c:pt>
                <c:pt idx="136">
                  <c:v>2175.0189867191366</c:v>
                </c:pt>
                <c:pt idx="137">
                  <c:v>2038.7248454535359</c:v>
                </c:pt>
                <c:pt idx="138">
                  <c:v>2227.1526220026126</c:v>
                </c:pt>
                <c:pt idx="139">
                  <c:v>1585.164302455617</c:v>
                </c:pt>
                <c:pt idx="140">
                  <c:v>1549.9599300153914</c:v>
                </c:pt>
                <c:pt idx="141">
                  <c:v>1761.7073144518672</c:v>
                </c:pt>
                <c:pt idx="142">
                  <c:v>1551.3007907553501</c:v>
                </c:pt>
                <c:pt idx="143">
                  <c:v>1872.7552129061949</c:v>
                </c:pt>
                <c:pt idx="144">
                  <c:v>2183.1708425509028</c:v>
                </c:pt>
                <c:pt idx="145">
                  <c:v>1712.2047594672131</c:v>
                </c:pt>
                <c:pt idx="146">
                  <c:v>1641.1277223784814</c:v>
                </c:pt>
                <c:pt idx="147">
                  <c:v>1504.4138430710534</c:v>
                </c:pt>
                <c:pt idx="148">
                  <c:v>1683.4994246300816</c:v>
                </c:pt>
                <c:pt idx="149">
                  <c:v>1925.4281472249138</c:v>
                </c:pt>
                <c:pt idx="150">
                  <c:v>1759.4928787977124</c:v>
                </c:pt>
                <c:pt idx="151">
                  <c:v>2055.4044924352811</c:v>
                </c:pt>
                <c:pt idx="152">
                  <c:v>1771.3058624430855</c:v>
                </c:pt>
                <c:pt idx="153">
                  <c:v>2193.1986566720352</c:v>
                </c:pt>
                <c:pt idx="154">
                  <c:v>1985.9307865594915</c:v>
                </c:pt>
                <c:pt idx="155">
                  <c:v>2099.04195161397</c:v>
                </c:pt>
                <c:pt idx="156">
                  <c:v>1629.8329981361221</c:v>
                </c:pt>
                <c:pt idx="157">
                  <c:v>1777.7521239502635</c:v>
                </c:pt>
                <c:pt idx="158">
                  <c:v>2108.1073119698208</c:v>
                </c:pt>
                <c:pt idx="159">
                  <c:v>1490.2127887167835</c:v>
                </c:pt>
                <c:pt idx="160">
                  <c:v>1552.0185367255531</c:v>
                </c:pt>
                <c:pt idx="161">
                  <c:v>1337.1553569186208</c:v>
                </c:pt>
                <c:pt idx="162">
                  <c:v>1580.0155570295087</c:v>
                </c:pt>
                <c:pt idx="163">
                  <c:v>1590.6225837245552</c:v>
                </c:pt>
                <c:pt idx="164">
                  <c:v>2028.9813846021054</c:v>
                </c:pt>
                <c:pt idx="165">
                  <c:v>1867.0125305162389</c:v>
                </c:pt>
                <c:pt idx="166">
                  <c:v>1542.7358495923313</c:v>
                </c:pt>
                <c:pt idx="167">
                  <c:v>1966.3819446335121</c:v>
                </c:pt>
                <c:pt idx="168">
                  <c:v>1313.0248666184198</c:v>
                </c:pt>
                <c:pt idx="169">
                  <c:v>741.02706915973738</c:v>
                </c:pt>
                <c:pt idx="170">
                  <c:v>1690.1590041242073</c:v>
                </c:pt>
                <c:pt idx="171">
                  <c:v>1269.1589772704292</c:v>
                </c:pt>
                <c:pt idx="172">
                  <c:v>2034.4062938823049</c:v>
                </c:pt>
                <c:pt idx="173">
                  <c:v>1370.3746359705713</c:v>
                </c:pt>
                <c:pt idx="174">
                  <c:v>2062.8496158788698</c:v>
                </c:pt>
                <c:pt idx="175">
                  <c:v>1413.9111248423485</c:v>
                </c:pt>
                <c:pt idx="176">
                  <c:v>1340.7223413862359</c:v>
                </c:pt>
                <c:pt idx="177">
                  <c:v>2464.4175523590784</c:v>
                </c:pt>
                <c:pt idx="178">
                  <c:v>1201.440168637977</c:v>
                </c:pt>
                <c:pt idx="179">
                  <c:v>1796.7470502881465</c:v>
                </c:pt>
                <c:pt idx="180">
                  <c:v>1912.5891451899322</c:v>
                </c:pt>
                <c:pt idx="181">
                  <c:v>1941.7589365237329</c:v>
                </c:pt>
                <c:pt idx="182">
                  <c:v>1679.5392957261108</c:v>
                </c:pt>
                <c:pt idx="183">
                  <c:v>1655.7282991143231</c:v>
                </c:pt>
                <c:pt idx="184">
                  <c:v>1157.5085028052208</c:v>
                </c:pt>
                <c:pt idx="185">
                  <c:v>1641.9351965886942</c:v>
                </c:pt>
                <c:pt idx="186">
                  <c:v>1713.6020259950901</c:v>
                </c:pt>
                <c:pt idx="187">
                  <c:v>1847.4817591879696</c:v>
                </c:pt>
                <c:pt idx="188">
                  <c:v>1421.5797687569636</c:v>
                </c:pt>
                <c:pt idx="189">
                  <c:v>1439.4819416727519</c:v>
                </c:pt>
                <c:pt idx="190">
                  <c:v>1720.9158796151235</c:v>
                </c:pt>
                <c:pt idx="191">
                  <c:v>1435.9100392521116</c:v>
                </c:pt>
                <c:pt idx="192">
                  <c:v>2165.8274078402801</c:v>
                </c:pt>
                <c:pt idx="193">
                  <c:v>2020.6702262516562</c:v>
                </c:pt>
                <c:pt idx="194">
                  <c:v>1461.3768113861543</c:v>
                </c:pt>
                <c:pt idx="195">
                  <c:v>1339.9759377198452</c:v>
                </c:pt>
                <c:pt idx="196">
                  <c:v>2267.3681738764017</c:v>
                </c:pt>
                <c:pt idx="197">
                  <c:v>2173.7618660314324</c:v>
                </c:pt>
                <c:pt idx="198">
                  <c:v>1403.8246295868739</c:v>
                </c:pt>
                <c:pt idx="199">
                  <c:v>1877.6696326942692</c:v>
                </c:pt>
                <c:pt idx="200">
                  <c:v>1618.2001121998119</c:v>
                </c:pt>
                <c:pt idx="201">
                  <c:v>1597.4793298299803</c:v>
                </c:pt>
                <c:pt idx="202">
                  <c:v>1740.6047907380328</c:v>
                </c:pt>
                <c:pt idx="203">
                  <c:v>1532.1389111433796</c:v>
                </c:pt>
                <c:pt idx="204">
                  <c:v>2108.226555196246</c:v>
                </c:pt>
                <c:pt idx="205">
                  <c:v>1910.9761374777954</c:v>
                </c:pt>
                <c:pt idx="206">
                  <c:v>1970.4815418602711</c:v>
                </c:pt>
                <c:pt idx="207">
                  <c:v>1483.9399935097101</c:v>
                </c:pt>
                <c:pt idx="208">
                  <c:v>1371.2349644805313</c:v>
                </c:pt>
                <c:pt idx="209">
                  <c:v>1950.9227758498653</c:v>
                </c:pt>
                <c:pt idx="210">
                  <c:v>1362.0871584485767</c:v>
                </c:pt>
                <c:pt idx="211">
                  <c:v>1624.0822537956897</c:v>
                </c:pt>
                <c:pt idx="212">
                  <c:v>1693.2353525354604</c:v>
                </c:pt>
                <c:pt idx="213">
                  <c:v>1899.9792205758899</c:v>
                </c:pt>
                <c:pt idx="214">
                  <c:v>1768.1652898834946</c:v>
                </c:pt>
                <c:pt idx="215">
                  <c:v>1896.5877093409629</c:v>
                </c:pt>
                <c:pt idx="216">
                  <c:v>1603.4934665713458</c:v>
                </c:pt>
                <c:pt idx="217">
                  <c:v>1732.4942759346975</c:v>
                </c:pt>
                <c:pt idx="218">
                  <c:v>2070.5378619470375</c:v>
                </c:pt>
                <c:pt idx="219">
                  <c:v>1190.6226564866067</c:v>
                </c:pt>
                <c:pt idx="220">
                  <c:v>1263.762086014952</c:v>
                </c:pt>
                <c:pt idx="221">
                  <c:v>1811.8867591578905</c:v>
                </c:pt>
                <c:pt idx="222">
                  <c:v>1229.5211079554313</c:v>
                </c:pt>
                <c:pt idx="223">
                  <c:v>1882.7890250200687</c:v>
                </c:pt>
                <c:pt idx="224">
                  <c:v>1938.8665732390675</c:v>
                </c:pt>
                <c:pt idx="225">
                  <c:v>1569.3421710587545</c:v>
                </c:pt>
                <c:pt idx="226">
                  <c:v>2013.9434729517438</c:v>
                </c:pt>
                <c:pt idx="227">
                  <c:v>1408.592371818924</c:v>
                </c:pt>
                <c:pt idx="228">
                  <c:v>2126.0091446285805</c:v>
                </c:pt>
                <c:pt idx="229">
                  <c:v>1787.7007158963897</c:v>
                </c:pt>
                <c:pt idx="230">
                  <c:v>1940.4206951730214</c:v>
                </c:pt>
                <c:pt idx="231">
                  <c:v>1537.4255773259129</c:v>
                </c:pt>
                <c:pt idx="232">
                  <c:v>1809.5602274883206</c:v>
                </c:pt>
                <c:pt idx="233">
                  <c:v>2537.2629547641654</c:v>
                </c:pt>
                <c:pt idx="234">
                  <c:v>1968.4023350203277</c:v>
                </c:pt>
                <c:pt idx="235">
                  <c:v>1724.8563721090352</c:v>
                </c:pt>
                <c:pt idx="236">
                  <c:v>2221.5769406178556</c:v>
                </c:pt>
                <c:pt idx="237">
                  <c:v>1686.6178406229158</c:v>
                </c:pt>
                <c:pt idx="238">
                  <c:v>1504.6745521882103</c:v>
                </c:pt>
                <c:pt idx="239">
                  <c:v>2161.0655122371654</c:v>
                </c:pt>
                <c:pt idx="240">
                  <c:v>1264.3147087379389</c:v>
                </c:pt>
                <c:pt idx="241">
                  <c:v>1374.5294597140596</c:v>
                </c:pt>
                <c:pt idx="242">
                  <c:v>1849.1093110495747</c:v>
                </c:pt>
                <c:pt idx="243">
                  <c:v>1637.5575431597772</c:v>
                </c:pt>
                <c:pt idx="244">
                  <c:v>1741.7768216184902</c:v>
                </c:pt>
                <c:pt idx="245">
                  <c:v>1353.8873588561958</c:v>
                </c:pt>
                <c:pt idx="246">
                  <c:v>1975.3827991768865</c:v>
                </c:pt>
                <c:pt idx="247">
                  <c:v>1953.2792940380173</c:v>
                </c:pt>
                <c:pt idx="248">
                  <c:v>1884.2584146207039</c:v>
                </c:pt>
                <c:pt idx="249">
                  <c:v>1977.7161385983036</c:v>
                </c:pt>
                <c:pt idx="250">
                  <c:v>1309.1852851496126</c:v>
                </c:pt>
                <c:pt idx="251">
                  <c:v>1559.2617645801347</c:v>
                </c:pt>
                <c:pt idx="252">
                  <c:v>2114.8945699352994</c:v>
                </c:pt>
                <c:pt idx="253">
                  <c:v>1489.8524308160042</c:v>
                </c:pt>
                <c:pt idx="254">
                  <c:v>1685.9313346673725</c:v>
                </c:pt>
                <c:pt idx="255">
                  <c:v>1541.7230860744146</c:v>
                </c:pt>
                <c:pt idx="256">
                  <c:v>1967.4379636689125</c:v>
                </c:pt>
                <c:pt idx="257">
                  <c:v>1491.5261776835757</c:v>
                </c:pt>
                <c:pt idx="258">
                  <c:v>1719.1610930846234</c:v>
                </c:pt>
                <c:pt idx="259">
                  <c:v>1760.5845543537532</c:v>
                </c:pt>
                <c:pt idx="260">
                  <c:v>1796.3037399213847</c:v>
                </c:pt>
                <c:pt idx="261">
                  <c:v>1492.5145598227689</c:v>
                </c:pt>
                <c:pt idx="262">
                  <c:v>1704.8254684369308</c:v>
                </c:pt>
                <c:pt idx="263">
                  <c:v>1346.5330770573314</c:v>
                </c:pt>
                <c:pt idx="264">
                  <c:v>1124.2069338019739</c:v>
                </c:pt>
                <c:pt idx="265">
                  <c:v>1920.604130777939</c:v>
                </c:pt>
                <c:pt idx="266">
                  <c:v>1460.9988873869156</c:v>
                </c:pt>
                <c:pt idx="267">
                  <c:v>1536.8410469277051</c:v>
                </c:pt>
                <c:pt idx="268">
                  <c:v>1771.6338040912854</c:v>
                </c:pt>
                <c:pt idx="269">
                  <c:v>2019.4179699308067</c:v>
                </c:pt>
                <c:pt idx="270">
                  <c:v>1773.6036950582491</c:v>
                </c:pt>
                <c:pt idx="271">
                  <c:v>2101.0766539634228</c:v>
                </c:pt>
                <c:pt idx="272">
                  <c:v>2106.5335853662941</c:v>
                </c:pt>
                <c:pt idx="273">
                  <c:v>1337.07433006006</c:v>
                </c:pt>
                <c:pt idx="274">
                  <c:v>1770.0598460162059</c:v>
                </c:pt>
                <c:pt idx="275">
                  <c:v>1900.7295370794457</c:v>
                </c:pt>
                <c:pt idx="276">
                  <c:v>1526.3732408279989</c:v>
                </c:pt>
                <c:pt idx="277">
                  <c:v>1700.7164451061403</c:v>
                </c:pt>
                <c:pt idx="278">
                  <c:v>1484.8349363395903</c:v>
                </c:pt>
                <c:pt idx="279">
                  <c:v>1788.1624384155216</c:v>
                </c:pt>
                <c:pt idx="280">
                  <c:v>1645.2430740205718</c:v>
                </c:pt>
                <c:pt idx="281">
                  <c:v>2010.1743560035709</c:v>
                </c:pt>
                <c:pt idx="282">
                  <c:v>1799.4668987303021</c:v>
                </c:pt>
                <c:pt idx="283">
                  <c:v>2121.7343503248544</c:v>
                </c:pt>
                <c:pt idx="284">
                  <c:v>2061.3014572894022</c:v>
                </c:pt>
                <c:pt idx="285">
                  <c:v>1778.4891207851326</c:v>
                </c:pt>
                <c:pt idx="286">
                  <c:v>1705.142463876083</c:v>
                </c:pt>
                <c:pt idx="287">
                  <c:v>1335.6578561345341</c:v>
                </c:pt>
                <c:pt idx="288">
                  <c:v>1315.0314959400225</c:v>
                </c:pt>
                <c:pt idx="289">
                  <c:v>1558.1375025818832</c:v>
                </c:pt>
                <c:pt idx="290">
                  <c:v>2029.9519359682058</c:v>
                </c:pt>
                <c:pt idx="291">
                  <c:v>1012.8007783035583</c:v>
                </c:pt>
                <c:pt idx="292">
                  <c:v>1766.6366697591541</c:v>
                </c:pt>
                <c:pt idx="293">
                  <c:v>1206.7137388362135</c:v>
                </c:pt>
                <c:pt idx="294">
                  <c:v>1499.0747980358988</c:v>
                </c:pt>
                <c:pt idx="295">
                  <c:v>2386.8003781511829</c:v>
                </c:pt>
                <c:pt idx="296">
                  <c:v>2333.08144548669</c:v>
                </c:pt>
                <c:pt idx="297">
                  <c:v>2259.5817995970119</c:v>
                </c:pt>
                <c:pt idx="298">
                  <c:v>1922.0861354308367</c:v>
                </c:pt>
                <c:pt idx="299">
                  <c:v>1903.8079608331384</c:v>
                </c:pt>
                <c:pt idx="300">
                  <c:v>2036.8948207244234</c:v>
                </c:pt>
                <c:pt idx="301">
                  <c:v>1987.7431941763698</c:v>
                </c:pt>
                <c:pt idx="302">
                  <c:v>1351.2510174695092</c:v>
                </c:pt>
                <c:pt idx="303">
                  <c:v>1566.6810577189754</c:v>
                </c:pt>
                <c:pt idx="304">
                  <c:v>1591.7434456048779</c:v>
                </c:pt>
                <c:pt idx="305">
                  <c:v>1776.1241034036327</c:v>
                </c:pt>
                <c:pt idx="306">
                  <c:v>1440.0891388889384</c:v>
                </c:pt>
                <c:pt idx="307">
                  <c:v>2031.5378817690207</c:v>
                </c:pt>
                <c:pt idx="308">
                  <c:v>1619.2511194076185</c:v>
                </c:pt>
                <c:pt idx="309">
                  <c:v>1859.1388816796691</c:v>
                </c:pt>
                <c:pt idx="310">
                  <c:v>1504.4926561511998</c:v>
                </c:pt>
                <c:pt idx="311">
                  <c:v>1851.9560566191878</c:v>
                </c:pt>
                <c:pt idx="312">
                  <c:v>2338.3591760533391</c:v>
                </c:pt>
                <c:pt idx="313">
                  <c:v>1939.5865298241006</c:v>
                </c:pt>
                <c:pt idx="314">
                  <c:v>2055.3790980401982</c:v>
                </c:pt>
                <c:pt idx="315">
                  <c:v>2001.4369846166478</c:v>
                </c:pt>
                <c:pt idx="316">
                  <c:v>1597.7369574674026</c:v>
                </c:pt>
                <c:pt idx="317">
                  <c:v>2232.0357748863626</c:v>
                </c:pt>
                <c:pt idx="318">
                  <c:v>1554.2978211112486</c:v>
                </c:pt>
                <c:pt idx="319">
                  <c:v>2029.4715173538077</c:v>
                </c:pt>
                <c:pt idx="320">
                  <c:v>1919.4127424196688</c:v>
                </c:pt>
                <c:pt idx="321">
                  <c:v>2327.5919008700093</c:v>
                </c:pt>
                <c:pt idx="322">
                  <c:v>1018.7353946938338</c:v>
                </c:pt>
                <c:pt idx="323">
                  <c:v>2057.8536831316906</c:v>
                </c:pt>
                <c:pt idx="324">
                  <c:v>2074.2399241944136</c:v>
                </c:pt>
                <c:pt idx="325">
                  <c:v>1642.9990254101331</c:v>
                </c:pt>
                <c:pt idx="326">
                  <c:v>1716.0234097887007</c:v>
                </c:pt>
                <c:pt idx="327">
                  <c:v>2050.4054651869155</c:v>
                </c:pt>
                <c:pt idx="328">
                  <c:v>1718.8512528371743</c:v>
                </c:pt>
                <c:pt idx="329">
                  <c:v>1444.4277596244399</c:v>
                </c:pt>
                <c:pt idx="330">
                  <c:v>1761.3512559287296</c:v>
                </c:pt>
                <c:pt idx="331">
                  <c:v>1815.668887932904</c:v>
                </c:pt>
                <c:pt idx="332">
                  <c:v>1308.9478716607293</c:v>
                </c:pt>
                <c:pt idx="333">
                  <c:v>1598.7427113329093</c:v>
                </c:pt>
                <c:pt idx="334">
                  <c:v>1821.2141082312187</c:v>
                </c:pt>
                <c:pt idx="335">
                  <c:v>1083.1482694447718</c:v>
                </c:pt>
                <c:pt idx="336">
                  <c:v>2108.5915982053698</c:v>
                </c:pt>
                <c:pt idx="337">
                  <c:v>1720.96928991103</c:v>
                </c:pt>
                <c:pt idx="338">
                  <c:v>1349.6978452260732</c:v>
                </c:pt>
                <c:pt idx="339">
                  <c:v>1672.3927119873888</c:v>
                </c:pt>
                <c:pt idx="340">
                  <c:v>1878.6832067206988</c:v>
                </c:pt>
                <c:pt idx="341">
                  <c:v>1931.0737556101017</c:v>
                </c:pt>
                <c:pt idx="342">
                  <c:v>1751.0839823595982</c:v>
                </c:pt>
                <c:pt idx="343">
                  <c:v>1655.1261426669173</c:v>
                </c:pt>
                <c:pt idx="344">
                  <c:v>1095.4853699220002</c:v>
                </c:pt>
                <c:pt idx="345">
                  <c:v>1697.2208973486934</c:v>
                </c:pt>
                <c:pt idx="346">
                  <c:v>2004.1005478820457</c:v>
                </c:pt>
                <c:pt idx="347">
                  <c:v>1634.7296420285154</c:v>
                </c:pt>
                <c:pt idx="348">
                  <c:v>1130.0012046329434</c:v>
                </c:pt>
                <c:pt idx="349">
                  <c:v>1581.6008615209969</c:v>
                </c:pt>
                <c:pt idx="350">
                  <c:v>1656.1868033436474</c:v>
                </c:pt>
                <c:pt idx="351">
                  <c:v>2022.4728580209207</c:v>
                </c:pt>
                <c:pt idx="352">
                  <c:v>1932.3813401286811</c:v>
                </c:pt>
                <c:pt idx="353">
                  <c:v>2148.2673912594732</c:v>
                </c:pt>
                <c:pt idx="354">
                  <c:v>2033.2929411660559</c:v>
                </c:pt>
                <c:pt idx="355">
                  <c:v>1578.9271197673111</c:v>
                </c:pt>
                <c:pt idx="356">
                  <c:v>2214.979030499966</c:v>
                </c:pt>
                <c:pt idx="357">
                  <c:v>1516.6813113875141</c:v>
                </c:pt>
                <c:pt idx="358">
                  <c:v>1795.2019425854799</c:v>
                </c:pt>
                <c:pt idx="359">
                  <c:v>1298.8714312102497</c:v>
                </c:pt>
                <c:pt idx="360">
                  <c:v>1787.680270947546</c:v>
                </c:pt>
                <c:pt idx="361">
                  <c:v>1386.6306862588283</c:v>
                </c:pt>
                <c:pt idx="362">
                  <c:v>1918.7038252973421</c:v>
                </c:pt>
                <c:pt idx="363">
                  <c:v>1980.7546704324789</c:v>
                </c:pt>
                <c:pt idx="364">
                  <c:v>1540.9625828554958</c:v>
                </c:pt>
                <c:pt idx="365">
                  <c:v>2099.4687201194611</c:v>
                </c:pt>
                <c:pt idx="366">
                  <c:v>2065.9023940912393</c:v>
                </c:pt>
                <c:pt idx="367">
                  <c:v>1728.800389107653</c:v>
                </c:pt>
                <c:pt idx="368">
                  <c:v>1433.5771153720566</c:v>
                </c:pt>
                <c:pt idx="369">
                  <c:v>2006.0052991051944</c:v>
                </c:pt>
                <c:pt idx="370">
                  <c:v>1473.3705177721843</c:v>
                </c:pt>
                <c:pt idx="371">
                  <c:v>1518.7580151141026</c:v>
                </c:pt>
                <c:pt idx="372">
                  <c:v>1665.2827018742819</c:v>
                </c:pt>
                <c:pt idx="373">
                  <c:v>1999.55057780262</c:v>
                </c:pt>
                <c:pt idx="374">
                  <c:v>1530.1922288200969</c:v>
                </c:pt>
                <c:pt idx="375">
                  <c:v>1403.4686560335103</c:v>
                </c:pt>
                <c:pt idx="376">
                  <c:v>2097.2400134936966</c:v>
                </c:pt>
                <c:pt idx="377">
                  <c:v>1060.7158787943918</c:v>
                </c:pt>
                <c:pt idx="378">
                  <c:v>1293.304492004939</c:v>
                </c:pt>
                <c:pt idx="379">
                  <c:v>1257.1317975388656</c:v>
                </c:pt>
                <c:pt idx="380">
                  <c:v>2152.5927693716085</c:v>
                </c:pt>
                <c:pt idx="381">
                  <c:v>1325.0478358029889</c:v>
                </c:pt>
                <c:pt idx="382">
                  <c:v>1628.8830312107993</c:v>
                </c:pt>
                <c:pt idx="383">
                  <c:v>1853.8451303352433</c:v>
                </c:pt>
                <c:pt idx="384">
                  <c:v>1472.7977911951132</c:v>
                </c:pt>
                <c:pt idx="385">
                  <c:v>2286.9194076620824</c:v>
                </c:pt>
                <c:pt idx="386">
                  <c:v>1791.3091475765884</c:v>
                </c:pt>
                <c:pt idx="387">
                  <c:v>1905.5578664997397</c:v>
                </c:pt>
                <c:pt idx="388">
                  <c:v>2078.6763215123433</c:v>
                </c:pt>
                <c:pt idx="389">
                  <c:v>1917.5981588280945</c:v>
                </c:pt>
                <c:pt idx="390">
                  <c:v>1780.1726164480879</c:v>
                </c:pt>
                <c:pt idx="391">
                  <c:v>1660.7988592054089</c:v>
                </c:pt>
                <c:pt idx="392">
                  <c:v>1584.2501578342637</c:v>
                </c:pt>
                <c:pt idx="393">
                  <c:v>1869.4316942003388</c:v>
                </c:pt>
                <c:pt idx="394">
                  <c:v>1875.1363392637538</c:v>
                </c:pt>
                <c:pt idx="395">
                  <c:v>1757.6585059437155</c:v>
                </c:pt>
                <c:pt idx="396">
                  <c:v>1768.4834166724461</c:v>
                </c:pt>
                <c:pt idx="397">
                  <c:v>1612.8855479492709</c:v>
                </c:pt>
                <c:pt idx="398">
                  <c:v>1649.8006246199559</c:v>
                </c:pt>
                <c:pt idx="399">
                  <c:v>2468.0838556025624</c:v>
                </c:pt>
                <c:pt idx="400">
                  <c:v>1749.2974517179273</c:v>
                </c:pt>
                <c:pt idx="401">
                  <c:v>1857.5848050594709</c:v>
                </c:pt>
                <c:pt idx="402">
                  <c:v>1453.4380746493662</c:v>
                </c:pt>
                <c:pt idx="403">
                  <c:v>1832.356102050928</c:v>
                </c:pt>
                <c:pt idx="404">
                  <c:v>1903.112031440497</c:v>
                </c:pt>
                <c:pt idx="405">
                  <c:v>2068.3489743074965</c:v>
                </c:pt>
                <c:pt idx="406">
                  <c:v>1377.0255751538857</c:v>
                </c:pt>
                <c:pt idx="407">
                  <c:v>1564.5919328575985</c:v>
                </c:pt>
                <c:pt idx="408">
                  <c:v>2089.0789485906871</c:v>
                </c:pt>
                <c:pt idx="409">
                  <c:v>2093.9651501749377</c:v>
                </c:pt>
                <c:pt idx="410">
                  <c:v>1769.9098895527113</c:v>
                </c:pt>
                <c:pt idx="411">
                  <c:v>1921.4390806527645</c:v>
                </c:pt>
                <c:pt idx="412">
                  <c:v>995.25198193814424</c:v>
                </c:pt>
                <c:pt idx="413">
                  <c:v>1620.3483950984387</c:v>
                </c:pt>
                <c:pt idx="414">
                  <c:v>1900.0968212295754</c:v>
                </c:pt>
                <c:pt idx="415">
                  <c:v>2021.7490112812145</c:v>
                </c:pt>
                <c:pt idx="416">
                  <c:v>1391.4457883580044</c:v>
                </c:pt>
                <c:pt idx="417">
                  <c:v>1516.0851018227465</c:v>
                </c:pt>
                <c:pt idx="418">
                  <c:v>1877.9885921726002</c:v>
                </c:pt>
                <c:pt idx="419">
                  <c:v>1938.7633430825858</c:v>
                </c:pt>
                <c:pt idx="420">
                  <c:v>1747.3017524883478</c:v>
                </c:pt>
                <c:pt idx="421">
                  <c:v>1046.1987497138448</c:v>
                </c:pt>
                <c:pt idx="422">
                  <c:v>2093.6500773674384</c:v>
                </c:pt>
                <c:pt idx="423">
                  <c:v>1480.7756674533568</c:v>
                </c:pt>
                <c:pt idx="424">
                  <c:v>1428.4230723840503</c:v>
                </c:pt>
                <c:pt idx="425">
                  <c:v>1620.0660537610406</c:v>
                </c:pt>
                <c:pt idx="426">
                  <c:v>1388.9569708281788</c:v>
                </c:pt>
                <c:pt idx="427">
                  <c:v>1911.1982419990231</c:v>
                </c:pt>
                <c:pt idx="428">
                  <c:v>1617.5967366929435</c:v>
                </c:pt>
                <c:pt idx="429">
                  <c:v>2088.1489849165769</c:v>
                </c:pt>
                <c:pt idx="430">
                  <c:v>1736.3302790788593</c:v>
                </c:pt>
                <c:pt idx="431">
                  <c:v>2023.0122932710128</c:v>
                </c:pt>
                <c:pt idx="432">
                  <c:v>1149.1125124609739</c:v>
                </c:pt>
                <c:pt idx="433">
                  <c:v>1564.8120040816227</c:v>
                </c:pt>
                <c:pt idx="434">
                  <c:v>2011.8882726305062</c:v>
                </c:pt>
                <c:pt idx="435">
                  <c:v>1787.0925605939149</c:v>
                </c:pt>
                <c:pt idx="436">
                  <c:v>1598.3573535449261</c:v>
                </c:pt>
                <c:pt idx="437">
                  <c:v>1692.7366421654774</c:v>
                </c:pt>
                <c:pt idx="438">
                  <c:v>1714.5790206610861</c:v>
                </c:pt>
                <c:pt idx="439">
                  <c:v>1979.1576618422023</c:v>
                </c:pt>
                <c:pt idx="440">
                  <c:v>1595.6260990293122</c:v>
                </c:pt>
                <c:pt idx="441">
                  <c:v>1450.6160463576773</c:v>
                </c:pt>
                <c:pt idx="442">
                  <c:v>1638.6222088915376</c:v>
                </c:pt>
                <c:pt idx="443">
                  <c:v>2071.957287706884</c:v>
                </c:pt>
                <c:pt idx="444">
                  <c:v>723.82869688354083</c:v>
                </c:pt>
                <c:pt idx="445">
                  <c:v>1378.7892304862748</c:v>
                </c:pt>
                <c:pt idx="446">
                  <c:v>2261.9027503805519</c:v>
                </c:pt>
                <c:pt idx="447">
                  <c:v>2247.3343481666316</c:v>
                </c:pt>
                <c:pt idx="448">
                  <c:v>1631.5514752087274</c:v>
                </c:pt>
                <c:pt idx="449">
                  <c:v>2116.4753135801598</c:v>
                </c:pt>
                <c:pt idx="450">
                  <c:v>1459.1823975515599</c:v>
                </c:pt>
                <c:pt idx="451">
                  <c:v>2086.584786290382</c:v>
                </c:pt>
                <c:pt idx="452">
                  <c:v>1432.6932127455748</c:v>
                </c:pt>
                <c:pt idx="453">
                  <c:v>1573.8048029211204</c:v>
                </c:pt>
                <c:pt idx="454">
                  <c:v>1906.5458686375921</c:v>
                </c:pt>
                <c:pt idx="455">
                  <c:v>1706.7115196624914</c:v>
                </c:pt>
                <c:pt idx="456">
                  <c:v>1836.1128420219331</c:v>
                </c:pt>
                <c:pt idx="457">
                  <c:v>1699.153689142312</c:v>
                </c:pt>
                <c:pt idx="458">
                  <c:v>1640.3417229576469</c:v>
                </c:pt>
                <c:pt idx="459">
                  <c:v>1811.7946615866244</c:v>
                </c:pt>
                <c:pt idx="460">
                  <c:v>1654.4693334719216</c:v>
                </c:pt>
                <c:pt idx="461">
                  <c:v>1503.9004677760367</c:v>
                </c:pt>
                <c:pt idx="462">
                  <c:v>1563.3716621037211</c:v>
                </c:pt>
                <c:pt idx="463">
                  <c:v>1588.0560242064705</c:v>
                </c:pt>
                <c:pt idx="464">
                  <c:v>1503.7268797267575</c:v>
                </c:pt>
                <c:pt idx="465">
                  <c:v>1117.3651723563316</c:v>
                </c:pt>
                <c:pt idx="466">
                  <c:v>1762.0366711787401</c:v>
                </c:pt>
                <c:pt idx="467">
                  <c:v>1812.1930805971347</c:v>
                </c:pt>
                <c:pt idx="468">
                  <c:v>1309.8420786952859</c:v>
                </c:pt>
                <c:pt idx="469">
                  <c:v>1719.1916391126267</c:v>
                </c:pt>
                <c:pt idx="470">
                  <c:v>1531.659363842324</c:v>
                </c:pt>
                <c:pt idx="471">
                  <c:v>1502.9355936460265</c:v>
                </c:pt>
                <c:pt idx="472">
                  <c:v>2075.9457834803429</c:v>
                </c:pt>
                <c:pt idx="473">
                  <c:v>1392.2831637834565</c:v>
                </c:pt>
                <c:pt idx="474">
                  <c:v>1935.9743763844494</c:v>
                </c:pt>
                <c:pt idx="475">
                  <c:v>1497.5467573845735</c:v>
                </c:pt>
                <c:pt idx="476">
                  <c:v>1646.250512433415</c:v>
                </c:pt>
                <c:pt idx="477">
                  <c:v>2264.0195904868888</c:v>
                </c:pt>
                <c:pt idx="478">
                  <c:v>1621.8149077719979</c:v>
                </c:pt>
                <c:pt idx="479">
                  <c:v>1708.6791181994638</c:v>
                </c:pt>
                <c:pt idx="480">
                  <c:v>1963.8865081759241</c:v>
                </c:pt>
                <c:pt idx="481">
                  <c:v>1869.3940483627136</c:v>
                </c:pt>
                <c:pt idx="482">
                  <c:v>2121.8101263762701</c:v>
                </c:pt>
                <c:pt idx="483">
                  <c:v>1964.1501851901696</c:v>
                </c:pt>
                <c:pt idx="484">
                  <c:v>1572.7705242081981</c:v>
                </c:pt>
                <c:pt idx="485">
                  <c:v>1833.6366875246124</c:v>
                </c:pt>
                <c:pt idx="486">
                  <c:v>1680.7615790041086</c:v>
                </c:pt>
                <c:pt idx="487">
                  <c:v>1603.788565904136</c:v>
                </c:pt>
                <c:pt idx="488">
                  <c:v>1832.0815677397254</c:v>
                </c:pt>
                <c:pt idx="489">
                  <c:v>1870.9027092691613</c:v>
                </c:pt>
                <c:pt idx="490">
                  <c:v>1994.1752610259698</c:v>
                </c:pt>
                <c:pt idx="491">
                  <c:v>1482.6610104044357</c:v>
                </c:pt>
                <c:pt idx="492">
                  <c:v>1195.5994793370883</c:v>
                </c:pt>
                <c:pt idx="493">
                  <c:v>2010.5458227978663</c:v>
                </c:pt>
                <c:pt idx="494">
                  <c:v>2145.2382476910002</c:v>
                </c:pt>
                <c:pt idx="495">
                  <c:v>1838.6062599343616</c:v>
                </c:pt>
                <c:pt idx="496">
                  <c:v>1444.0535151583706</c:v>
                </c:pt>
                <c:pt idx="497">
                  <c:v>1908.9018354259249</c:v>
                </c:pt>
                <c:pt idx="498">
                  <c:v>1822.0452943745038</c:v>
                </c:pt>
                <c:pt idx="499">
                  <c:v>1733.6520008084576</c:v>
                </c:pt>
                <c:pt idx="500">
                  <c:v>1716.835574751701</c:v>
                </c:pt>
                <c:pt idx="501">
                  <c:v>1958.2148611458983</c:v>
                </c:pt>
                <c:pt idx="502">
                  <c:v>1908.6654691689621</c:v>
                </c:pt>
                <c:pt idx="503">
                  <c:v>1867.6447595925072</c:v>
                </c:pt>
                <c:pt idx="504">
                  <c:v>1599.4579970585041</c:v>
                </c:pt>
                <c:pt idx="505">
                  <c:v>1829.9597552791045</c:v>
                </c:pt>
                <c:pt idx="506">
                  <c:v>1615.0863633310219</c:v>
                </c:pt>
                <c:pt idx="507">
                  <c:v>2283.5993926159508</c:v>
                </c:pt>
                <c:pt idx="508">
                  <c:v>1258.333468781123</c:v>
                </c:pt>
                <c:pt idx="509">
                  <c:v>1822.1040009273595</c:v>
                </c:pt>
                <c:pt idx="510">
                  <c:v>1827.0797932806556</c:v>
                </c:pt>
                <c:pt idx="511">
                  <c:v>1937.5195225363634</c:v>
                </c:pt>
                <c:pt idx="512">
                  <c:v>2298.3783787001248</c:v>
                </c:pt>
                <c:pt idx="513">
                  <c:v>1690.4186106180643</c:v>
                </c:pt>
                <c:pt idx="514">
                  <c:v>1383.6952112240185</c:v>
                </c:pt>
                <c:pt idx="515">
                  <c:v>1696.5406308391282</c:v>
                </c:pt>
                <c:pt idx="516">
                  <c:v>1725.9816055749063</c:v>
                </c:pt>
                <c:pt idx="517">
                  <c:v>1602.369279257158</c:v>
                </c:pt>
                <c:pt idx="518">
                  <c:v>1290.7371249144787</c:v>
                </c:pt>
                <c:pt idx="519">
                  <c:v>1465.5261587426048</c:v>
                </c:pt>
                <c:pt idx="520">
                  <c:v>1491.277507654072</c:v>
                </c:pt>
                <c:pt idx="521">
                  <c:v>1570.7474424540806</c:v>
                </c:pt>
                <c:pt idx="522">
                  <c:v>1638.9051436529046</c:v>
                </c:pt>
                <c:pt idx="523">
                  <c:v>1136.1965844107642</c:v>
                </c:pt>
                <c:pt idx="524">
                  <c:v>2226.7586969667973</c:v>
                </c:pt>
                <c:pt idx="525">
                  <c:v>2189.2425317745597</c:v>
                </c:pt>
                <c:pt idx="526">
                  <c:v>1385.1666603937642</c:v>
                </c:pt>
                <c:pt idx="527">
                  <c:v>1567.2297629256277</c:v>
                </c:pt>
                <c:pt idx="528">
                  <c:v>2171.1773795432268</c:v>
                </c:pt>
                <c:pt idx="529">
                  <c:v>1662.2282147360256</c:v>
                </c:pt>
                <c:pt idx="530">
                  <c:v>1638.3463110503342</c:v>
                </c:pt>
                <c:pt idx="531">
                  <c:v>1953.987243250519</c:v>
                </c:pt>
                <c:pt idx="532">
                  <c:v>1789.9124861597511</c:v>
                </c:pt>
                <c:pt idx="533">
                  <c:v>1935.4810786787093</c:v>
                </c:pt>
                <c:pt idx="534">
                  <c:v>1179.1518114962912</c:v>
                </c:pt>
                <c:pt idx="535">
                  <c:v>1881.2690560042429</c:v>
                </c:pt>
                <c:pt idx="536">
                  <c:v>1272.2642624489224</c:v>
                </c:pt>
                <c:pt idx="537">
                  <c:v>1934.0195953249531</c:v>
                </c:pt>
                <c:pt idx="538">
                  <c:v>1881.043611243299</c:v>
                </c:pt>
                <c:pt idx="539">
                  <c:v>1581.8280679410739</c:v>
                </c:pt>
                <c:pt idx="540">
                  <c:v>955.12883836868298</c:v>
                </c:pt>
                <c:pt idx="541">
                  <c:v>1564.1251650851743</c:v>
                </c:pt>
                <c:pt idx="542">
                  <c:v>2000.0276596607698</c:v>
                </c:pt>
                <c:pt idx="543">
                  <c:v>1686.9853434120687</c:v>
                </c:pt>
                <c:pt idx="544">
                  <c:v>1872.8702111095124</c:v>
                </c:pt>
                <c:pt idx="545">
                  <c:v>1863.2702397890996</c:v>
                </c:pt>
                <c:pt idx="546">
                  <c:v>1208.2635804436075</c:v>
                </c:pt>
                <c:pt idx="547">
                  <c:v>1733.6957585384246</c:v>
                </c:pt>
                <c:pt idx="548">
                  <c:v>1575.1253570024878</c:v>
                </c:pt>
                <c:pt idx="549">
                  <c:v>1534.146765395179</c:v>
                </c:pt>
                <c:pt idx="550">
                  <c:v>1587.9773187616108</c:v>
                </c:pt>
                <c:pt idx="551">
                  <c:v>1705.644673391746</c:v>
                </c:pt>
                <c:pt idx="552">
                  <c:v>2044.6805037770632</c:v>
                </c:pt>
                <c:pt idx="553">
                  <c:v>1728.2855526758351</c:v>
                </c:pt>
                <c:pt idx="554">
                  <c:v>1661.9154610779758</c:v>
                </c:pt>
                <c:pt idx="555">
                  <c:v>1494.8448324109859</c:v>
                </c:pt>
                <c:pt idx="556">
                  <c:v>1977.6536937993237</c:v>
                </c:pt>
                <c:pt idx="557">
                  <c:v>1630.8985799889574</c:v>
                </c:pt>
                <c:pt idx="558">
                  <c:v>1560.2472835409978</c:v>
                </c:pt>
                <c:pt idx="559">
                  <c:v>1343.1180010279932</c:v>
                </c:pt>
                <c:pt idx="560">
                  <c:v>1875.2145085729981</c:v>
                </c:pt>
                <c:pt idx="561">
                  <c:v>2250.1319737368881</c:v>
                </c:pt>
                <c:pt idx="562">
                  <c:v>1990.4973044135231</c:v>
                </c:pt>
                <c:pt idx="563">
                  <c:v>2100.2085192989434</c:v>
                </c:pt>
                <c:pt idx="564">
                  <c:v>1407.8887836569211</c:v>
                </c:pt>
                <c:pt idx="565">
                  <c:v>2157.1189457243318</c:v>
                </c:pt>
                <c:pt idx="566">
                  <c:v>1565.0920743383724</c:v>
                </c:pt>
                <c:pt idx="567">
                  <c:v>1584.271017332052</c:v>
                </c:pt>
                <c:pt idx="568">
                  <c:v>1856.5716129487253</c:v>
                </c:pt>
                <c:pt idx="569">
                  <c:v>2087.0850680858607</c:v>
                </c:pt>
                <c:pt idx="570">
                  <c:v>2159.2127212304276</c:v>
                </c:pt>
                <c:pt idx="571">
                  <c:v>2458.3165159271239</c:v>
                </c:pt>
                <c:pt idx="572">
                  <c:v>1666.2753293722419</c:v>
                </c:pt>
                <c:pt idx="573">
                  <c:v>1876.649555848307</c:v>
                </c:pt>
                <c:pt idx="574">
                  <c:v>1990.0681291688511</c:v>
                </c:pt>
                <c:pt idx="575">
                  <c:v>2096.241028588217</c:v>
                </c:pt>
                <c:pt idx="576">
                  <c:v>2459.0696142649304</c:v>
                </c:pt>
                <c:pt idx="577">
                  <c:v>1569.106838728035</c:v>
                </c:pt>
                <c:pt idx="578">
                  <c:v>1983.1769772930299</c:v>
                </c:pt>
                <c:pt idx="579">
                  <c:v>897.91561723200709</c:v>
                </c:pt>
                <c:pt idx="580">
                  <c:v>1892.5487958833967</c:v>
                </c:pt>
                <c:pt idx="581">
                  <c:v>1753.3133996871545</c:v>
                </c:pt>
                <c:pt idx="582">
                  <c:v>1656.7799957414636</c:v>
                </c:pt>
                <c:pt idx="583">
                  <c:v>1307.5003405813359</c:v>
                </c:pt>
                <c:pt idx="584">
                  <c:v>1108.1249328065214</c:v>
                </c:pt>
                <c:pt idx="585">
                  <c:v>2416.2233916227033</c:v>
                </c:pt>
                <c:pt idx="586">
                  <c:v>1818.1304921722653</c:v>
                </c:pt>
                <c:pt idx="587">
                  <c:v>1972.9490632609202</c:v>
                </c:pt>
                <c:pt idx="588">
                  <c:v>2227.1433664579322</c:v>
                </c:pt>
                <c:pt idx="589">
                  <c:v>1238.8141190112012</c:v>
                </c:pt>
                <c:pt idx="590">
                  <c:v>1239.0528487524114</c:v>
                </c:pt>
                <c:pt idx="591">
                  <c:v>1428.3977819018626</c:v>
                </c:pt>
                <c:pt idx="592">
                  <c:v>1686.0142089591823</c:v>
                </c:pt>
                <c:pt idx="593">
                  <c:v>1626.6208452861326</c:v>
                </c:pt>
                <c:pt idx="594">
                  <c:v>1878.5896918513861</c:v>
                </c:pt>
                <c:pt idx="595">
                  <c:v>1730.3272576154841</c:v>
                </c:pt>
                <c:pt idx="596">
                  <c:v>1238.9546422387964</c:v>
                </c:pt>
                <c:pt idx="597">
                  <c:v>1750.0905529449972</c:v>
                </c:pt>
                <c:pt idx="598">
                  <c:v>1935.9804491589525</c:v>
                </c:pt>
                <c:pt idx="599">
                  <c:v>2032.3657656364066</c:v>
                </c:pt>
                <c:pt idx="600">
                  <c:v>1416.6732237073959</c:v>
                </c:pt>
                <c:pt idx="601">
                  <c:v>1553.9501334270756</c:v>
                </c:pt>
                <c:pt idx="602">
                  <c:v>2007.3785013058045</c:v>
                </c:pt>
                <c:pt idx="603">
                  <c:v>1983.7123474075904</c:v>
                </c:pt>
                <c:pt idx="604">
                  <c:v>1719.9523774759184</c:v>
                </c:pt>
                <c:pt idx="605">
                  <c:v>1304.6947730596135</c:v>
                </c:pt>
                <c:pt idx="606">
                  <c:v>1680.2303967849011</c:v>
                </c:pt>
                <c:pt idx="607">
                  <c:v>2072.8506065321872</c:v>
                </c:pt>
                <c:pt idx="608">
                  <c:v>1838.0631304728424</c:v>
                </c:pt>
                <c:pt idx="609">
                  <c:v>1912.6873888674804</c:v>
                </c:pt>
                <c:pt idx="610">
                  <c:v>1710.1526484395997</c:v>
                </c:pt>
                <c:pt idx="611">
                  <c:v>1642.7258173890075</c:v>
                </c:pt>
                <c:pt idx="612">
                  <c:v>1589.1019283229855</c:v>
                </c:pt>
                <c:pt idx="613">
                  <c:v>1640.8105530919679</c:v>
                </c:pt>
                <c:pt idx="614">
                  <c:v>1527.5593358701851</c:v>
                </c:pt>
                <c:pt idx="615">
                  <c:v>2149.5181005388249</c:v>
                </c:pt>
                <c:pt idx="616">
                  <c:v>1815.231828355654</c:v>
                </c:pt>
                <c:pt idx="617">
                  <c:v>1665.327962810572</c:v>
                </c:pt>
                <c:pt idx="618">
                  <c:v>1887.4863971037335</c:v>
                </c:pt>
                <c:pt idx="619">
                  <c:v>1939.3160045595089</c:v>
                </c:pt>
                <c:pt idx="620">
                  <c:v>2068.2465007597993</c:v>
                </c:pt>
                <c:pt idx="621">
                  <c:v>2010.6431464379832</c:v>
                </c:pt>
                <c:pt idx="622">
                  <c:v>1806.1035764007522</c:v>
                </c:pt>
                <c:pt idx="623">
                  <c:v>1620.0764131259932</c:v>
                </c:pt>
                <c:pt idx="624">
                  <c:v>2279.8644416614507</c:v>
                </c:pt>
                <c:pt idx="625">
                  <c:v>2573.1883184899916</c:v>
                </c:pt>
                <c:pt idx="626">
                  <c:v>1922.100229740427</c:v>
                </c:pt>
                <c:pt idx="627">
                  <c:v>2417.7869740701203</c:v>
                </c:pt>
                <c:pt idx="628">
                  <c:v>1910.8771827866101</c:v>
                </c:pt>
                <c:pt idx="629">
                  <c:v>1338.6742999876312</c:v>
                </c:pt>
                <c:pt idx="630">
                  <c:v>1900.5101139186638</c:v>
                </c:pt>
                <c:pt idx="631">
                  <c:v>2371.9874678997257</c:v>
                </c:pt>
                <c:pt idx="632">
                  <c:v>1975.9240922095328</c:v>
                </c:pt>
                <c:pt idx="633">
                  <c:v>1486.6627295352323</c:v>
                </c:pt>
                <c:pt idx="634">
                  <c:v>1282.5010671042264</c:v>
                </c:pt>
                <c:pt idx="635">
                  <c:v>1555.2149658609376</c:v>
                </c:pt>
                <c:pt idx="636">
                  <c:v>1448.3659097096897</c:v>
                </c:pt>
                <c:pt idx="637">
                  <c:v>1762.941965286946</c:v>
                </c:pt>
                <c:pt idx="638">
                  <c:v>980.67356285844266</c:v>
                </c:pt>
                <c:pt idx="639">
                  <c:v>1727.6906685131269</c:v>
                </c:pt>
                <c:pt idx="640">
                  <c:v>1544.3580649811872</c:v>
                </c:pt>
                <c:pt idx="641">
                  <c:v>1691.1582522335339</c:v>
                </c:pt>
                <c:pt idx="642">
                  <c:v>1831.2605164960266</c:v>
                </c:pt>
                <c:pt idx="643">
                  <c:v>2062.5942792970304</c:v>
                </c:pt>
                <c:pt idx="644">
                  <c:v>1896.4519077754876</c:v>
                </c:pt>
                <c:pt idx="645">
                  <c:v>1391.2280754878982</c:v>
                </c:pt>
                <c:pt idx="646">
                  <c:v>1637.6184365829322</c:v>
                </c:pt>
                <c:pt idx="647">
                  <c:v>905.66081304864758</c:v>
                </c:pt>
                <c:pt idx="648">
                  <c:v>1805.6656124367205</c:v>
                </c:pt>
                <c:pt idx="649">
                  <c:v>1372.2092577552662</c:v>
                </c:pt>
                <c:pt idx="650">
                  <c:v>1593.5036572431879</c:v>
                </c:pt>
                <c:pt idx="651">
                  <c:v>2049.0051450939732</c:v>
                </c:pt>
                <c:pt idx="652">
                  <c:v>2044.5049008479441</c:v>
                </c:pt>
                <c:pt idx="653">
                  <c:v>2193.9359388812627</c:v>
                </c:pt>
                <c:pt idx="654">
                  <c:v>1612.8850920709303</c:v>
                </c:pt>
                <c:pt idx="655">
                  <c:v>1917.9473728282851</c:v>
                </c:pt>
                <c:pt idx="656">
                  <c:v>1231.2721983686663</c:v>
                </c:pt>
                <c:pt idx="657">
                  <c:v>1595.3220647615922</c:v>
                </c:pt>
                <c:pt idx="658">
                  <c:v>977.03760046180798</c:v>
                </c:pt>
                <c:pt idx="659">
                  <c:v>1653.6846822287055</c:v>
                </c:pt>
                <c:pt idx="660">
                  <c:v>1663.1769769505513</c:v>
                </c:pt>
                <c:pt idx="661">
                  <c:v>1930.6576706468416</c:v>
                </c:pt>
                <c:pt idx="662">
                  <c:v>1953.7400124050716</c:v>
                </c:pt>
                <c:pt idx="663">
                  <c:v>1535.3709686824936</c:v>
                </c:pt>
                <c:pt idx="664">
                  <c:v>1163.178661147811</c:v>
                </c:pt>
                <c:pt idx="665">
                  <c:v>1735.0627498337992</c:v>
                </c:pt>
                <c:pt idx="666">
                  <c:v>1731.2488818727034</c:v>
                </c:pt>
                <c:pt idx="667">
                  <c:v>1496.2071478677115</c:v>
                </c:pt>
                <c:pt idx="668">
                  <c:v>1497.7871636066016</c:v>
                </c:pt>
                <c:pt idx="669">
                  <c:v>2229.137371256279</c:v>
                </c:pt>
                <c:pt idx="670">
                  <c:v>1939.0959123907999</c:v>
                </c:pt>
                <c:pt idx="671">
                  <c:v>1961.540780462597</c:v>
                </c:pt>
                <c:pt idx="672">
                  <c:v>1845.848632564202</c:v>
                </c:pt>
                <c:pt idx="673">
                  <c:v>1668.2303181679731</c:v>
                </c:pt>
                <c:pt idx="674">
                  <c:v>1704.8796499519667</c:v>
                </c:pt>
                <c:pt idx="675">
                  <c:v>1861.4127403669356</c:v>
                </c:pt>
                <c:pt idx="676">
                  <c:v>1664.2330758754999</c:v>
                </c:pt>
                <c:pt idx="677">
                  <c:v>1476.8530720022009</c:v>
                </c:pt>
                <c:pt idx="678">
                  <c:v>1655.5628882802969</c:v>
                </c:pt>
                <c:pt idx="679">
                  <c:v>2242.6567210856256</c:v>
                </c:pt>
                <c:pt idx="680">
                  <c:v>2380.5974884107159</c:v>
                </c:pt>
                <c:pt idx="681">
                  <c:v>1684.8347953090417</c:v>
                </c:pt>
                <c:pt idx="682">
                  <c:v>2137.5741887636163</c:v>
                </c:pt>
                <c:pt idx="683">
                  <c:v>1717.3099586506505</c:v>
                </c:pt>
                <c:pt idx="684">
                  <c:v>2147.25509643532</c:v>
                </c:pt>
                <c:pt idx="685">
                  <c:v>2343.3130977914816</c:v>
                </c:pt>
                <c:pt idx="686">
                  <c:v>1567.0980805832351</c:v>
                </c:pt>
                <c:pt idx="687">
                  <c:v>2056.6223365287351</c:v>
                </c:pt>
                <c:pt idx="688">
                  <c:v>1611.7068219841269</c:v>
                </c:pt>
                <c:pt idx="689">
                  <c:v>1965.5234405114641</c:v>
                </c:pt>
                <c:pt idx="690">
                  <c:v>1668.1731616608104</c:v>
                </c:pt>
                <c:pt idx="691">
                  <c:v>2180.866086252302</c:v>
                </c:pt>
                <c:pt idx="692">
                  <c:v>1370.6881024226832</c:v>
                </c:pt>
                <c:pt idx="693">
                  <c:v>2201.2808699680736</c:v>
                </c:pt>
                <c:pt idx="694">
                  <c:v>2120.8646947848542</c:v>
                </c:pt>
                <c:pt idx="695">
                  <c:v>2181.7183430125824</c:v>
                </c:pt>
                <c:pt idx="696">
                  <c:v>1071.9272460458506</c:v>
                </c:pt>
                <c:pt idx="697">
                  <c:v>1493.1211153548534</c:v>
                </c:pt>
                <c:pt idx="698">
                  <c:v>1639.9341591558434</c:v>
                </c:pt>
                <c:pt idx="699">
                  <c:v>1344.1375384103892</c:v>
                </c:pt>
                <c:pt idx="700">
                  <c:v>1777.9842754978033</c:v>
                </c:pt>
                <c:pt idx="701">
                  <c:v>1932.9207365346283</c:v>
                </c:pt>
                <c:pt idx="702">
                  <c:v>1432.6246747813495</c:v>
                </c:pt>
                <c:pt idx="703">
                  <c:v>1378.8645225708196</c:v>
                </c:pt>
                <c:pt idx="704">
                  <c:v>1482.7127293237204</c:v>
                </c:pt>
                <c:pt idx="705">
                  <c:v>2281.7493413473967</c:v>
                </c:pt>
                <c:pt idx="706">
                  <c:v>1443.595995020894</c:v>
                </c:pt>
                <c:pt idx="707">
                  <c:v>1330.1697150381488</c:v>
                </c:pt>
                <c:pt idx="708">
                  <c:v>1247.9711529897904</c:v>
                </c:pt>
                <c:pt idx="709">
                  <c:v>1952.75865465017</c:v>
                </c:pt>
                <c:pt idx="710">
                  <c:v>1017.926931068021</c:v>
                </c:pt>
                <c:pt idx="711">
                  <c:v>1892.3344740932193</c:v>
                </c:pt>
                <c:pt idx="712">
                  <c:v>1557.501293750624</c:v>
                </c:pt>
                <c:pt idx="713">
                  <c:v>2309.4864031356292</c:v>
                </c:pt>
                <c:pt idx="714">
                  <c:v>1978.8833074193071</c:v>
                </c:pt>
                <c:pt idx="715">
                  <c:v>2142.0088092152478</c:v>
                </c:pt>
                <c:pt idx="716">
                  <c:v>2011.4115268670985</c:v>
                </c:pt>
                <c:pt idx="717">
                  <c:v>1497.235763101721</c:v>
                </c:pt>
                <c:pt idx="718">
                  <c:v>2127.0676562250956</c:v>
                </c:pt>
                <c:pt idx="719">
                  <c:v>1603.4224629011999</c:v>
                </c:pt>
                <c:pt idx="720">
                  <c:v>2003.6970988321318</c:v>
                </c:pt>
                <c:pt idx="721">
                  <c:v>1375.4289791961012</c:v>
                </c:pt>
                <c:pt idx="722">
                  <c:v>1251.2034226952389</c:v>
                </c:pt>
                <c:pt idx="723">
                  <c:v>1834.7123675002035</c:v>
                </c:pt>
                <c:pt idx="724">
                  <c:v>1848.2398617293165</c:v>
                </c:pt>
                <c:pt idx="725">
                  <c:v>1395.7116936237007</c:v>
                </c:pt>
                <c:pt idx="726">
                  <c:v>1448.1186897921682</c:v>
                </c:pt>
                <c:pt idx="727">
                  <c:v>1851.2887288401407</c:v>
                </c:pt>
                <c:pt idx="728">
                  <c:v>1487.8485693659366</c:v>
                </c:pt>
                <c:pt idx="729">
                  <c:v>1586.1841215386642</c:v>
                </c:pt>
                <c:pt idx="730">
                  <c:v>1673.704436102985</c:v>
                </c:pt>
                <c:pt idx="731">
                  <c:v>2381.2012403402123</c:v>
                </c:pt>
                <c:pt idx="732">
                  <c:v>1411.4570533633025</c:v>
                </c:pt>
                <c:pt idx="733">
                  <c:v>1564.9183716296009</c:v>
                </c:pt>
                <c:pt idx="734">
                  <c:v>1745.1313677981966</c:v>
                </c:pt>
                <c:pt idx="735">
                  <c:v>2210.8509774024815</c:v>
                </c:pt>
                <c:pt idx="736">
                  <c:v>2196.9570281861675</c:v>
                </c:pt>
                <c:pt idx="737">
                  <c:v>1765.8663013786179</c:v>
                </c:pt>
                <c:pt idx="738">
                  <c:v>1740.6400568846614</c:v>
                </c:pt>
                <c:pt idx="739">
                  <c:v>1893.3499053836188</c:v>
                </c:pt>
                <c:pt idx="740">
                  <c:v>2295.8633542865464</c:v>
                </c:pt>
                <c:pt idx="741">
                  <c:v>2360.8034851201492</c:v>
                </c:pt>
                <c:pt idx="742">
                  <c:v>1666.895090962732</c:v>
                </c:pt>
                <c:pt idx="743">
                  <c:v>1565.7582928319414</c:v>
                </c:pt>
                <c:pt idx="744">
                  <c:v>2126.397680726745</c:v>
                </c:pt>
                <c:pt idx="745">
                  <c:v>1775.7061375220717</c:v>
                </c:pt>
                <c:pt idx="746">
                  <c:v>1148.6538016081279</c:v>
                </c:pt>
                <c:pt idx="747">
                  <c:v>1355.2877749307636</c:v>
                </c:pt>
                <c:pt idx="748">
                  <c:v>1748.7778645001267</c:v>
                </c:pt>
                <c:pt idx="749">
                  <c:v>1310.8506540575552</c:v>
                </c:pt>
                <c:pt idx="750">
                  <c:v>1784.2967201273518</c:v>
                </c:pt>
                <c:pt idx="751">
                  <c:v>1606.8363509011517</c:v>
                </c:pt>
                <c:pt idx="752">
                  <c:v>1947.9880595306995</c:v>
                </c:pt>
                <c:pt idx="753">
                  <c:v>1506.2056533101334</c:v>
                </c:pt>
                <c:pt idx="754">
                  <c:v>1812.0720205291143</c:v>
                </c:pt>
                <c:pt idx="755">
                  <c:v>2398.5865285476266</c:v>
                </c:pt>
                <c:pt idx="756">
                  <c:v>1405.584820534184</c:v>
                </c:pt>
                <c:pt idx="757">
                  <c:v>1651.5660550742416</c:v>
                </c:pt>
                <c:pt idx="758">
                  <c:v>1756.35916396689</c:v>
                </c:pt>
                <c:pt idx="759">
                  <c:v>1825.7317935946176</c:v>
                </c:pt>
                <c:pt idx="760">
                  <c:v>1254.8127637488626</c:v>
                </c:pt>
                <c:pt idx="761">
                  <c:v>1874.4287626284286</c:v>
                </c:pt>
                <c:pt idx="762">
                  <c:v>2090.708639280655</c:v>
                </c:pt>
                <c:pt idx="763">
                  <c:v>2005.3240629128618</c:v>
                </c:pt>
                <c:pt idx="764">
                  <c:v>1662.0085096185983</c:v>
                </c:pt>
                <c:pt idx="765">
                  <c:v>2075.148710237228</c:v>
                </c:pt>
                <c:pt idx="766">
                  <c:v>1713.4526072979036</c:v>
                </c:pt>
                <c:pt idx="767">
                  <c:v>2280.2359833507044</c:v>
                </c:pt>
                <c:pt idx="768">
                  <c:v>1680.2595273541235</c:v>
                </c:pt>
                <c:pt idx="769">
                  <c:v>1955.2726832676849</c:v>
                </c:pt>
                <c:pt idx="770">
                  <c:v>1745.6403637805915</c:v>
                </c:pt>
                <c:pt idx="771">
                  <c:v>2155.9630031421812</c:v>
                </c:pt>
                <c:pt idx="772">
                  <c:v>1904.6330097161165</c:v>
                </c:pt>
                <c:pt idx="773">
                  <c:v>1489.9126080722817</c:v>
                </c:pt>
                <c:pt idx="774">
                  <c:v>1218.2221491516784</c:v>
                </c:pt>
                <c:pt idx="775">
                  <c:v>2075.9763085584291</c:v>
                </c:pt>
                <c:pt idx="776">
                  <c:v>1789.5157313051407</c:v>
                </c:pt>
                <c:pt idx="777">
                  <c:v>1834.7970668498219</c:v>
                </c:pt>
                <c:pt idx="778">
                  <c:v>1703.7913867405102</c:v>
                </c:pt>
                <c:pt idx="779">
                  <c:v>1447.4367479768966</c:v>
                </c:pt>
                <c:pt idx="780">
                  <c:v>1858.553311800445</c:v>
                </c:pt>
                <c:pt idx="781">
                  <c:v>1192.9971849629892</c:v>
                </c:pt>
                <c:pt idx="782">
                  <c:v>1560.526556675318</c:v>
                </c:pt>
                <c:pt idx="783">
                  <c:v>2120.3877149677301</c:v>
                </c:pt>
                <c:pt idx="784">
                  <c:v>1620.819187206266</c:v>
                </c:pt>
                <c:pt idx="785">
                  <c:v>1471.7266021463486</c:v>
                </c:pt>
                <c:pt idx="786">
                  <c:v>1951.718265106769</c:v>
                </c:pt>
                <c:pt idx="787">
                  <c:v>2029.1400412914866</c:v>
                </c:pt>
                <c:pt idx="788">
                  <c:v>1565.6416325934556</c:v>
                </c:pt>
                <c:pt idx="789">
                  <c:v>1739.7566025200088</c:v>
                </c:pt>
                <c:pt idx="790">
                  <c:v>1852.1328768804608</c:v>
                </c:pt>
                <c:pt idx="791">
                  <c:v>1264.4510427925504</c:v>
                </c:pt>
                <c:pt idx="792">
                  <c:v>2140.8183070994351</c:v>
                </c:pt>
                <c:pt idx="793">
                  <c:v>949.55320896673845</c:v>
                </c:pt>
                <c:pt idx="794">
                  <c:v>1493.7300097114571</c:v>
                </c:pt>
                <c:pt idx="795">
                  <c:v>2170.3940359493481</c:v>
                </c:pt>
                <c:pt idx="796">
                  <c:v>2066.981491786672</c:v>
                </c:pt>
                <c:pt idx="797">
                  <c:v>1515.8763892951526</c:v>
                </c:pt>
                <c:pt idx="798">
                  <c:v>1879.2778395458172</c:v>
                </c:pt>
                <c:pt idx="799">
                  <c:v>1797.3878561381237</c:v>
                </c:pt>
                <c:pt idx="800">
                  <c:v>1709.5513322734059</c:v>
                </c:pt>
                <c:pt idx="801">
                  <c:v>2086.5738894518695</c:v>
                </c:pt>
                <c:pt idx="802">
                  <c:v>1824.3920310900533</c:v>
                </c:pt>
                <c:pt idx="803">
                  <c:v>1354.975613006191</c:v>
                </c:pt>
                <c:pt idx="804">
                  <c:v>1997.8147901894602</c:v>
                </c:pt>
                <c:pt idx="805">
                  <c:v>1883.3145567417728</c:v>
                </c:pt>
                <c:pt idx="806">
                  <c:v>1368.2970936494851</c:v>
                </c:pt>
                <c:pt idx="807">
                  <c:v>1463.2308515157042</c:v>
                </c:pt>
                <c:pt idx="808">
                  <c:v>1440.3734908134838</c:v>
                </c:pt>
                <c:pt idx="809">
                  <c:v>1917.5910053776263</c:v>
                </c:pt>
                <c:pt idx="810">
                  <c:v>1768.707583162214</c:v>
                </c:pt>
                <c:pt idx="811">
                  <c:v>1655.6045096853816</c:v>
                </c:pt>
                <c:pt idx="812">
                  <c:v>1770.0054262685403</c:v>
                </c:pt>
                <c:pt idx="813">
                  <c:v>1132.3870099834617</c:v>
                </c:pt>
                <c:pt idx="814">
                  <c:v>1803.0649678778404</c:v>
                </c:pt>
                <c:pt idx="815">
                  <c:v>1871.5468207540976</c:v>
                </c:pt>
                <c:pt idx="816">
                  <c:v>1712.1249454289371</c:v>
                </c:pt>
                <c:pt idx="817">
                  <c:v>1348.7514996759178</c:v>
                </c:pt>
                <c:pt idx="818">
                  <c:v>2053.7096364417594</c:v>
                </c:pt>
                <c:pt idx="819">
                  <c:v>2367.3811026397348</c:v>
                </c:pt>
                <c:pt idx="820">
                  <c:v>1596.2892417002768</c:v>
                </c:pt>
                <c:pt idx="821">
                  <c:v>1733.6135941743644</c:v>
                </c:pt>
                <c:pt idx="822">
                  <c:v>2044.2064472643729</c:v>
                </c:pt>
                <c:pt idx="823">
                  <c:v>1529.2666453452082</c:v>
                </c:pt>
                <c:pt idx="824">
                  <c:v>1053.7952865080445</c:v>
                </c:pt>
                <c:pt idx="825">
                  <c:v>2045.8336088677452</c:v>
                </c:pt>
                <c:pt idx="826">
                  <c:v>1708.2439677072459</c:v>
                </c:pt>
                <c:pt idx="827">
                  <c:v>1117.5098217977552</c:v>
                </c:pt>
                <c:pt idx="828">
                  <c:v>1705.1006020806014</c:v>
                </c:pt>
                <c:pt idx="829">
                  <c:v>1597.0283775442863</c:v>
                </c:pt>
                <c:pt idx="830">
                  <c:v>1902.2646366657834</c:v>
                </c:pt>
                <c:pt idx="831">
                  <c:v>1659.8817748360805</c:v>
                </c:pt>
                <c:pt idx="832">
                  <c:v>2052.2297468572515</c:v>
                </c:pt>
                <c:pt idx="833">
                  <c:v>2055.2774915648542</c:v>
                </c:pt>
                <c:pt idx="834">
                  <c:v>1884.7758384180106</c:v>
                </c:pt>
                <c:pt idx="835">
                  <c:v>1616.2549649103403</c:v>
                </c:pt>
                <c:pt idx="836">
                  <c:v>1819.8754039176572</c:v>
                </c:pt>
                <c:pt idx="837">
                  <c:v>1548.026129219304</c:v>
                </c:pt>
                <c:pt idx="838">
                  <c:v>1336.3121020594479</c:v>
                </c:pt>
                <c:pt idx="839">
                  <c:v>1759.3695878054946</c:v>
                </c:pt>
                <c:pt idx="840">
                  <c:v>1911.3524019401686</c:v>
                </c:pt>
                <c:pt idx="841">
                  <c:v>1714.0783525877125</c:v>
                </c:pt>
                <c:pt idx="842">
                  <c:v>2322.6047423311766</c:v>
                </c:pt>
                <c:pt idx="843">
                  <c:v>1615.2067162815956</c:v>
                </c:pt>
                <c:pt idx="844">
                  <c:v>1715.3729867677453</c:v>
                </c:pt>
                <c:pt idx="845">
                  <c:v>1962.4069279140429</c:v>
                </c:pt>
                <c:pt idx="846">
                  <c:v>1777.3227526923952</c:v>
                </c:pt>
                <c:pt idx="847">
                  <c:v>1210.0621406862524</c:v>
                </c:pt>
                <c:pt idx="848">
                  <c:v>1350.33925868044</c:v>
                </c:pt>
                <c:pt idx="849">
                  <c:v>2157.0856476419058</c:v>
                </c:pt>
                <c:pt idx="850">
                  <c:v>1662.5069676635578</c:v>
                </c:pt>
                <c:pt idx="851">
                  <c:v>2481.6273739411913</c:v>
                </c:pt>
                <c:pt idx="852">
                  <c:v>1357.3405877589767</c:v>
                </c:pt>
                <c:pt idx="853">
                  <c:v>2136.8748530692637</c:v>
                </c:pt>
                <c:pt idx="854">
                  <c:v>2043.6719659833311</c:v>
                </c:pt>
                <c:pt idx="855">
                  <c:v>1223.2396129465239</c:v>
                </c:pt>
                <c:pt idx="856">
                  <c:v>1210.8835727298538</c:v>
                </c:pt>
                <c:pt idx="857">
                  <c:v>1445.5592854094373</c:v>
                </c:pt>
                <c:pt idx="858">
                  <c:v>1601.66304373207</c:v>
                </c:pt>
                <c:pt idx="859">
                  <c:v>2333.6865542883079</c:v>
                </c:pt>
                <c:pt idx="860">
                  <c:v>1740.3378975636458</c:v>
                </c:pt>
                <c:pt idx="861">
                  <c:v>1569.9371220141575</c:v>
                </c:pt>
                <c:pt idx="862">
                  <c:v>2065.4980652213308</c:v>
                </c:pt>
                <c:pt idx="863">
                  <c:v>1538.7723788803887</c:v>
                </c:pt>
                <c:pt idx="864">
                  <c:v>2090.0807863955133</c:v>
                </c:pt>
                <c:pt idx="865">
                  <c:v>1761.4578029326246</c:v>
                </c:pt>
                <c:pt idx="866">
                  <c:v>2111.9987002920384</c:v>
                </c:pt>
                <c:pt idx="867">
                  <c:v>1728.0616636009574</c:v>
                </c:pt>
                <c:pt idx="868">
                  <c:v>1887.3993207625863</c:v>
                </c:pt>
                <c:pt idx="869">
                  <c:v>1846.1969977825502</c:v>
                </c:pt>
                <c:pt idx="870">
                  <c:v>1250.0912196166698</c:v>
                </c:pt>
                <c:pt idx="871">
                  <c:v>2518.657358271033</c:v>
                </c:pt>
                <c:pt idx="872">
                  <c:v>1769.3031208372061</c:v>
                </c:pt>
                <c:pt idx="873">
                  <c:v>1621.1912870716628</c:v>
                </c:pt>
                <c:pt idx="874">
                  <c:v>1932.0911706317904</c:v>
                </c:pt>
                <c:pt idx="875">
                  <c:v>1480.7910352147696</c:v>
                </c:pt>
                <c:pt idx="876">
                  <c:v>1922.027106061129</c:v>
                </c:pt>
                <c:pt idx="877">
                  <c:v>1618.4656555633442</c:v>
                </c:pt>
                <c:pt idx="878">
                  <c:v>1700.8424660193921</c:v>
                </c:pt>
                <c:pt idx="879">
                  <c:v>1789.5284606034263</c:v>
                </c:pt>
                <c:pt idx="880">
                  <c:v>1569.4965151427834</c:v>
                </c:pt>
                <c:pt idx="881">
                  <c:v>1782.1834370524859</c:v>
                </c:pt>
                <c:pt idx="882">
                  <c:v>956.15519715029552</c:v>
                </c:pt>
                <c:pt idx="883">
                  <c:v>2141.1423623151913</c:v>
                </c:pt>
                <c:pt idx="884">
                  <c:v>1654.3824625370394</c:v>
                </c:pt>
                <c:pt idx="885">
                  <c:v>1561.4289276638006</c:v>
                </c:pt>
                <c:pt idx="886">
                  <c:v>1721.4311472942979</c:v>
                </c:pt>
                <c:pt idx="887">
                  <c:v>1898.2150492868011</c:v>
                </c:pt>
                <c:pt idx="888">
                  <c:v>1894.4240809170074</c:v>
                </c:pt>
                <c:pt idx="889">
                  <c:v>1793.18916161635</c:v>
                </c:pt>
                <c:pt idx="890">
                  <c:v>1905.2434573731082</c:v>
                </c:pt>
                <c:pt idx="891">
                  <c:v>1651.7669974766086</c:v>
                </c:pt>
                <c:pt idx="892">
                  <c:v>1484.7853156987599</c:v>
                </c:pt>
                <c:pt idx="893">
                  <c:v>1481.9880836385285</c:v>
                </c:pt>
                <c:pt idx="894">
                  <c:v>1948.0812612065877</c:v>
                </c:pt>
                <c:pt idx="895">
                  <c:v>1999.9825112521967</c:v>
                </c:pt>
                <c:pt idx="896">
                  <c:v>1838.8083977496622</c:v>
                </c:pt>
                <c:pt idx="897">
                  <c:v>1973.4340899043939</c:v>
                </c:pt>
                <c:pt idx="898">
                  <c:v>1312.0190148818724</c:v>
                </c:pt>
                <c:pt idx="899">
                  <c:v>1617.6710818538481</c:v>
                </c:pt>
                <c:pt idx="900">
                  <c:v>1912.9587780050383</c:v>
                </c:pt>
                <c:pt idx="901">
                  <c:v>1971.5901898518828</c:v>
                </c:pt>
                <c:pt idx="902">
                  <c:v>1644.3662341298457</c:v>
                </c:pt>
                <c:pt idx="903">
                  <c:v>1817.8344447362338</c:v>
                </c:pt>
                <c:pt idx="904">
                  <c:v>1635.0645118485684</c:v>
                </c:pt>
                <c:pt idx="905">
                  <c:v>1482.9147755779638</c:v>
                </c:pt>
                <c:pt idx="906">
                  <c:v>1722.4087976991402</c:v>
                </c:pt>
                <c:pt idx="907">
                  <c:v>2091.5741057132232</c:v>
                </c:pt>
                <c:pt idx="908">
                  <c:v>1600.3376345443046</c:v>
                </c:pt>
                <c:pt idx="909">
                  <c:v>1821.2141494654059</c:v>
                </c:pt>
                <c:pt idx="910">
                  <c:v>1368.7102740660112</c:v>
                </c:pt>
                <c:pt idx="911">
                  <c:v>2053.473606728192</c:v>
                </c:pt>
                <c:pt idx="912">
                  <c:v>2202.842778722068</c:v>
                </c:pt>
                <c:pt idx="913">
                  <c:v>1992.3886356852954</c:v>
                </c:pt>
                <c:pt idx="914">
                  <c:v>1337.2076227970915</c:v>
                </c:pt>
                <c:pt idx="915">
                  <c:v>1906.6773831706319</c:v>
                </c:pt>
                <c:pt idx="916">
                  <c:v>1949.3171095698851</c:v>
                </c:pt>
                <c:pt idx="917">
                  <c:v>2053.0257093783512</c:v>
                </c:pt>
                <c:pt idx="918">
                  <c:v>1734.6066081833819</c:v>
                </c:pt>
                <c:pt idx="919">
                  <c:v>1972.7538775087753</c:v>
                </c:pt>
                <c:pt idx="920">
                  <c:v>1394.4226740772986</c:v>
                </c:pt>
                <c:pt idx="921">
                  <c:v>998.78179151428071</c:v>
                </c:pt>
                <c:pt idx="922">
                  <c:v>2143.2908002235126</c:v>
                </c:pt>
                <c:pt idx="923">
                  <c:v>2393.2946613634203</c:v>
                </c:pt>
                <c:pt idx="924">
                  <c:v>1926.5901968730172</c:v>
                </c:pt>
                <c:pt idx="925">
                  <c:v>2332.0861734565824</c:v>
                </c:pt>
                <c:pt idx="926">
                  <c:v>1305.6134852162877</c:v>
                </c:pt>
                <c:pt idx="927">
                  <c:v>1819.0193614863056</c:v>
                </c:pt>
                <c:pt idx="928">
                  <c:v>1535.5492358934989</c:v>
                </c:pt>
                <c:pt idx="929">
                  <c:v>1199.7510977623954</c:v>
                </c:pt>
                <c:pt idx="930">
                  <c:v>2175.8724913735809</c:v>
                </c:pt>
                <c:pt idx="931">
                  <c:v>1604.7218442082174</c:v>
                </c:pt>
                <c:pt idx="932">
                  <c:v>1512.9700529916204</c:v>
                </c:pt>
                <c:pt idx="933">
                  <c:v>1795.4726357840404</c:v>
                </c:pt>
                <c:pt idx="934">
                  <c:v>1164.4363783821623</c:v>
                </c:pt>
                <c:pt idx="935">
                  <c:v>1616.1366840928908</c:v>
                </c:pt>
                <c:pt idx="936">
                  <c:v>1669.0232689215127</c:v>
                </c:pt>
                <c:pt idx="937">
                  <c:v>1412.4147377360161</c:v>
                </c:pt>
                <c:pt idx="938">
                  <c:v>1801.6347644676603</c:v>
                </c:pt>
                <c:pt idx="939">
                  <c:v>1733.8656505993401</c:v>
                </c:pt>
                <c:pt idx="940">
                  <c:v>1752.3798106767272</c:v>
                </c:pt>
                <c:pt idx="941">
                  <c:v>1717.9357441473981</c:v>
                </c:pt>
                <c:pt idx="942">
                  <c:v>1597.9064687575114</c:v>
                </c:pt>
                <c:pt idx="943">
                  <c:v>2104.8920314658217</c:v>
                </c:pt>
                <c:pt idx="944">
                  <c:v>1763.4612812523269</c:v>
                </c:pt>
                <c:pt idx="945">
                  <c:v>2308.9974378575757</c:v>
                </c:pt>
                <c:pt idx="946">
                  <c:v>1605.2046970940539</c:v>
                </c:pt>
                <c:pt idx="947">
                  <c:v>1656.2051503189266</c:v>
                </c:pt>
                <c:pt idx="948">
                  <c:v>2074.4490912921406</c:v>
                </c:pt>
                <c:pt idx="949">
                  <c:v>1676.9440868652487</c:v>
                </c:pt>
                <c:pt idx="950">
                  <c:v>1542.8637817808526</c:v>
                </c:pt>
                <c:pt idx="951">
                  <c:v>1408.5013081831405</c:v>
                </c:pt>
                <c:pt idx="952">
                  <c:v>1990.9292089032485</c:v>
                </c:pt>
                <c:pt idx="953">
                  <c:v>1063.6855639195355</c:v>
                </c:pt>
                <c:pt idx="954">
                  <c:v>1624.7635168105389</c:v>
                </c:pt>
                <c:pt idx="955">
                  <c:v>1523.5247462034815</c:v>
                </c:pt>
                <c:pt idx="956">
                  <c:v>1752.3219279106452</c:v>
                </c:pt>
                <c:pt idx="957">
                  <c:v>1542.5946141303896</c:v>
                </c:pt>
                <c:pt idx="958">
                  <c:v>1770.251411474401</c:v>
                </c:pt>
                <c:pt idx="959">
                  <c:v>1875.6989958424053</c:v>
                </c:pt>
                <c:pt idx="960">
                  <c:v>1184.6016676130675</c:v>
                </c:pt>
                <c:pt idx="961">
                  <c:v>1926.9125617928823</c:v>
                </c:pt>
                <c:pt idx="962">
                  <c:v>1501.2298988332382</c:v>
                </c:pt>
                <c:pt idx="963">
                  <c:v>1383.7848933956816</c:v>
                </c:pt>
                <c:pt idx="964">
                  <c:v>1021.1020868887801</c:v>
                </c:pt>
                <c:pt idx="965">
                  <c:v>1885.1481251484838</c:v>
                </c:pt>
                <c:pt idx="966">
                  <c:v>1716.0564951065367</c:v>
                </c:pt>
                <c:pt idx="967">
                  <c:v>1409.3219864676587</c:v>
                </c:pt>
                <c:pt idx="968">
                  <c:v>2058.7744923136593</c:v>
                </c:pt>
                <c:pt idx="969">
                  <c:v>1294.5355502647533</c:v>
                </c:pt>
                <c:pt idx="970">
                  <c:v>1542.2848437615928</c:v>
                </c:pt>
                <c:pt idx="971">
                  <c:v>1658.2061156335969</c:v>
                </c:pt>
                <c:pt idx="972">
                  <c:v>1624.2517973794791</c:v>
                </c:pt>
                <c:pt idx="973">
                  <c:v>1263.0659173803576</c:v>
                </c:pt>
                <c:pt idx="974">
                  <c:v>1595.6752984280629</c:v>
                </c:pt>
                <c:pt idx="975">
                  <c:v>1387.0188521699176</c:v>
                </c:pt>
                <c:pt idx="976">
                  <c:v>1730.1087691341506</c:v>
                </c:pt>
                <c:pt idx="977">
                  <c:v>2121.6587804627825</c:v>
                </c:pt>
                <c:pt idx="978">
                  <c:v>986.32279828984679</c:v>
                </c:pt>
                <c:pt idx="979">
                  <c:v>1624.1533111714371</c:v>
                </c:pt>
                <c:pt idx="980">
                  <c:v>1488.250061025836</c:v>
                </c:pt>
                <c:pt idx="981">
                  <c:v>1611.8508943872271</c:v>
                </c:pt>
                <c:pt idx="982">
                  <c:v>1959.61337700538</c:v>
                </c:pt>
                <c:pt idx="983">
                  <c:v>1682.7912313906645</c:v>
                </c:pt>
                <c:pt idx="984">
                  <c:v>1158.443686236935</c:v>
                </c:pt>
                <c:pt idx="985">
                  <c:v>1836.2456448486153</c:v>
                </c:pt>
                <c:pt idx="986">
                  <c:v>1539.1146328548011</c:v>
                </c:pt>
                <c:pt idx="987">
                  <c:v>1585.5140036720659</c:v>
                </c:pt>
                <c:pt idx="988">
                  <c:v>2102.1990099324789</c:v>
                </c:pt>
                <c:pt idx="989">
                  <c:v>1803.9194398869461</c:v>
                </c:pt>
                <c:pt idx="990">
                  <c:v>2466.3472139761288</c:v>
                </c:pt>
                <c:pt idx="991">
                  <c:v>1255.1970670554429</c:v>
                </c:pt>
                <c:pt idx="992">
                  <c:v>2029.0217339450178</c:v>
                </c:pt>
                <c:pt idx="993">
                  <c:v>1201.2021450511647</c:v>
                </c:pt>
                <c:pt idx="994">
                  <c:v>1848.9867820900856</c:v>
                </c:pt>
                <c:pt idx="995">
                  <c:v>1600.1996328004852</c:v>
                </c:pt>
                <c:pt idx="996">
                  <c:v>1607.3843978573238</c:v>
                </c:pt>
                <c:pt idx="997">
                  <c:v>2005.100632639027</c:v>
                </c:pt>
                <c:pt idx="998">
                  <c:v>1484.0383656050876</c:v>
                </c:pt>
                <c:pt idx="999">
                  <c:v>1814.597449136264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0F-4888-ADE8-1A68FBF85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323920"/>
        <c:axId val="1093317680"/>
      </c:lineChart>
      <c:lineChart>
        <c:grouping val="standard"/>
        <c:varyColors val="0"/>
        <c:ser>
          <c:idx val="0"/>
          <c:order val="0"/>
          <c:tx>
            <c:strRef>
              <c:f>Model!$F$4</c:f>
              <c:strCache>
                <c:ptCount val="1"/>
                <c:pt idx="0">
                  <c:v>FX Rate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Model!$F$5:$F$1004</c:f>
              <c:numCache>
                <c:formatCode>General</c:formatCode>
                <c:ptCount val="1000"/>
                <c:pt idx="0">
                  <c:v>1.3184410574493517</c:v>
                </c:pt>
                <c:pt idx="1">
                  <c:v>1.0782990195840727</c:v>
                </c:pt>
                <c:pt idx="2">
                  <c:v>1.1038222832944775</c:v>
                </c:pt>
                <c:pt idx="3">
                  <c:v>1.1905192228915469</c:v>
                </c:pt>
                <c:pt idx="4">
                  <c:v>1.2260443951088149</c:v>
                </c:pt>
                <c:pt idx="5">
                  <c:v>1.1523743826913031</c:v>
                </c:pt>
                <c:pt idx="6">
                  <c:v>1.0555271593860025</c:v>
                </c:pt>
                <c:pt idx="7">
                  <c:v>1.0017203914611632</c:v>
                </c:pt>
                <c:pt idx="8">
                  <c:v>0.98080101886823579</c:v>
                </c:pt>
                <c:pt idx="9">
                  <c:v>1.4565647119514378</c:v>
                </c:pt>
                <c:pt idx="10">
                  <c:v>1.0409036437143258</c:v>
                </c:pt>
                <c:pt idx="11">
                  <c:v>1.0854238253796773</c:v>
                </c:pt>
                <c:pt idx="12">
                  <c:v>1.0180911543797189</c:v>
                </c:pt>
                <c:pt idx="13">
                  <c:v>1.0899384616388665</c:v>
                </c:pt>
                <c:pt idx="14">
                  <c:v>1.4004265595988681</c:v>
                </c:pt>
                <c:pt idx="15">
                  <c:v>1.4056077567556755</c:v>
                </c:pt>
                <c:pt idx="16">
                  <c:v>1.3265476411801651</c:v>
                </c:pt>
                <c:pt idx="17">
                  <c:v>1.2761537014633229</c:v>
                </c:pt>
                <c:pt idx="18">
                  <c:v>0.78250329880447245</c:v>
                </c:pt>
                <c:pt idx="19">
                  <c:v>1.0037297800147194</c:v>
                </c:pt>
                <c:pt idx="20">
                  <c:v>1.2306770888397933</c:v>
                </c:pt>
                <c:pt idx="21">
                  <c:v>1.1188929181007827</c:v>
                </c:pt>
                <c:pt idx="22">
                  <c:v>1.1220755491909769</c:v>
                </c:pt>
                <c:pt idx="23">
                  <c:v>1.1523452102320837</c:v>
                </c:pt>
                <c:pt idx="24">
                  <c:v>1.2311550187845803</c:v>
                </c:pt>
                <c:pt idx="25">
                  <c:v>0.99666600365572688</c:v>
                </c:pt>
                <c:pt idx="26">
                  <c:v>1.1399378017189239</c:v>
                </c:pt>
                <c:pt idx="27">
                  <c:v>1.117509055370705</c:v>
                </c:pt>
                <c:pt idx="28">
                  <c:v>1.1268674505262872</c:v>
                </c:pt>
                <c:pt idx="29">
                  <c:v>1.2566400461829785</c:v>
                </c:pt>
                <c:pt idx="30">
                  <c:v>1.1664650979726776</c:v>
                </c:pt>
                <c:pt idx="31">
                  <c:v>1.3514055183367171</c:v>
                </c:pt>
                <c:pt idx="32">
                  <c:v>0.98608683440934164</c:v>
                </c:pt>
                <c:pt idx="33">
                  <c:v>1.2883233914338315</c:v>
                </c:pt>
                <c:pt idx="34">
                  <c:v>1.1941453669343636</c:v>
                </c:pt>
                <c:pt idx="35">
                  <c:v>1.1482390824376167</c:v>
                </c:pt>
                <c:pt idx="36">
                  <c:v>1.0852872296296523</c:v>
                </c:pt>
                <c:pt idx="37">
                  <c:v>0.99118192225726942</c:v>
                </c:pt>
                <c:pt idx="38">
                  <c:v>1.3754378466751682</c:v>
                </c:pt>
                <c:pt idx="39">
                  <c:v>1.2392641260308546</c:v>
                </c:pt>
                <c:pt idx="40">
                  <c:v>1.3319336486742057</c:v>
                </c:pt>
                <c:pt idx="41">
                  <c:v>1.4906858763960014</c:v>
                </c:pt>
                <c:pt idx="42">
                  <c:v>1.3040871724355227</c:v>
                </c:pt>
                <c:pt idx="43">
                  <c:v>1.1695079044908312</c:v>
                </c:pt>
                <c:pt idx="44">
                  <c:v>1.0414816028860487</c:v>
                </c:pt>
                <c:pt idx="45">
                  <c:v>1.2761701304319444</c:v>
                </c:pt>
                <c:pt idx="46">
                  <c:v>1.3963943131519732</c:v>
                </c:pt>
                <c:pt idx="47">
                  <c:v>1.1565375525078019</c:v>
                </c:pt>
                <c:pt idx="48">
                  <c:v>1.0991067014580533</c:v>
                </c:pt>
                <c:pt idx="49">
                  <c:v>1.1870423917725546</c:v>
                </c:pt>
                <c:pt idx="50">
                  <c:v>1.089662041191567</c:v>
                </c:pt>
                <c:pt idx="51">
                  <c:v>1.0986374240259238</c:v>
                </c:pt>
                <c:pt idx="52">
                  <c:v>1.4677301879499391</c:v>
                </c:pt>
                <c:pt idx="53">
                  <c:v>1.1313370928623876</c:v>
                </c:pt>
                <c:pt idx="54">
                  <c:v>1.2236169190215944</c:v>
                </c:pt>
                <c:pt idx="55">
                  <c:v>1.2421068811720473</c:v>
                </c:pt>
                <c:pt idx="56">
                  <c:v>1.2252777572886286</c:v>
                </c:pt>
                <c:pt idx="57">
                  <c:v>1.1516024739979447</c:v>
                </c:pt>
                <c:pt idx="58">
                  <c:v>1.210669498373244</c:v>
                </c:pt>
                <c:pt idx="59">
                  <c:v>1.3922801919721677</c:v>
                </c:pt>
                <c:pt idx="60">
                  <c:v>1.1262886902777547</c:v>
                </c:pt>
                <c:pt idx="61">
                  <c:v>0.96834590645819008</c:v>
                </c:pt>
                <c:pt idx="62">
                  <c:v>1.0147413523546964</c:v>
                </c:pt>
                <c:pt idx="63">
                  <c:v>1.5153099529404304</c:v>
                </c:pt>
                <c:pt idx="64">
                  <c:v>1.3452042087633873</c:v>
                </c:pt>
                <c:pt idx="65">
                  <c:v>1.1293389123049455</c:v>
                </c:pt>
                <c:pt idx="66">
                  <c:v>1.1774973074500992</c:v>
                </c:pt>
                <c:pt idx="67">
                  <c:v>1.1250100084109249</c:v>
                </c:pt>
                <c:pt idx="68">
                  <c:v>1.419130737507833</c:v>
                </c:pt>
                <c:pt idx="69">
                  <c:v>1.0037730208494784</c:v>
                </c:pt>
                <c:pt idx="70">
                  <c:v>0.95527503473832331</c:v>
                </c:pt>
                <c:pt idx="71">
                  <c:v>1.182954006839958</c:v>
                </c:pt>
                <c:pt idx="72">
                  <c:v>1.1343819774608495</c:v>
                </c:pt>
                <c:pt idx="73">
                  <c:v>0.85947494459849838</c:v>
                </c:pt>
                <c:pt idx="74">
                  <c:v>1.0520534568887854</c:v>
                </c:pt>
                <c:pt idx="75">
                  <c:v>1.0882849950070765</c:v>
                </c:pt>
                <c:pt idx="76">
                  <c:v>1.2315147486573268</c:v>
                </c:pt>
                <c:pt idx="77">
                  <c:v>1.2804043097461344</c:v>
                </c:pt>
                <c:pt idx="78">
                  <c:v>1.0446059473002238</c:v>
                </c:pt>
                <c:pt idx="79">
                  <c:v>1.2352613914623432</c:v>
                </c:pt>
                <c:pt idx="80">
                  <c:v>1.1743649609542053</c:v>
                </c:pt>
                <c:pt idx="81">
                  <c:v>1.0232309231368548</c:v>
                </c:pt>
                <c:pt idx="82">
                  <c:v>1.157126426371589</c:v>
                </c:pt>
                <c:pt idx="83">
                  <c:v>1.0355022792887403</c:v>
                </c:pt>
                <c:pt idx="84">
                  <c:v>1.0287541986239583</c:v>
                </c:pt>
                <c:pt idx="85">
                  <c:v>1.1424527008885528</c:v>
                </c:pt>
                <c:pt idx="86">
                  <c:v>0.9716578107045063</c:v>
                </c:pt>
                <c:pt idx="87">
                  <c:v>1.2177257038434193</c:v>
                </c:pt>
                <c:pt idx="88">
                  <c:v>1.0991925218443277</c:v>
                </c:pt>
                <c:pt idx="89">
                  <c:v>1.0903598341386262</c:v>
                </c:pt>
                <c:pt idx="90">
                  <c:v>1.3655312879086992</c:v>
                </c:pt>
                <c:pt idx="91">
                  <c:v>1.3293388007646536</c:v>
                </c:pt>
                <c:pt idx="92">
                  <c:v>1.1298088050926687</c:v>
                </c:pt>
                <c:pt idx="93">
                  <c:v>1.1034874183562662</c:v>
                </c:pt>
                <c:pt idx="94">
                  <c:v>1.1861001519687997</c:v>
                </c:pt>
                <c:pt idx="95">
                  <c:v>1.12522068020725</c:v>
                </c:pt>
                <c:pt idx="96">
                  <c:v>0.95929312026895019</c:v>
                </c:pt>
                <c:pt idx="97">
                  <c:v>1.0434574175309697</c:v>
                </c:pt>
                <c:pt idx="98">
                  <c:v>1.2772745904123248</c:v>
                </c:pt>
                <c:pt idx="99">
                  <c:v>1.1188141796513313</c:v>
                </c:pt>
                <c:pt idx="100">
                  <c:v>1.1943348094585116</c:v>
                </c:pt>
                <c:pt idx="101">
                  <c:v>1.0664729315448742</c:v>
                </c:pt>
                <c:pt idx="102">
                  <c:v>1.3674829116564982</c:v>
                </c:pt>
                <c:pt idx="103">
                  <c:v>0.99535970231717152</c:v>
                </c:pt>
                <c:pt idx="104">
                  <c:v>1.2089416818208885</c:v>
                </c:pt>
                <c:pt idx="105">
                  <c:v>1.1878763973656505</c:v>
                </c:pt>
                <c:pt idx="106">
                  <c:v>0.99113645631829062</c:v>
                </c:pt>
                <c:pt idx="107">
                  <c:v>1.1707578422598788</c:v>
                </c:pt>
                <c:pt idx="108">
                  <c:v>1.1522591710737249</c:v>
                </c:pt>
                <c:pt idx="109">
                  <c:v>1.1531488311184315</c:v>
                </c:pt>
                <c:pt idx="110">
                  <c:v>1.3095510566620623</c:v>
                </c:pt>
                <c:pt idx="111">
                  <c:v>1.353358332979786</c:v>
                </c:pt>
                <c:pt idx="112">
                  <c:v>1.2654514672290362</c:v>
                </c:pt>
                <c:pt idx="113">
                  <c:v>1.0087281333288161</c:v>
                </c:pt>
                <c:pt idx="114">
                  <c:v>1.0348711564599224</c:v>
                </c:pt>
                <c:pt idx="115">
                  <c:v>1.1715160657662416</c:v>
                </c:pt>
                <c:pt idx="116">
                  <c:v>1.2132067628198018</c:v>
                </c:pt>
                <c:pt idx="117">
                  <c:v>1.3160357113811461</c:v>
                </c:pt>
                <c:pt idx="118">
                  <c:v>1.1926180853301447</c:v>
                </c:pt>
                <c:pt idx="119">
                  <c:v>1.1192434552686839</c:v>
                </c:pt>
                <c:pt idx="120">
                  <c:v>1.1799902769629251</c:v>
                </c:pt>
                <c:pt idx="121">
                  <c:v>1.3729928800487081</c:v>
                </c:pt>
                <c:pt idx="122">
                  <c:v>1.4476852658533013</c:v>
                </c:pt>
                <c:pt idx="123">
                  <c:v>1.2800425745160757</c:v>
                </c:pt>
                <c:pt idx="124">
                  <c:v>1.1931904336951049</c:v>
                </c:pt>
                <c:pt idx="125">
                  <c:v>1.2846574390949674</c:v>
                </c:pt>
                <c:pt idx="126">
                  <c:v>1.1585285289816902</c:v>
                </c:pt>
                <c:pt idx="127">
                  <c:v>1.1260049076184306</c:v>
                </c:pt>
                <c:pt idx="128">
                  <c:v>1.0730420664796716</c:v>
                </c:pt>
                <c:pt idx="129">
                  <c:v>1.1390858794465268</c:v>
                </c:pt>
                <c:pt idx="130">
                  <c:v>1.2365566678214484</c:v>
                </c:pt>
                <c:pt idx="131">
                  <c:v>1.0686379472518615</c:v>
                </c:pt>
                <c:pt idx="132">
                  <c:v>1.1629497645010225</c:v>
                </c:pt>
                <c:pt idx="133">
                  <c:v>1.241307653282095</c:v>
                </c:pt>
                <c:pt idx="134">
                  <c:v>1.1459669499946374</c:v>
                </c:pt>
                <c:pt idx="135">
                  <c:v>1.2028424308002348</c:v>
                </c:pt>
                <c:pt idx="136">
                  <c:v>0.97551480372356214</c:v>
                </c:pt>
                <c:pt idx="137">
                  <c:v>1.0379312631731474</c:v>
                </c:pt>
                <c:pt idx="138">
                  <c:v>0.95163999221358397</c:v>
                </c:pt>
                <c:pt idx="139">
                  <c:v>1.2456411689481404</c:v>
                </c:pt>
                <c:pt idx="140">
                  <c:v>1.2617631552966322</c:v>
                </c:pt>
                <c:pt idx="141">
                  <c:v>1.1647925745254486</c:v>
                </c:pt>
                <c:pt idx="142">
                  <c:v>1.2611491026365103</c:v>
                </c:pt>
                <c:pt idx="143">
                  <c:v>1.1139377352310058</c:v>
                </c:pt>
                <c:pt idx="144">
                  <c:v>0.97178162800347911</c:v>
                </c:pt>
                <c:pt idx="145">
                  <c:v>1.1874624720511933</c:v>
                </c:pt>
                <c:pt idx="146">
                  <c:v>1.2200124918983426</c:v>
                </c:pt>
                <c:pt idx="147">
                  <c:v>1.2826211721009544</c:v>
                </c:pt>
                <c:pt idx="148">
                  <c:v>1.2006081975476184</c:v>
                </c:pt>
                <c:pt idx="149">
                  <c:v>1.0898159495220499</c:v>
                </c:pt>
                <c:pt idx="150">
                  <c:v>1.1658066843905375</c:v>
                </c:pt>
                <c:pt idx="151">
                  <c:v>1.0302927506163919</c:v>
                </c:pt>
                <c:pt idx="152">
                  <c:v>1.1603968802138254</c:v>
                </c:pt>
                <c:pt idx="153">
                  <c:v>0.96718934951191926</c:v>
                </c:pt>
                <c:pt idx="154">
                  <c:v>1.0621085183767855</c:v>
                </c:pt>
                <c:pt idx="155">
                  <c:v>1.0103087977038319</c:v>
                </c:pt>
                <c:pt idx="156">
                  <c:v>1.2251849570617106</c:v>
                </c:pt>
                <c:pt idx="157">
                  <c:v>1.1574447883907431</c:v>
                </c:pt>
                <c:pt idx="158">
                  <c:v>1.0061572788506172</c:v>
                </c:pt>
                <c:pt idx="159">
                  <c:v>1.2891246030262598</c:v>
                </c:pt>
                <c:pt idx="160">
                  <c:v>1.2608204079338012</c:v>
                </c:pt>
                <c:pt idx="161">
                  <c:v>1.3592178799388077</c:v>
                </c:pt>
                <c:pt idx="162">
                  <c:v>1.2479990579749229</c:v>
                </c:pt>
                <c:pt idx="163">
                  <c:v>1.2431415267161003</c:v>
                </c:pt>
                <c:pt idx="164">
                  <c:v>1.0423933209218132</c:v>
                </c:pt>
                <c:pt idx="165">
                  <c:v>1.1165676201196455</c:v>
                </c:pt>
                <c:pt idx="166">
                  <c:v>1.2650714524736018</c:v>
                </c:pt>
                <c:pt idx="167">
                  <c:v>1.0710609904935544</c:v>
                </c:pt>
                <c:pt idx="168">
                  <c:v>1.3702685366679628</c:v>
                </c:pt>
                <c:pt idx="169">
                  <c:v>1.6322172675437689</c:v>
                </c:pt>
                <c:pt idx="170">
                  <c:v>1.1975584158799211</c:v>
                </c:pt>
                <c:pt idx="171">
                  <c:v>1.3903571001108572</c:v>
                </c:pt>
                <c:pt idx="172">
                  <c:v>1.0399089615285111</c:v>
                </c:pt>
                <c:pt idx="173">
                  <c:v>1.3440049752267118</c:v>
                </c:pt>
                <c:pt idx="174">
                  <c:v>1.0268832258840828</c:v>
                </c:pt>
                <c:pt idx="175">
                  <c:v>1.3240672620791809</c:v>
                </c:pt>
                <c:pt idx="176">
                  <c:v>1.3575843648125314</c:v>
                </c:pt>
                <c:pt idx="177">
                  <c:v>0.84298354691896349</c:v>
                </c:pt>
                <c:pt idx="178">
                  <c:v>1.421369205500955</c:v>
                </c:pt>
                <c:pt idx="179">
                  <c:v>1.1487459841831145</c:v>
                </c:pt>
                <c:pt idx="180">
                  <c:v>1.0956956230168036</c:v>
                </c:pt>
                <c:pt idx="181">
                  <c:v>1.082337197768054</c:v>
                </c:pt>
                <c:pt idx="182">
                  <c:v>1.2024217547765248</c:v>
                </c:pt>
                <c:pt idx="183">
                  <c:v>1.213326098064309</c:v>
                </c:pt>
                <c:pt idx="184">
                  <c:v>1.4414878915540805</c:v>
                </c:pt>
                <c:pt idx="185">
                  <c:v>1.2196427057811234</c:v>
                </c:pt>
                <c:pt idx="186">
                  <c:v>1.1868225881297887</c:v>
                </c:pt>
                <c:pt idx="187">
                  <c:v>1.1255118167322824</c:v>
                </c:pt>
                <c:pt idx="188">
                  <c:v>1.3205553752329435</c:v>
                </c:pt>
                <c:pt idx="189">
                  <c:v>1.3123570019244366</c:v>
                </c:pt>
                <c:pt idx="190">
                  <c:v>1.1834731789500836</c:v>
                </c:pt>
                <c:pt idx="191">
                  <c:v>1.3139927692474158</c:v>
                </c:pt>
                <c:pt idx="192">
                  <c:v>0.97972412486563387</c:v>
                </c:pt>
                <c:pt idx="193">
                  <c:v>1.0461994498818907</c:v>
                </c:pt>
                <c:pt idx="194">
                  <c:v>1.3023301567869234</c:v>
                </c:pt>
                <c:pt idx="195">
                  <c:v>1.3579261834244225</c:v>
                </c:pt>
                <c:pt idx="196">
                  <c:v>0.93322311574725436</c:v>
                </c:pt>
                <c:pt idx="197">
                  <c:v>0.97609050728424873</c:v>
                </c:pt>
                <c:pt idx="198">
                  <c:v>1.3286864138362247</c:v>
                </c:pt>
                <c:pt idx="199">
                  <c:v>1.1116871565885766</c:v>
                </c:pt>
                <c:pt idx="200">
                  <c:v>1.2305122847559393</c:v>
                </c:pt>
                <c:pt idx="201">
                  <c:v>1.2400014517923268</c:v>
                </c:pt>
                <c:pt idx="202">
                  <c:v>1.1744565615716833</c:v>
                </c:pt>
                <c:pt idx="203">
                  <c:v>1.2699243637788633</c:v>
                </c:pt>
                <c:pt idx="204">
                  <c:v>1.0061026709273588</c:v>
                </c:pt>
                <c:pt idx="205">
                  <c:v>1.0964343064959434</c:v>
                </c:pt>
                <c:pt idx="206">
                  <c:v>1.0691835631757873</c:v>
                </c:pt>
                <c:pt idx="207">
                  <c:v>1.2919972552477141</c:v>
                </c:pt>
                <c:pt idx="208">
                  <c:v>1.3436109842667439</c:v>
                </c:pt>
                <c:pt idx="209">
                  <c:v>1.0781405800676098</c:v>
                </c:pt>
                <c:pt idx="210">
                  <c:v>1.3478002594545415</c:v>
                </c:pt>
                <c:pt idx="211">
                  <c:v>1.2278185339535452</c:v>
                </c:pt>
                <c:pt idx="212">
                  <c:v>1.1961495895424075</c:v>
                </c:pt>
                <c:pt idx="213">
                  <c:v>1.101470389569688</c:v>
                </c:pt>
                <c:pt idx="214">
                  <c:v>1.1618351182627535</c:v>
                </c:pt>
                <c:pt idx="215">
                  <c:v>1.1030235460113513</c:v>
                </c:pt>
                <c:pt idx="216">
                  <c:v>1.2372472532731829</c:v>
                </c:pt>
                <c:pt idx="217">
                  <c:v>1.1781708049987074</c:v>
                </c:pt>
                <c:pt idx="218">
                  <c:v>1.0233623621514512</c:v>
                </c:pt>
                <c:pt idx="219">
                  <c:v>1.4263231294354082</c:v>
                </c:pt>
                <c:pt idx="220">
                  <c:v>1.3928286285351412</c:v>
                </c:pt>
                <c:pt idx="221">
                  <c:v>1.1418126925832546</c:v>
                </c:pt>
                <c:pt idx="222">
                  <c:v>1.4085094244866077</c:v>
                </c:pt>
                <c:pt idx="223">
                  <c:v>1.1093427099341375</c:v>
                </c:pt>
                <c:pt idx="224">
                  <c:v>1.0836617673643287</c:v>
                </c:pt>
                <c:pt idx="225">
                  <c:v>1.2528869787354722</c:v>
                </c:pt>
                <c:pt idx="226">
                  <c:v>1.0492799940686959</c:v>
                </c:pt>
                <c:pt idx="227">
                  <c:v>1.326503006780503</c:v>
                </c:pt>
                <c:pt idx="228">
                  <c:v>0.9979590613642082</c:v>
                </c:pt>
                <c:pt idx="229">
                  <c:v>1.1528887900182541</c:v>
                </c:pt>
                <c:pt idx="230">
                  <c:v>1.0829500508681567</c:v>
                </c:pt>
                <c:pt idx="231">
                  <c:v>1.2675033133775657</c:v>
                </c:pt>
                <c:pt idx="232">
                  <c:v>1.1428781372770871</c:v>
                </c:pt>
                <c:pt idx="233">
                  <c:v>0.80962369694239378</c:v>
                </c:pt>
                <c:pt idx="234">
                  <c:v>1.0701357444523085</c:v>
                </c:pt>
                <c:pt idx="235">
                  <c:v>1.1816686142954786</c:v>
                </c:pt>
                <c:pt idx="236">
                  <c:v>0.95419339830884153</c:v>
                </c:pt>
                <c:pt idx="237">
                  <c:v>1.199180106189059</c:v>
                </c:pt>
                <c:pt idx="238">
                  <c:v>1.2825017792944253</c:v>
                </c:pt>
                <c:pt idx="239">
                  <c:v>0.98190485443372111</c:v>
                </c:pt>
                <c:pt idx="240">
                  <c:v>1.3925755526988659</c:v>
                </c:pt>
                <c:pt idx="241">
                  <c:v>1.3421022566997265</c:v>
                </c:pt>
                <c:pt idx="242">
                  <c:v>1.1247664727004065</c:v>
                </c:pt>
                <c:pt idx="243">
                  <c:v>1.221647470073947</c:v>
                </c:pt>
                <c:pt idx="244">
                  <c:v>1.1739198252362515</c:v>
                </c:pt>
                <c:pt idx="245">
                  <c:v>1.3515553912158929</c:v>
                </c:pt>
                <c:pt idx="246">
                  <c:v>1.0669390123409987</c:v>
                </c:pt>
                <c:pt idx="247">
                  <c:v>1.0770614029249448</c:v>
                </c:pt>
                <c:pt idx="248">
                  <c:v>1.1086697969565726</c:v>
                </c:pt>
                <c:pt idx="249">
                  <c:v>1.0658704500093634</c:v>
                </c:pt>
                <c:pt idx="250">
                  <c:v>1.3720268887058846</c:v>
                </c:pt>
                <c:pt idx="251">
                  <c:v>1.2575033421122515</c:v>
                </c:pt>
                <c:pt idx="252">
                  <c:v>1.0030490263047458</c:v>
                </c:pt>
                <c:pt idx="253">
                  <c:v>1.2892896304008223</c:v>
                </c:pt>
                <c:pt idx="254">
                  <c:v>1.1994944943992798</c:v>
                </c:pt>
                <c:pt idx="255">
                  <c:v>1.2655352516689382</c:v>
                </c:pt>
                <c:pt idx="256">
                  <c:v>1.0705773822570668</c:v>
                </c:pt>
                <c:pt idx="257">
                  <c:v>1.2885231311770218</c:v>
                </c:pt>
                <c:pt idx="258">
                  <c:v>1.1842767906189828</c:v>
                </c:pt>
                <c:pt idx="259">
                  <c:v>1.1653067471045837</c:v>
                </c:pt>
                <c:pt idx="260">
                  <c:v>1.1489489999787579</c:v>
                </c:pt>
                <c:pt idx="261">
                  <c:v>1.288070497533794</c:v>
                </c:pt>
                <c:pt idx="262">
                  <c:v>1.1908418485605674</c:v>
                </c:pt>
                <c:pt idx="263">
                  <c:v>1.3549233146454489</c:v>
                </c:pt>
                <c:pt idx="264">
                  <c:v>1.456738481285947</c:v>
                </c:pt>
                <c:pt idx="265">
                  <c:v>1.0920251275846635</c:v>
                </c:pt>
                <c:pt idx="266">
                  <c:v>1.3025032286281226</c:v>
                </c:pt>
                <c:pt idx="267">
                  <c:v>1.2677710014642143</c:v>
                </c:pt>
                <c:pt idx="268">
                  <c:v>1.1602466979947172</c:v>
                </c:pt>
                <c:pt idx="269">
                  <c:v>1.0467729257858804</c:v>
                </c:pt>
                <c:pt idx="270">
                  <c:v>1.1593445783693404</c:v>
                </c:pt>
                <c:pt idx="271">
                  <c:v>1.0093769974407589</c:v>
                </c:pt>
                <c:pt idx="272">
                  <c:v>1.0068779733854054</c:v>
                </c:pt>
                <c:pt idx="273">
                  <c:v>1.3592549865200938</c:v>
                </c:pt>
                <c:pt idx="274">
                  <c:v>1.1609674985328498</c:v>
                </c:pt>
                <c:pt idx="275">
                  <c:v>1.1011267790580133</c:v>
                </c:pt>
                <c:pt idx="276">
                  <c:v>1.2725647760819743</c:v>
                </c:pt>
                <c:pt idx="277">
                  <c:v>1.1927235926012294</c:v>
                </c:pt>
                <c:pt idx="278">
                  <c:v>1.2915874125183626</c:v>
                </c:pt>
                <c:pt idx="279">
                  <c:v>1.1526773423021253</c:v>
                </c:pt>
                <c:pt idx="280">
                  <c:v>1.2181278497816375</c:v>
                </c:pt>
                <c:pt idx="281">
                  <c:v>1.0510060765911862</c:v>
                </c:pt>
                <c:pt idx="282">
                  <c:v>1.1475004184645705</c:v>
                </c:pt>
                <c:pt idx="283">
                  <c:v>0.99991672089994632</c:v>
                </c:pt>
                <c:pt idx="284">
                  <c:v>1.0275922114422567</c:v>
                </c:pt>
                <c:pt idx="285">
                  <c:v>1.1571072776758222</c:v>
                </c:pt>
                <c:pt idx="286">
                  <c:v>1.1906966792026639</c:v>
                </c:pt>
                <c:pt idx="287">
                  <c:v>1.3599036665478119</c:v>
                </c:pt>
                <c:pt idx="288">
                  <c:v>1.3693495925628152</c:v>
                </c:pt>
                <c:pt idx="289">
                  <c:v>1.2580182024926976</c:v>
                </c:pt>
                <c:pt idx="290">
                  <c:v>1.041948852954053</c:v>
                </c:pt>
                <c:pt idx="291">
                  <c:v>1.5077573858590378</c:v>
                </c:pt>
                <c:pt idx="292">
                  <c:v>1.1625351561009083</c:v>
                </c:pt>
                <c:pt idx="293">
                  <c:v>1.4189541524592302</c:v>
                </c:pt>
                <c:pt idx="294">
                  <c:v>1.2850662096120447</c:v>
                </c:pt>
                <c:pt idx="295">
                  <c:v>0.8785286493096649</c:v>
                </c:pt>
                <c:pt idx="296">
                  <c:v>0.90312945423930846</c:v>
                </c:pt>
                <c:pt idx="297">
                  <c:v>0.93678891769556938</c:v>
                </c:pt>
                <c:pt idx="298">
                  <c:v>1.0913464374923181</c:v>
                </c:pt>
                <c:pt idx="299">
                  <c:v>1.0997170023089411</c:v>
                </c:pt>
                <c:pt idx="300">
                  <c:v>1.0387693304828332</c:v>
                </c:pt>
                <c:pt idx="301">
                  <c:v>1.0612785188957032</c:v>
                </c:pt>
                <c:pt idx="302">
                  <c:v>1.3527627145368324</c:v>
                </c:pt>
                <c:pt idx="303">
                  <c:v>1.2541056464736502</c:v>
                </c:pt>
                <c:pt idx="304">
                  <c:v>1.2426282234335666</c:v>
                </c:pt>
                <c:pt idx="305">
                  <c:v>1.1581903470588435</c:v>
                </c:pt>
                <c:pt idx="306">
                  <c:v>1.3120789334757852</c:v>
                </c:pt>
                <c:pt idx="307">
                  <c:v>1.041222562587889</c:v>
                </c:pt>
                <c:pt idx="308">
                  <c:v>1.2300309717063971</c:v>
                </c:pt>
                <c:pt idx="309">
                  <c:v>1.1201733898083832</c:v>
                </c:pt>
                <c:pt idx="310">
                  <c:v>1.2825850793285478</c:v>
                </c:pt>
                <c:pt idx="311">
                  <c:v>1.123462793923321</c:v>
                </c:pt>
                <c:pt idx="312">
                  <c:v>0.90071249593985259</c:v>
                </c:pt>
                <c:pt idx="313">
                  <c:v>1.0833320603015166</c:v>
                </c:pt>
                <c:pt idx="314">
                  <c:v>1.0303043800834859</c:v>
                </c:pt>
                <c:pt idx="315">
                  <c:v>1.0550073915545719</c:v>
                </c:pt>
                <c:pt idx="316">
                  <c:v>1.2398834701620458</c:v>
                </c:pt>
                <c:pt idx="317">
                  <c:v>0.94940373237787501</c:v>
                </c:pt>
                <c:pt idx="318">
                  <c:v>1.2597766003268653</c:v>
                </c:pt>
                <c:pt idx="319">
                  <c:v>1.042168862623478</c:v>
                </c:pt>
                <c:pt idx="320">
                  <c:v>1.0925707287562338</c:v>
                </c:pt>
                <c:pt idx="321">
                  <c:v>0.90564341364931733</c:v>
                </c:pt>
                <c:pt idx="322">
                  <c:v>1.5050396040099221</c:v>
                </c:pt>
                <c:pt idx="323">
                  <c:v>1.0291711337195304</c:v>
                </c:pt>
                <c:pt idx="324">
                  <c:v>1.0216669876034512</c:v>
                </c:pt>
                <c:pt idx="325">
                  <c:v>1.2191555210211766</c:v>
                </c:pt>
                <c:pt idx="326">
                  <c:v>1.1857137055177969</c:v>
                </c:pt>
                <c:pt idx="327">
                  <c:v>1.0325820755913147</c:v>
                </c:pt>
                <c:pt idx="328">
                  <c:v>1.1844186832275805</c:v>
                </c:pt>
                <c:pt idx="329">
                  <c:v>1.3100920443645589</c:v>
                </c:pt>
                <c:pt idx="330">
                  <c:v>1.1649556329824353</c:v>
                </c:pt>
                <c:pt idx="331">
                  <c:v>1.140080651241443</c:v>
                </c:pt>
                <c:pt idx="332">
                  <c:v>1.3721356131841642</c:v>
                </c:pt>
                <c:pt idx="333">
                  <c:v>1.2394228810657006</c:v>
                </c:pt>
                <c:pt idx="334">
                  <c:v>1.1375411949253105</c:v>
                </c:pt>
                <c:pt idx="335">
                  <c:v>1.475541464562472</c:v>
                </c:pt>
                <c:pt idx="336">
                  <c:v>1.0059354979882673</c:v>
                </c:pt>
                <c:pt idx="337">
                  <c:v>1.1834487194866197</c:v>
                </c:pt>
                <c:pt idx="338">
                  <c:v>1.3534739961183475</c:v>
                </c:pt>
                <c:pt idx="339">
                  <c:v>1.2056945620299324</c:v>
                </c:pt>
                <c:pt idx="340">
                  <c:v>1.1112229862175516</c:v>
                </c:pt>
                <c:pt idx="341">
                  <c:v>1.0872305200709362</c:v>
                </c:pt>
                <c:pt idx="342">
                  <c:v>1.16965757290762</c:v>
                </c:pt>
                <c:pt idx="343">
                  <c:v>1.21360185807228</c:v>
                </c:pt>
                <c:pt idx="344">
                  <c:v>1.4698916389389203</c:v>
                </c:pt>
                <c:pt idx="345">
                  <c:v>1.1943243929939007</c:v>
                </c:pt>
                <c:pt idx="346">
                  <c:v>1.0537876018629362</c:v>
                </c:pt>
                <c:pt idx="347">
                  <c:v>1.2229425189634138</c:v>
                </c:pt>
                <c:pt idx="348">
                  <c:v>1.454084971259743</c:v>
                </c:pt>
                <c:pt idx="349">
                  <c:v>1.2472730612989882</c:v>
                </c:pt>
                <c:pt idx="350">
                  <c:v>1.2131161241771606</c:v>
                </c:pt>
                <c:pt idx="351">
                  <c:v>1.0453739272902074</c:v>
                </c:pt>
                <c:pt idx="352">
                  <c:v>1.0866317063924982</c:v>
                </c:pt>
                <c:pt idx="353">
                  <c:v>0.98776580628108157</c:v>
                </c:pt>
                <c:pt idx="354">
                  <c:v>1.040418825958644</c:v>
                </c:pt>
                <c:pt idx="355">
                  <c:v>1.2484975122709663</c:v>
                </c:pt>
                <c:pt idx="356">
                  <c:v>0.95721493823345749</c:v>
                </c:pt>
                <c:pt idx="357">
                  <c:v>1.2770032348102287</c:v>
                </c:pt>
                <c:pt idx="358">
                  <c:v>1.1494535725751995</c:v>
                </c:pt>
                <c:pt idx="359">
                  <c:v>1.3767501603021353</c:v>
                </c:pt>
                <c:pt idx="360">
                  <c:v>1.152898152866199</c:v>
                </c:pt>
                <c:pt idx="361">
                  <c:v>1.3365604505082931</c:v>
                </c:pt>
                <c:pt idx="362">
                  <c:v>1.092895380251947</c:v>
                </c:pt>
                <c:pt idx="363">
                  <c:v>1.0644789419279963</c:v>
                </c:pt>
                <c:pt idx="364">
                  <c:v>1.2658835272285782</c:v>
                </c:pt>
                <c:pt idx="365">
                  <c:v>1.0101133573212153</c:v>
                </c:pt>
                <c:pt idx="366">
                  <c:v>1.0254851936155525</c:v>
                </c:pt>
                <c:pt idx="367">
                  <c:v>1.179862435579528</c:v>
                </c:pt>
                <c:pt idx="368">
                  <c:v>1.3150611412801847</c:v>
                </c:pt>
                <c:pt idx="369">
                  <c:v>1.0529153132496676</c:v>
                </c:pt>
                <c:pt idx="370">
                  <c:v>1.2968375898919529</c:v>
                </c:pt>
                <c:pt idx="371">
                  <c:v>1.2760521998447065</c:v>
                </c:pt>
                <c:pt idx="372">
                  <c:v>1.2089506202418996</c:v>
                </c:pt>
                <c:pt idx="373">
                  <c:v>1.0558712792706531</c:v>
                </c:pt>
                <c:pt idx="374">
                  <c:v>1.2708158549109407</c:v>
                </c:pt>
                <c:pt idx="375">
                  <c:v>1.3288494333809557</c:v>
                </c:pt>
                <c:pt idx="376">
                  <c:v>1.0111340026361226</c:v>
                </c:pt>
                <c:pt idx="377">
                  <c:v>1.48581446961159</c:v>
                </c:pt>
                <c:pt idx="378">
                  <c:v>1.3792995628805591</c:v>
                </c:pt>
                <c:pt idx="379">
                  <c:v>1.3958649962613243</c:v>
                </c:pt>
                <c:pt idx="380">
                  <c:v>0.98578498168338946</c:v>
                </c:pt>
                <c:pt idx="381">
                  <c:v>1.3647625687547134</c:v>
                </c:pt>
                <c:pt idx="382">
                  <c:v>1.2256199983006242</c:v>
                </c:pt>
                <c:pt idx="383">
                  <c:v>1.1225976848885484</c:v>
                </c:pt>
                <c:pt idx="384">
                  <c:v>1.297099872370433</c:v>
                </c:pt>
                <c:pt idx="385">
                  <c:v>0.92426954826855234</c:v>
                </c:pt>
                <c:pt idx="386">
                  <c:v>1.1512362939714518</c:v>
                </c:pt>
                <c:pt idx="387">
                  <c:v>1.0989156258516275</c:v>
                </c:pt>
                <c:pt idx="388">
                  <c:v>1.0196353213063858</c:v>
                </c:pt>
                <c:pt idx="389">
                  <c:v>1.0934017247338281</c:v>
                </c:pt>
                <c:pt idx="390">
                  <c:v>1.1563363139513021</c:v>
                </c:pt>
                <c:pt idx="391">
                  <c:v>1.211004014331486</c:v>
                </c:pt>
                <c:pt idx="392">
                  <c:v>1.2460598052164342</c:v>
                </c:pt>
                <c:pt idx="393">
                  <c:v>1.1154597542158846</c:v>
                </c:pt>
                <c:pt idx="394">
                  <c:v>1.1128472886765108</c:v>
                </c:pt>
                <c:pt idx="395">
                  <c:v>1.1666467429417984</c:v>
                </c:pt>
                <c:pt idx="396">
                  <c:v>1.1616894307985821</c:v>
                </c:pt>
                <c:pt idx="397">
                  <c:v>1.2329461111915869</c:v>
                </c:pt>
                <c:pt idx="398">
                  <c:v>1.2160407008438006</c:v>
                </c:pt>
                <c:pt idx="399">
                  <c:v>0.84130454835305402</c:v>
                </c:pt>
                <c:pt idx="400">
                  <c:v>1.1704757219220665</c:v>
                </c:pt>
                <c:pt idx="401">
                  <c:v>1.1208850855529355</c:v>
                </c:pt>
                <c:pt idx="402">
                  <c:v>1.3059657337457822</c:v>
                </c:pt>
                <c:pt idx="403">
                  <c:v>1.1324386732836782</c:v>
                </c:pt>
                <c:pt idx="404">
                  <c:v>1.1000357060207238</c:v>
                </c:pt>
                <c:pt idx="405">
                  <c:v>1.0243647721987537</c:v>
                </c:pt>
                <c:pt idx="406">
                  <c:v>1.3409591504246903</c:v>
                </c:pt>
                <c:pt idx="407">
                  <c:v>1.2550623697486525</c:v>
                </c:pt>
                <c:pt idx="408">
                  <c:v>1.0148713956880475</c:v>
                </c:pt>
                <c:pt idx="409">
                  <c:v>1.0126337396874747</c:v>
                </c:pt>
                <c:pt idx="410">
                  <c:v>1.1610361717086444</c:v>
                </c:pt>
                <c:pt idx="411">
                  <c:v>1.0916427588744566</c:v>
                </c:pt>
                <c:pt idx="412">
                  <c:v>1.5157939289309545</c:v>
                </c:pt>
                <c:pt idx="413">
                  <c:v>1.229528469815816</c:v>
                </c:pt>
                <c:pt idx="414">
                  <c:v>1.101416533869334</c:v>
                </c:pt>
                <c:pt idx="415">
                  <c:v>1.0457054158652632</c:v>
                </c:pt>
                <c:pt idx="416">
                  <c:v>1.3343553548077145</c:v>
                </c:pt>
                <c:pt idx="417">
                  <c:v>1.2772762714189723</c:v>
                </c:pt>
                <c:pt idx="418">
                  <c:v>1.111541087790898</c:v>
                </c:pt>
                <c:pt idx="419">
                  <c:v>1.0837090420367115</c:v>
                </c:pt>
                <c:pt idx="420">
                  <c:v>1.1713896605468668</c:v>
                </c:pt>
                <c:pt idx="421">
                  <c:v>1.4924626482505718</c:v>
                </c:pt>
                <c:pt idx="422">
                  <c:v>1.0127780285683492</c:v>
                </c:pt>
                <c:pt idx="423">
                  <c:v>1.293446371307639</c:v>
                </c:pt>
                <c:pt idx="424">
                  <c:v>1.3174214563471061</c:v>
                </c:pt>
                <c:pt idx="425">
                  <c:v>1.2296577691860824</c:v>
                </c:pt>
                <c:pt idx="426">
                  <c:v>1.3354951189750168</c:v>
                </c:pt>
                <c:pt idx="427">
                  <c:v>1.0963325928220169</c:v>
                </c:pt>
                <c:pt idx="428">
                  <c:v>1.2307886030371773</c:v>
                </c:pt>
                <c:pt idx="429">
                  <c:v>1.0152972763562531</c:v>
                </c:pt>
                <c:pt idx="430">
                  <c:v>1.1764140916691925</c:v>
                </c:pt>
                <c:pt idx="431">
                  <c:v>1.0451268907110822</c:v>
                </c:pt>
                <c:pt idx="432">
                  <c:v>1.4453328696726893</c:v>
                </c:pt>
                <c:pt idx="433">
                  <c:v>1.2549615872314968</c:v>
                </c:pt>
                <c:pt idx="434">
                  <c:v>1.0502211814617866</c:v>
                </c:pt>
                <c:pt idx="435">
                  <c:v>1.15316729722644</c:v>
                </c:pt>
                <c:pt idx="436">
                  <c:v>1.2395993572408603</c:v>
                </c:pt>
                <c:pt idx="437">
                  <c:v>1.1963779759961177</c:v>
                </c:pt>
                <c:pt idx="438">
                  <c:v>1.1863751694264875</c:v>
                </c:pt>
                <c:pt idx="439">
                  <c:v>1.0652102985438423</c:v>
                </c:pt>
                <c:pt idx="440">
                  <c:v>1.2408501464173967</c:v>
                </c:pt>
                <c:pt idx="441">
                  <c:v>1.307258093144346</c:v>
                </c:pt>
                <c:pt idx="442">
                  <c:v>1.2211599020474955</c:v>
                </c:pt>
                <c:pt idx="443">
                  <c:v>1.0227123303191326</c:v>
                </c:pt>
                <c:pt idx="444">
                  <c:v>1.6400933324707581</c:v>
                </c:pt>
                <c:pt idx="445">
                  <c:v>1.3401514772516916</c:v>
                </c:pt>
                <c:pt idx="446">
                  <c:v>0.93572602879132094</c:v>
                </c:pt>
                <c:pt idx="447">
                  <c:v>0.94239768817144354</c:v>
                </c:pt>
                <c:pt idx="448">
                  <c:v>1.2243979734575636</c:v>
                </c:pt>
                <c:pt idx="449">
                  <c:v>1.0023251182871784</c:v>
                </c:pt>
                <c:pt idx="450">
                  <c:v>1.3033350975778533</c:v>
                </c:pt>
                <c:pt idx="451">
                  <c:v>1.0160136075148516</c:v>
                </c:pt>
                <c:pt idx="452">
                  <c:v>1.3154659281032344</c:v>
                </c:pt>
                <c:pt idx="453">
                  <c:v>1.2508432982214801</c:v>
                </c:pt>
                <c:pt idx="454">
                  <c:v>1.098463166231568</c:v>
                </c:pt>
                <c:pt idx="455">
                  <c:v>1.1899781236876792</c:v>
                </c:pt>
                <c:pt idx="456">
                  <c:v>1.130718258848505</c:v>
                </c:pt>
                <c:pt idx="457">
                  <c:v>1.1934392630866966</c:v>
                </c:pt>
                <c:pt idx="458">
                  <c:v>1.220372443547932</c:v>
                </c:pt>
                <c:pt idx="459">
                  <c:v>1.1418548690427044</c:v>
                </c:pt>
                <c:pt idx="460">
                  <c:v>1.2139026465295453</c:v>
                </c:pt>
                <c:pt idx="461">
                  <c:v>1.2828562744170648</c:v>
                </c:pt>
                <c:pt idx="462">
                  <c:v>1.2556211977314231</c:v>
                </c:pt>
                <c:pt idx="463">
                  <c:v>1.2443168931448987</c:v>
                </c:pt>
                <c:pt idx="464">
                  <c:v>1.2829357697742252</c:v>
                </c:pt>
                <c:pt idx="465">
                  <c:v>1.4598716939234841</c:v>
                </c:pt>
                <c:pt idx="466">
                  <c:v>1.1646417442652743</c:v>
                </c:pt>
                <c:pt idx="467">
                  <c:v>1.1416724114272667</c:v>
                </c:pt>
                <c:pt idx="468">
                  <c:v>1.3717261074152907</c:v>
                </c:pt>
                <c:pt idx="469">
                  <c:v>1.1842628019405224</c:v>
                </c:pt>
                <c:pt idx="470">
                  <c:v>1.2701439744267793</c:v>
                </c:pt>
                <c:pt idx="471">
                  <c:v>1.283298142471337</c:v>
                </c:pt>
                <c:pt idx="472">
                  <c:v>1.0208857823663207</c:v>
                </c:pt>
                <c:pt idx="473">
                  <c:v>1.3339718753066774</c:v>
                </c:pt>
                <c:pt idx="474">
                  <c:v>1.0849862607432825</c:v>
                </c:pt>
                <c:pt idx="475">
                  <c:v>1.285765982078162</c:v>
                </c:pt>
                <c:pt idx="476">
                  <c:v>1.2176664892399496</c:v>
                </c:pt>
                <c:pt idx="477">
                  <c:v>0.93475661320653081</c:v>
                </c:pt>
                <c:pt idx="478">
                  <c:v>1.2288568743387724</c:v>
                </c:pt>
                <c:pt idx="479">
                  <c:v>1.1890770538899931</c:v>
                </c:pt>
                <c:pt idx="480">
                  <c:v>1.0722037858258977</c:v>
                </c:pt>
                <c:pt idx="481">
                  <c:v>1.1154769942812004</c:v>
                </c:pt>
                <c:pt idx="482">
                  <c:v>0.9998820189472688</c:v>
                </c:pt>
                <c:pt idx="483">
                  <c:v>1.0720830338587579</c:v>
                </c:pt>
                <c:pt idx="484">
                  <c:v>1.2513169503883688</c:v>
                </c:pt>
                <c:pt idx="485">
                  <c:v>1.1318522239282787</c:v>
                </c:pt>
                <c:pt idx="486">
                  <c:v>1.2018620051501019</c:v>
                </c:pt>
                <c:pt idx="487">
                  <c:v>1.2371121113267451</c:v>
                </c:pt>
                <c:pt idx="488">
                  <c:v>1.1325643973943669</c:v>
                </c:pt>
                <c:pt idx="489">
                  <c:v>1.114786096848515</c:v>
                </c:pt>
                <c:pt idx="490">
                  <c:v>1.0583329275741165</c:v>
                </c:pt>
                <c:pt idx="491">
                  <c:v>1.2925829707919465</c:v>
                </c:pt>
                <c:pt idx="492">
                  <c:v>1.4240439730553147</c:v>
                </c:pt>
                <c:pt idx="493">
                  <c:v>1.0508359618534013</c:v>
                </c:pt>
                <c:pt idx="494">
                  <c:v>0.9891530149677713</c:v>
                </c:pt>
                <c:pt idx="495">
                  <c:v>1.1295763879171736</c:v>
                </c:pt>
                <c:pt idx="496">
                  <c:v>1.3102634311484935</c:v>
                </c:pt>
                <c:pt idx="497">
                  <c:v>1.0973842416047055</c:v>
                </c:pt>
                <c:pt idx="498">
                  <c:v>1.1371605498313566</c:v>
                </c:pt>
                <c:pt idx="499">
                  <c:v>1.1776406201575556</c:v>
                </c:pt>
                <c:pt idx="500">
                  <c:v>1.1853417712511529</c:v>
                </c:pt>
                <c:pt idx="501">
                  <c:v>1.0748011397809154</c:v>
                </c:pt>
                <c:pt idx="502">
                  <c:v>1.0974924864988438</c:v>
                </c:pt>
                <c:pt idx="503">
                  <c:v>1.1162780882282868</c:v>
                </c:pt>
                <c:pt idx="504">
                  <c:v>1.2390953130420725</c:v>
                </c:pt>
                <c:pt idx="505">
                  <c:v>1.1335360900891387</c:v>
                </c:pt>
                <c:pt idx="506">
                  <c:v>1.2319382387859537</c:v>
                </c:pt>
                <c:pt idx="507">
                  <c:v>0.92578996273812997</c:v>
                </c:pt>
                <c:pt idx="508">
                  <c:v>1.395314686000974</c:v>
                </c:pt>
                <c:pt idx="509">
                  <c:v>1.1371336649253605</c:v>
                </c:pt>
                <c:pt idx="510">
                  <c:v>1.134854980465668</c:v>
                </c:pt>
                <c:pt idx="511">
                  <c:v>1.0842786547432075</c:v>
                </c:pt>
                <c:pt idx="512">
                  <c:v>0.919021865613315</c:v>
                </c:pt>
                <c:pt idx="513">
                  <c:v>1.197439528024242</c:v>
                </c:pt>
                <c:pt idx="514">
                  <c:v>1.3379047633068779</c:v>
                </c:pt>
                <c:pt idx="515">
                  <c:v>1.1946359238243158</c:v>
                </c:pt>
                <c:pt idx="516">
                  <c:v>1.1811533090274628</c:v>
                </c:pt>
                <c:pt idx="517">
                  <c:v>1.2377620794517565</c:v>
                </c:pt>
                <c:pt idx="518">
                  <c:v>1.3804752991404299</c:v>
                </c:pt>
                <c:pt idx="519">
                  <c:v>1.3004299461937809</c:v>
                </c:pt>
                <c:pt idx="520">
                  <c:v>1.288637010634119</c:v>
                </c:pt>
                <c:pt idx="521">
                  <c:v>1.2522434289522786</c:v>
                </c:pt>
                <c:pt idx="522">
                  <c:v>1.2210303309162953</c:v>
                </c:pt>
                <c:pt idx="523">
                  <c:v>1.4512477717507519</c:v>
                </c:pt>
                <c:pt idx="524">
                  <c:v>0.95182039179492928</c:v>
                </c:pt>
                <c:pt idx="525">
                  <c:v>0.96900107308967431</c:v>
                </c:pt>
                <c:pt idx="526">
                  <c:v>1.337230907141215</c:v>
                </c:pt>
                <c:pt idx="527">
                  <c:v>1.2538543646800033</c:v>
                </c:pt>
                <c:pt idx="528">
                  <c:v>0.9772740834423369</c:v>
                </c:pt>
                <c:pt idx="529">
                  <c:v>1.2103494351200295</c:v>
                </c:pt>
                <c:pt idx="530">
                  <c:v>1.221286250592325</c:v>
                </c:pt>
                <c:pt idx="531">
                  <c:v>1.0767371946874948</c:v>
                </c:pt>
                <c:pt idx="532">
                  <c:v>1.1518759007797807</c:v>
                </c:pt>
                <c:pt idx="533">
                  <c:v>1.0852121684452645</c:v>
                </c:pt>
                <c:pt idx="534">
                  <c:v>1.4315762498156546</c:v>
                </c:pt>
                <c:pt idx="535">
                  <c:v>1.110038785961764</c:v>
                </c:pt>
                <c:pt idx="536">
                  <c:v>1.3889350220624317</c:v>
                </c:pt>
                <c:pt idx="537">
                  <c:v>1.0858814607247338</c:v>
                </c:pt>
                <c:pt idx="538">
                  <c:v>1.1101420293121305</c:v>
                </c:pt>
                <c:pt idx="539">
                  <c:v>1.2471690111896163</c:v>
                </c:pt>
                <c:pt idx="540">
                  <c:v>1.5341684866363579</c:v>
                </c:pt>
                <c:pt idx="541">
                  <c:v>1.2552761279591622</c:v>
                </c:pt>
                <c:pt idx="542">
                  <c:v>1.0556527976823997</c:v>
                </c:pt>
                <c:pt idx="543">
                  <c:v>1.1990118067836424</c:v>
                </c:pt>
                <c:pt idx="544">
                  <c:v>1.1138850713334421</c:v>
                </c:pt>
                <c:pt idx="545">
                  <c:v>1.1182814174644915</c:v>
                </c:pt>
                <c:pt idx="546">
                  <c:v>1.4182443961561131</c:v>
                </c:pt>
                <c:pt idx="547">
                  <c:v>1.1776205811261435</c:v>
                </c:pt>
                <c:pt idx="548">
                  <c:v>1.2502385450787163</c:v>
                </c:pt>
                <c:pt idx="549">
                  <c:v>1.269004858711922</c:v>
                </c:pt>
                <c:pt idx="550">
                  <c:v>1.2443529366252855</c:v>
                </c:pt>
                <c:pt idx="551">
                  <c:v>1.1904666903008776</c:v>
                </c:pt>
                <c:pt idx="552">
                  <c:v>1.0352038450846353</c:v>
                </c:pt>
                <c:pt idx="553">
                  <c:v>1.1800982070292128</c:v>
                </c:pt>
                <c:pt idx="554">
                  <c:v>1.2104926619369278</c:v>
                </c:pt>
                <c:pt idx="555">
                  <c:v>1.2870033396709664</c:v>
                </c:pt>
                <c:pt idx="556">
                  <c:v>1.0658990468604619</c:v>
                </c:pt>
                <c:pt idx="557">
                  <c:v>1.2246969694938656</c:v>
                </c:pt>
                <c:pt idx="558">
                  <c:v>1.2570520196732506</c:v>
                </c:pt>
                <c:pt idx="559">
                  <c:v>1.3564872626810953</c:v>
                </c:pt>
                <c:pt idx="560">
                  <c:v>1.112811490721622</c:v>
                </c:pt>
                <c:pt idx="561">
                  <c:v>0.9411165040989693</c:v>
                </c:pt>
                <c:pt idx="562">
                  <c:v>1.0600172628480058</c:v>
                </c:pt>
                <c:pt idx="563">
                  <c:v>1.009774563261117</c:v>
                </c:pt>
                <c:pt idx="564">
                  <c:v>1.3268252178570399</c:v>
                </c:pt>
                <c:pt idx="565">
                  <c:v>0.98371220071013477</c:v>
                </c:pt>
                <c:pt idx="566">
                  <c:v>1.2548333279119022</c:v>
                </c:pt>
                <c:pt idx="567">
                  <c:v>1.2460502525241046</c:v>
                </c:pt>
                <c:pt idx="568">
                  <c:v>1.1213490810241111</c:v>
                </c:pt>
                <c:pt idx="569">
                  <c:v>1.0157845014204083</c:v>
                </c:pt>
                <c:pt idx="570">
                  <c:v>0.98275334765336175</c:v>
                </c:pt>
                <c:pt idx="571">
                  <c:v>0.84577754150684104</c:v>
                </c:pt>
                <c:pt idx="572">
                  <c:v>1.2084960424192606</c:v>
                </c:pt>
                <c:pt idx="573">
                  <c:v>1.1121543049524039</c:v>
                </c:pt>
                <c:pt idx="574">
                  <c:v>1.0602138054066741</c:v>
                </c:pt>
                <c:pt idx="575">
                  <c:v>1.0115914918595377</c:v>
                </c:pt>
                <c:pt idx="576">
                  <c:v>0.84543265704279325</c:v>
                </c:pt>
                <c:pt idx="577">
                  <c:v>1.2529947501388585</c:v>
                </c:pt>
                <c:pt idx="578">
                  <c:v>1.0633696365937237</c:v>
                </c:pt>
                <c:pt idx="579">
                  <c:v>1.5603695152638355</c:v>
                </c:pt>
                <c:pt idx="580">
                  <c:v>1.1048731829488136</c:v>
                </c:pt>
                <c:pt idx="581">
                  <c:v>1.1686366021239203</c:v>
                </c:pt>
                <c:pt idx="582">
                  <c:v>1.212844469292363</c:v>
                </c:pt>
                <c:pt idx="583">
                  <c:v>1.3727985159625229</c:v>
                </c:pt>
                <c:pt idx="584">
                  <c:v>1.4641032994188463</c:v>
                </c:pt>
                <c:pt idx="585">
                  <c:v>0.86505425994724217</c:v>
                </c:pt>
                <c:pt idx="586">
                  <c:v>1.1389533495118138</c:v>
                </c:pt>
                <c:pt idx="587">
                  <c:v>1.0680535516579448</c:v>
                </c:pt>
                <c:pt idx="588">
                  <c:v>0.95164423082812655</c:v>
                </c:pt>
                <c:pt idx="589">
                  <c:v>1.4042536520642503</c:v>
                </c:pt>
                <c:pt idx="590">
                  <c:v>1.404144324802834</c:v>
                </c:pt>
                <c:pt idx="591">
                  <c:v>1.3174330382268646</c:v>
                </c:pt>
                <c:pt idx="592">
                  <c:v>1.1994565417783811</c:v>
                </c:pt>
                <c:pt idx="593">
                  <c:v>1.2266559755973976</c:v>
                </c:pt>
                <c:pt idx="594">
                  <c:v>1.1112658117344387</c:v>
                </c:pt>
                <c:pt idx="595">
                  <c:v>1.1791631999013181</c:v>
                </c:pt>
                <c:pt idx="596">
                  <c:v>1.4041892988774187</c:v>
                </c:pt>
                <c:pt idx="597">
                  <c:v>1.1701125179712646</c:v>
                </c:pt>
                <c:pt idx="598">
                  <c:v>1.0849834796913607</c:v>
                </c:pt>
                <c:pt idx="599">
                  <c:v>1.0408434297846898</c:v>
                </c:pt>
                <c:pt idx="600">
                  <c:v>1.322802347606665</c:v>
                </c:pt>
                <c:pt idx="601">
                  <c:v>1.2599358253239106</c:v>
                </c:pt>
                <c:pt idx="602">
                  <c:v>1.0522864496853606</c:v>
                </c:pt>
                <c:pt idx="603">
                  <c:v>1.0631244616600422</c:v>
                </c:pt>
                <c:pt idx="604">
                  <c:v>1.183914418695555</c:v>
                </c:pt>
                <c:pt idx="605">
                  <c:v>1.3740833370841543</c:v>
                </c:pt>
                <c:pt idx="606">
                  <c:v>1.2021052622199777</c:v>
                </c:pt>
                <c:pt idx="607">
                  <c:v>1.0223032313093194</c:v>
                </c:pt>
                <c:pt idx="608">
                  <c:v>1.1298251162755315</c:v>
                </c:pt>
                <c:pt idx="609">
                  <c:v>1.0956506319228436</c:v>
                </c:pt>
                <c:pt idx="610">
                  <c:v>1.1884022446896332</c:v>
                </c:pt>
                <c:pt idx="611">
                  <c:v>1.2192806377518999</c:v>
                </c:pt>
                <c:pt idx="612">
                  <c:v>1.2438379170768856</c:v>
                </c:pt>
                <c:pt idx="613">
                  <c:v>1.2201577408703563</c:v>
                </c:pt>
                <c:pt idx="614">
                  <c:v>1.2720215990061547</c:v>
                </c:pt>
                <c:pt idx="615">
                  <c:v>0.98719303885107323</c:v>
                </c:pt>
                <c:pt idx="616">
                  <c:v>1.140280804462463</c:v>
                </c:pt>
                <c:pt idx="617">
                  <c:v>1.2089298928110037</c:v>
                </c:pt>
                <c:pt idx="618">
                  <c:v>1.1071915291756902</c:v>
                </c:pt>
                <c:pt idx="619">
                  <c:v>1.0834559484529125</c:v>
                </c:pt>
                <c:pt idx="620">
                  <c:v>1.0244117003790489</c:v>
                </c:pt>
                <c:pt idx="621">
                  <c:v>1.0507913920943461</c:v>
                </c:pt>
                <c:pt idx="622">
                  <c:v>1.1444611247806962</c:v>
                </c:pt>
                <c:pt idx="623">
                  <c:v>1.2296530250725315</c:v>
                </c:pt>
                <c:pt idx="624">
                  <c:v>0.92750039880407531</c:v>
                </c:pt>
                <c:pt idx="625">
                  <c:v>0.79317152968573279</c:v>
                </c:pt>
                <c:pt idx="626">
                  <c:v>1.0913399829455941</c:v>
                </c:pt>
                <c:pt idx="627">
                  <c:v>0.86433821097023511</c:v>
                </c:pt>
                <c:pt idx="628">
                  <c:v>1.0964796232015066</c:v>
                </c:pt>
                <c:pt idx="629">
                  <c:v>1.3585222737477216</c:v>
                </c:pt>
                <c:pt idx="630">
                  <c:v>1.1012272647919565</c:v>
                </c:pt>
                <c:pt idx="631">
                  <c:v>0.88531228214564051</c:v>
                </c:pt>
                <c:pt idx="632">
                  <c:v>1.0666911249827544</c:v>
                </c:pt>
                <c:pt idx="633">
                  <c:v>1.290750367148557</c:v>
                </c:pt>
                <c:pt idx="634">
                  <c:v>1.3842470355009553</c:v>
                </c:pt>
                <c:pt idx="635">
                  <c:v>1.2593565901375292</c:v>
                </c:pt>
                <c:pt idx="636">
                  <c:v>1.3082885524255814</c:v>
                </c:pt>
                <c:pt idx="637">
                  <c:v>1.1642271611256758</c:v>
                </c:pt>
                <c:pt idx="638">
                  <c:v>1.5224701755757317</c:v>
                </c:pt>
                <c:pt idx="639">
                  <c:v>1.1803706366646622</c:v>
                </c:pt>
                <c:pt idx="640">
                  <c:v>1.264328552301248</c:v>
                </c:pt>
                <c:pt idx="641">
                  <c:v>1.1971008061212278</c:v>
                </c:pt>
                <c:pt idx="642">
                  <c:v>1.1329404011696025</c:v>
                </c:pt>
                <c:pt idx="643">
                  <c:v>1.0270001583160888</c:v>
                </c:pt>
                <c:pt idx="644">
                  <c:v>1.103085736893703</c:v>
                </c:pt>
                <c:pt idx="645">
                  <c:v>1.3344550573070475</c:v>
                </c:pt>
                <c:pt idx="646">
                  <c:v>1.2216195836817529</c:v>
                </c:pt>
                <c:pt idx="647">
                  <c:v>1.5568225711609605</c:v>
                </c:pt>
                <c:pt idx="648">
                  <c:v>1.144661692169342</c:v>
                </c:pt>
                <c:pt idx="649">
                  <c:v>1.3431648026766196</c:v>
                </c:pt>
                <c:pt idx="650">
                  <c:v>1.2418221273143566</c:v>
                </c:pt>
                <c:pt idx="651">
                  <c:v>1.0332233579053303</c:v>
                </c:pt>
                <c:pt idx="652">
                  <c:v>1.0352842631642594</c:v>
                </c:pt>
                <c:pt idx="653">
                  <c:v>0.96685170810864363</c:v>
                </c:pt>
                <c:pt idx="654">
                  <c:v>1.2329463199629376</c:v>
                </c:pt>
                <c:pt idx="655">
                  <c:v>1.0932418007541198</c:v>
                </c:pt>
                <c:pt idx="656">
                  <c:v>1.4077075054697274</c:v>
                </c:pt>
                <c:pt idx="657">
                  <c:v>1.2409893801538303</c:v>
                </c:pt>
                <c:pt idx="658">
                  <c:v>1.5241352794267293</c:v>
                </c:pt>
                <c:pt idx="659">
                  <c:v>1.21426198077568</c:v>
                </c:pt>
                <c:pt idx="660">
                  <c:v>1.2099149455833527</c:v>
                </c:pt>
                <c:pt idx="661">
                  <c:v>1.0874210678816914</c:v>
                </c:pt>
                <c:pt idx="662">
                  <c:v>1.076850415064367</c:v>
                </c:pt>
                <c:pt idx="663">
                  <c:v>1.2684442298093794</c:v>
                </c:pt>
                <c:pt idx="664">
                  <c:v>1.4388912193495627</c:v>
                </c:pt>
                <c:pt idx="665">
                  <c:v>1.1769945618712923</c:v>
                </c:pt>
                <c:pt idx="666">
                  <c:v>1.1787411383031869</c:v>
                </c:pt>
                <c:pt idx="667">
                  <c:v>1.2863794617355491</c:v>
                </c:pt>
                <c:pt idx="668">
                  <c:v>1.2856558870654982</c:v>
                </c:pt>
                <c:pt idx="669">
                  <c:v>0.95073106817503961</c:v>
                </c:pt>
                <c:pt idx="670">
                  <c:v>1.0835567405617723</c:v>
                </c:pt>
                <c:pt idx="671">
                  <c:v>1.0732780214264825</c:v>
                </c:pt>
                <c:pt idx="672">
                  <c:v>1.126259713749292</c:v>
                </c:pt>
                <c:pt idx="673">
                  <c:v>1.207600747304151</c:v>
                </c:pt>
                <c:pt idx="674">
                  <c:v>1.1908170359141488</c:v>
                </c:pt>
                <c:pt idx="675">
                  <c:v>1.1191320669222344</c:v>
                </c:pt>
                <c:pt idx="676">
                  <c:v>1.2094313007611197</c:v>
                </c:pt>
                <c:pt idx="677">
                  <c:v>1.2952427399383131</c:v>
                </c:pt>
                <c:pt idx="678">
                  <c:v>1.2134018486322986</c:v>
                </c:pt>
                <c:pt idx="679">
                  <c:v>0.94453982662516434</c:v>
                </c:pt>
                <c:pt idx="680">
                  <c:v>0.8813692880367664</c:v>
                </c:pt>
                <c:pt idx="681">
                  <c:v>1.1999966590833857</c:v>
                </c:pt>
                <c:pt idx="682">
                  <c:v>0.99266280210035318</c:v>
                </c:pt>
                <c:pt idx="683">
                  <c:v>1.1851245252043503</c:v>
                </c:pt>
                <c:pt idx="684">
                  <c:v>0.9882293908361921</c:v>
                </c:pt>
                <c:pt idx="685">
                  <c:v>0.89844382721782279</c:v>
                </c:pt>
                <c:pt idx="686">
                  <c:v>1.2539146691472962</c:v>
                </c:pt>
                <c:pt idx="687">
                  <c:v>1.0297350339326876</c:v>
                </c:pt>
                <c:pt idx="688">
                  <c:v>1.2334859135684346</c:v>
                </c:pt>
                <c:pt idx="689">
                  <c:v>1.0714541459676161</c:v>
                </c:pt>
                <c:pt idx="690">
                  <c:v>1.2076269223603822</c:v>
                </c:pt>
                <c:pt idx="691">
                  <c:v>0.9728371005771127</c:v>
                </c:pt>
                <c:pt idx="692">
                  <c:v>1.3438614219828573</c:v>
                </c:pt>
                <c:pt idx="693">
                  <c:v>0.96348806687591781</c:v>
                </c:pt>
                <c:pt idx="694">
                  <c:v>1.0003149832114697</c:v>
                </c:pt>
                <c:pt idx="695">
                  <c:v>0.97244680610792478</c:v>
                </c:pt>
                <c:pt idx="696">
                  <c:v>1.4806801781231436</c:v>
                </c:pt>
                <c:pt idx="697">
                  <c:v>1.2877927229470016</c:v>
                </c:pt>
                <c:pt idx="698">
                  <c:v>1.2205590890579456</c:v>
                </c:pt>
                <c:pt idx="699">
                  <c:v>1.3560203613668147</c:v>
                </c:pt>
                <c:pt idx="700">
                  <c:v>1.1573384736400236</c:v>
                </c:pt>
                <c:pt idx="701">
                  <c:v>1.0863846876022081</c:v>
                </c:pt>
                <c:pt idx="702">
                  <c:v>1.3154973153442786</c:v>
                </c:pt>
                <c:pt idx="703">
                  <c:v>1.340116996933622</c:v>
                </c:pt>
                <c:pt idx="704">
                  <c:v>1.2925592859013244</c:v>
                </c:pt>
                <c:pt idx="705">
                  <c:v>0.9266372012834635</c:v>
                </c:pt>
                <c:pt idx="706">
                  <c:v>1.3104729543667553</c:v>
                </c:pt>
                <c:pt idx="707">
                  <c:v>1.3624169832099611</c:v>
                </c:pt>
                <c:pt idx="708">
                  <c:v>1.4000601509005481</c:v>
                </c:pt>
                <c:pt idx="709">
                  <c:v>1.0772998318620779</c:v>
                </c:pt>
                <c:pt idx="710">
                  <c:v>1.5054098432340621</c:v>
                </c:pt>
                <c:pt idx="711">
                  <c:v>1.1049713324892234</c:v>
                </c:pt>
                <c:pt idx="712">
                  <c:v>1.258309556929132</c:v>
                </c:pt>
                <c:pt idx="713">
                  <c:v>0.9139349003901176</c:v>
                </c:pt>
                <c:pt idx="714">
                  <c:v>1.0653359402739448</c:v>
                </c:pt>
                <c:pt idx="715">
                  <c:v>0.99063194952647649</c:v>
                </c:pt>
                <c:pt idx="716">
                  <c:v>1.0504395091340781</c:v>
                </c:pt>
                <c:pt idx="717">
                  <c:v>1.2859084031819927</c:v>
                </c:pt>
                <c:pt idx="718">
                  <c:v>0.99747431164916345</c:v>
                </c:pt>
                <c:pt idx="719">
                  <c:v>1.2372797696943385</c:v>
                </c:pt>
                <c:pt idx="720">
                  <c:v>1.0539723630054922</c:v>
                </c:pt>
                <c:pt idx="721">
                  <c:v>1.3416903180737987</c:v>
                </c:pt>
                <c:pt idx="722">
                  <c:v>1.3985799197686237</c:v>
                </c:pt>
                <c:pt idx="723">
                  <c:v>1.1313596118838154</c:v>
                </c:pt>
                <c:pt idx="724">
                  <c:v>1.1251646405727556</c:v>
                </c:pt>
                <c:pt idx="725">
                  <c:v>1.3324017660432992</c:v>
                </c:pt>
                <c:pt idx="726">
                  <c:v>1.3084017677979651</c:v>
                </c:pt>
                <c:pt idx="727">
                  <c:v>1.1237683994091747</c:v>
                </c:pt>
                <c:pt idx="728">
                  <c:v>1.2902073069478794</c:v>
                </c:pt>
                <c:pt idx="729">
                  <c:v>1.2451741386278943</c:v>
                </c:pt>
                <c:pt idx="730">
                  <c:v>1.205093852606109</c:v>
                </c:pt>
                <c:pt idx="731">
                  <c:v>0.88109279737124613</c:v>
                </c:pt>
                <c:pt idx="732">
                  <c:v>1.3251911141504138</c:v>
                </c:pt>
                <c:pt idx="733">
                  <c:v>1.254912875777846</c:v>
                </c:pt>
                <c:pt idx="734">
                  <c:v>1.1723835970928174</c:v>
                </c:pt>
                <c:pt idx="735">
                  <c:v>0.95910539703361075</c:v>
                </c:pt>
                <c:pt idx="736">
                  <c:v>0.96546818790489775</c:v>
                </c:pt>
                <c:pt idx="737">
                  <c:v>1.1628879494516604</c:v>
                </c:pt>
                <c:pt idx="738">
                  <c:v>1.1744404112955926</c:v>
                </c:pt>
                <c:pt idx="739">
                  <c:v>1.104506311576567</c:v>
                </c:pt>
                <c:pt idx="740">
                  <c:v>0.9201736313302209</c:v>
                </c:pt>
                <c:pt idx="741">
                  <c:v>0.89043403280318301</c:v>
                </c:pt>
                <c:pt idx="742">
                  <c:v>1.2082122200640073</c:v>
                </c:pt>
                <c:pt idx="743">
                  <c:v>1.2545282304278704</c:v>
                </c:pt>
                <c:pt idx="744">
                  <c:v>0.99778112966890142</c:v>
                </c:pt>
                <c:pt idx="745">
                  <c:v>1.1583817562438277</c:v>
                </c:pt>
                <c:pt idx="746">
                  <c:v>1.4455429381839244</c:v>
                </c:pt>
                <c:pt idx="747">
                  <c:v>1.3509140649466993</c:v>
                </c:pt>
                <c:pt idx="748">
                  <c:v>1.1707136690136233</c:v>
                </c:pt>
                <c:pt idx="749">
                  <c:v>1.3712642262029628</c:v>
                </c:pt>
                <c:pt idx="750">
                  <c:v>1.1544476638033765</c:v>
                </c:pt>
                <c:pt idx="751">
                  <c:v>1.2357163657216088</c:v>
                </c:pt>
                <c:pt idx="752">
                  <c:v>1.0794845454092623</c:v>
                </c:pt>
                <c:pt idx="753">
                  <c:v>1.2818006052732802</c:v>
                </c:pt>
                <c:pt idx="754">
                  <c:v>1.1417278513805647</c:v>
                </c:pt>
                <c:pt idx="755">
                  <c:v>0.87313113352905058</c:v>
                </c:pt>
                <c:pt idx="756">
                  <c:v>1.3278803271925426</c:v>
                </c:pt>
                <c:pt idx="757">
                  <c:v>1.2152322147464689</c:v>
                </c:pt>
                <c:pt idx="758">
                  <c:v>1.1672417819145273</c:v>
                </c:pt>
                <c:pt idx="759">
                  <c:v>1.1354723024353459</c:v>
                </c:pt>
                <c:pt idx="760">
                  <c:v>1.396927007270542</c:v>
                </c:pt>
                <c:pt idx="761">
                  <c:v>1.113171326290719</c:v>
                </c:pt>
                <c:pt idx="762">
                  <c:v>1.0141250721709747</c:v>
                </c:pt>
                <c:pt idx="763">
                  <c:v>1.0532272881502722</c:v>
                </c:pt>
                <c:pt idx="764">
                  <c:v>1.2104500499771718</c:v>
                </c:pt>
                <c:pt idx="765">
                  <c:v>1.0212508053181164</c:v>
                </c:pt>
                <c:pt idx="766">
                  <c:v>1.186891015033303</c:v>
                </c:pt>
                <c:pt idx="767">
                  <c:v>0.92733024976783818</c:v>
                </c:pt>
                <c:pt idx="768">
                  <c:v>1.2020919217566552</c:v>
                </c:pt>
                <c:pt idx="769">
                  <c:v>1.0761485221740523</c:v>
                </c:pt>
                <c:pt idx="770">
                  <c:v>1.1721505003008339</c:v>
                </c:pt>
                <c:pt idx="771">
                  <c:v>0.98424156934355433</c:v>
                </c:pt>
                <c:pt idx="772">
                  <c:v>1.0993391677984468</c:v>
                </c:pt>
                <c:pt idx="773">
                  <c:v>1.2892620719801788</c:v>
                </c:pt>
                <c:pt idx="774">
                  <c:v>1.4136838288846856</c:v>
                </c:pt>
                <c:pt idx="775">
                  <c:v>1.0208718032819604</c:v>
                </c:pt>
                <c:pt idx="776">
                  <c:v>1.1520575962882176</c:v>
                </c:pt>
                <c:pt idx="777">
                  <c:v>1.1313208234702286</c:v>
                </c:pt>
                <c:pt idx="778">
                  <c:v>1.1913154105029433</c:v>
                </c:pt>
                <c:pt idx="779">
                  <c:v>1.3087140658414806</c:v>
                </c:pt>
                <c:pt idx="780">
                  <c:v>1.1204415539296146</c:v>
                </c:pt>
                <c:pt idx="781">
                  <c:v>1.4252357044075841</c:v>
                </c:pt>
                <c:pt idx="782">
                  <c:v>1.256924125399133</c:v>
                </c:pt>
                <c:pt idx="783">
                  <c:v>1.0005334180696182</c:v>
                </c:pt>
                <c:pt idx="784">
                  <c:v>1.2293128686444486</c:v>
                </c:pt>
                <c:pt idx="785">
                  <c:v>1.2975904277765877</c:v>
                </c:pt>
                <c:pt idx="786">
                  <c:v>1.0777762825087782</c:v>
                </c:pt>
                <c:pt idx="787">
                  <c:v>1.042320663441989</c:v>
                </c:pt>
                <c:pt idx="788">
                  <c:v>1.2545816554612372</c:v>
                </c:pt>
                <c:pt idx="789">
                  <c:v>1.1748449928353042</c:v>
                </c:pt>
                <c:pt idx="790">
                  <c:v>1.1233818183614581</c:v>
                </c:pt>
                <c:pt idx="791">
                  <c:v>1.3925131179609362</c:v>
                </c:pt>
                <c:pt idx="792">
                  <c:v>0.99117714483968855</c:v>
                </c:pt>
                <c:pt idx="793">
                  <c:v>1.5367218689258739</c:v>
                </c:pt>
                <c:pt idx="794">
                  <c:v>1.2875138772859547</c:v>
                </c:pt>
                <c:pt idx="795">
                  <c:v>0.97763281884510933</c:v>
                </c:pt>
                <c:pt idx="796">
                  <c:v>1.0249910164123088</c:v>
                </c:pt>
                <c:pt idx="797">
                  <c:v>1.2773718521746396</c:v>
                </c:pt>
                <c:pt idx="798">
                  <c:v>1.1109506716831794</c:v>
                </c:pt>
                <c:pt idx="799">
                  <c:v>1.1484525245231558</c:v>
                </c:pt>
                <c:pt idx="800">
                  <c:v>1.1886776198873863</c:v>
                </c:pt>
                <c:pt idx="801">
                  <c:v>1.0160185977666176</c:v>
                </c:pt>
                <c:pt idx="802">
                  <c:v>1.1360858521540771</c:v>
                </c:pt>
                <c:pt idx="803">
                  <c:v>1.3510570207768315</c:v>
                </c:pt>
                <c:pt idx="804">
                  <c:v>1.0566661903076489</c:v>
                </c:pt>
                <c:pt idx="805">
                  <c:v>1.1091020405327046</c:v>
                </c:pt>
                <c:pt idx="806">
                  <c:v>1.3449563942300142</c:v>
                </c:pt>
                <c:pt idx="807">
                  <c:v>1.3014810915263819</c:v>
                </c:pt>
                <c:pt idx="808">
                  <c:v>1.3119487133489112</c:v>
                </c:pt>
                <c:pt idx="809">
                  <c:v>1.0934050006857283</c:v>
                </c:pt>
                <c:pt idx="810">
                  <c:v>1.1615867728377289</c:v>
                </c:pt>
                <c:pt idx="811">
                  <c:v>1.2133827879396042</c:v>
                </c:pt>
                <c:pt idx="812">
                  <c:v>1.1609924202788755</c:v>
                </c:pt>
                <c:pt idx="813">
                  <c:v>1.4529923819412849</c:v>
                </c:pt>
                <c:pt idx="814">
                  <c:v>1.1458526679819838</c:v>
                </c:pt>
                <c:pt idx="815">
                  <c:v>1.1144911233595065</c:v>
                </c:pt>
                <c:pt idx="816">
                  <c:v>1.1874990232164693</c:v>
                </c:pt>
                <c:pt idx="817">
                  <c:v>1.3539073789336915</c:v>
                </c:pt>
                <c:pt idx="818">
                  <c:v>1.0310689168507599</c:v>
                </c:pt>
                <c:pt idx="819">
                  <c:v>0.88742178595695931</c:v>
                </c:pt>
                <c:pt idx="820">
                  <c:v>1.2405464575189069</c:v>
                </c:pt>
                <c:pt idx="821">
                  <c:v>1.1776582086327256</c:v>
                </c:pt>
                <c:pt idx="822">
                  <c:v>1.0354209412035615</c:v>
                </c:pt>
                <c:pt idx="823">
                  <c:v>1.2712397296489972</c:v>
                </c:pt>
                <c:pt idx="824">
                  <c:v>1.4889837831550543</c:v>
                </c:pt>
                <c:pt idx="825">
                  <c:v>1.0346757758920395</c:v>
                </c:pt>
                <c:pt idx="826">
                  <c:v>1.1892763328377143</c:v>
                </c:pt>
                <c:pt idx="827">
                  <c:v>1.4598054511201533</c:v>
                </c:pt>
                <c:pt idx="828">
                  <c:v>1.1907158499831236</c:v>
                </c:pt>
                <c:pt idx="829">
                  <c:v>1.2402079672360014</c:v>
                </c:pt>
                <c:pt idx="830">
                  <c:v>1.1004237739237352</c:v>
                </c:pt>
                <c:pt idx="831">
                  <c:v>1.211423996869389</c:v>
                </c:pt>
                <c:pt idx="832">
                  <c:v>1.0317466383388854</c:v>
                </c:pt>
                <c:pt idx="833">
                  <c:v>1.0303509111844504</c:v>
                </c:pt>
                <c:pt idx="834">
                  <c:v>1.1084328406122796</c:v>
                </c:pt>
                <c:pt idx="835">
                  <c:v>1.2314030729130045</c:v>
                </c:pt>
                <c:pt idx="836">
                  <c:v>1.1381542600411438</c:v>
                </c:pt>
                <c:pt idx="837">
                  <c:v>1.2626487472806438</c:v>
                </c:pt>
                <c:pt idx="838">
                  <c:v>1.3596040519505648</c:v>
                </c:pt>
                <c:pt idx="839">
                  <c:v>1.1658631460046964</c:v>
                </c:pt>
                <c:pt idx="840">
                  <c:v>1.0962619946464394</c:v>
                </c:pt>
                <c:pt idx="841">
                  <c:v>1.1866044524184727</c:v>
                </c:pt>
                <c:pt idx="842">
                  <c:v>0.90792730330016536</c:v>
                </c:pt>
                <c:pt idx="843">
                  <c:v>1.2318831226599825</c:v>
                </c:pt>
                <c:pt idx="844">
                  <c:v>1.1860115694005402</c:v>
                </c:pt>
                <c:pt idx="845">
                  <c:v>1.072881365658461</c:v>
                </c:pt>
                <c:pt idx="846">
                  <c:v>1.1576414207144563</c:v>
                </c:pt>
                <c:pt idx="847">
                  <c:v>1.4174207381366981</c:v>
                </c:pt>
                <c:pt idx="848">
                  <c:v>1.3531802582034735</c:v>
                </c:pt>
                <c:pt idx="849">
                  <c:v>0.98372744970317427</c:v>
                </c:pt>
                <c:pt idx="850">
                  <c:v>1.210221779076738</c:v>
                </c:pt>
                <c:pt idx="851">
                  <c:v>0.83510223873550116</c:v>
                </c:pt>
                <c:pt idx="852">
                  <c:v>1.3499739709158043</c:v>
                </c:pt>
                <c:pt idx="853">
                  <c:v>0.99298306574193651</c:v>
                </c:pt>
                <c:pt idx="854">
                  <c:v>1.0356657090922978</c:v>
                </c:pt>
                <c:pt idx="855">
                  <c:v>1.411386060817895</c:v>
                </c:pt>
                <c:pt idx="856">
                  <c:v>1.4170445599725896</c:v>
                </c:pt>
                <c:pt idx="857">
                  <c:v>1.3095738575032629</c:v>
                </c:pt>
                <c:pt idx="858">
                  <c:v>1.2380855028990463</c:v>
                </c:pt>
                <c:pt idx="859">
                  <c:v>0.90285234218865051</c:v>
                </c:pt>
                <c:pt idx="860">
                  <c:v>1.1745787863925143</c:v>
                </c:pt>
                <c:pt idx="861">
                  <c:v>1.252614518512035</c:v>
                </c:pt>
                <c:pt idx="862">
                  <c:v>1.0256703576752735</c:v>
                </c:pt>
                <c:pt idx="863">
                  <c:v>1.2668865400971372</c:v>
                </c:pt>
                <c:pt idx="864">
                  <c:v>1.0144125999677081</c:v>
                </c:pt>
                <c:pt idx="865">
                  <c:v>1.1649068393462134</c:v>
                </c:pt>
                <c:pt idx="866">
                  <c:v>1.0043752016522807</c:v>
                </c:pt>
                <c:pt idx="867">
                  <c:v>1.1802007379467823</c:v>
                </c:pt>
                <c:pt idx="868">
                  <c:v>1.1072314061422697</c:v>
                </c:pt>
                <c:pt idx="869">
                  <c:v>1.1261001784727001</c:v>
                </c:pt>
                <c:pt idx="870">
                  <c:v>1.3990892577174789</c:v>
                </c:pt>
                <c:pt idx="871">
                  <c:v>0.81814420595521975</c:v>
                </c:pt>
                <c:pt idx="872">
                  <c:v>1.1613140439236562</c:v>
                </c:pt>
                <c:pt idx="873">
                  <c:v>1.2291424639891635</c:v>
                </c:pt>
                <c:pt idx="874">
                  <c:v>1.0867645907004222</c:v>
                </c:pt>
                <c:pt idx="875">
                  <c:v>1.2934393335784442</c:v>
                </c:pt>
                <c:pt idx="876">
                  <c:v>1.091373470233612</c:v>
                </c:pt>
                <c:pt idx="877">
                  <c:v>1.2303906780865101</c:v>
                </c:pt>
                <c:pt idx="878">
                  <c:v>1.1926658808085673</c:v>
                </c:pt>
                <c:pt idx="879">
                  <c:v>1.1520517668540036</c:v>
                </c:pt>
                <c:pt idx="880">
                  <c:v>1.252816296230908</c:v>
                </c:pt>
                <c:pt idx="881">
                  <c:v>1.1554154504310556</c:v>
                </c:pt>
                <c:pt idx="882">
                  <c:v>1.5336984614344058</c:v>
                </c:pt>
                <c:pt idx="883">
                  <c:v>0.99102874242821393</c:v>
                </c:pt>
                <c:pt idx="884">
                  <c:v>1.2139424294294856</c:v>
                </c:pt>
                <c:pt idx="885">
                  <c:v>1.2565108809141676</c:v>
                </c:pt>
                <c:pt idx="886">
                  <c:v>1.1832372100089081</c:v>
                </c:pt>
                <c:pt idx="887">
                  <c:v>1.1022782990271676</c:v>
                </c:pt>
                <c:pt idx="888">
                  <c:v>1.1040143884975637</c:v>
                </c:pt>
                <c:pt idx="889">
                  <c:v>1.1503753338524929</c:v>
                </c:pt>
                <c:pt idx="890">
                  <c:v>1.099059610797134</c:v>
                </c:pt>
                <c:pt idx="891">
                  <c:v>1.21514019235143</c:v>
                </c:pt>
                <c:pt idx="892">
                  <c:v>1.2916101364937844</c:v>
                </c:pt>
                <c:pt idx="893">
                  <c:v>1.2928911403567331</c:v>
                </c:pt>
                <c:pt idx="894">
                  <c:v>1.0794418633205849</c:v>
                </c:pt>
                <c:pt idx="895">
                  <c:v>1.0556734735807674</c:v>
                </c:pt>
                <c:pt idx="896">
                  <c:v>1.1294838180778923</c:v>
                </c:pt>
                <c:pt idx="897">
                  <c:v>1.0678314317227573</c:v>
                </c:pt>
                <c:pt idx="898">
                  <c:v>1.3707291705847513</c:v>
                </c:pt>
                <c:pt idx="899">
                  <c:v>1.2307545563666618</c:v>
                </c:pt>
                <c:pt idx="900">
                  <c:v>1.0955263481572897</c:v>
                </c:pt>
                <c:pt idx="901">
                  <c:v>1.068675853293545</c:v>
                </c:pt>
                <c:pt idx="902">
                  <c:v>1.2185294021959605</c:v>
                </c:pt>
                <c:pt idx="903">
                  <c:v>1.1390889256460088</c:v>
                </c:pt>
                <c:pt idx="904">
                  <c:v>1.2227891639596686</c:v>
                </c:pt>
                <c:pt idx="905">
                  <c:v>1.2924667579928037</c:v>
                </c:pt>
                <c:pt idx="906">
                  <c:v>1.1827894910073202</c:v>
                </c:pt>
                <c:pt idx="907">
                  <c:v>1.0137287282783338</c:v>
                </c:pt>
                <c:pt idx="908">
                  <c:v>1.2386924794576428</c:v>
                </c:pt>
                <c:pt idx="909">
                  <c:v>1.1375411760419458</c:v>
                </c:pt>
                <c:pt idx="910">
                  <c:v>1.3447671765683158</c:v>
                </c:pt>
                <c:pt idx="911">
                  <c:v>1.0311770076234739</c:v>
                </c:pt>
                <c:pt idx="912">
                  <c:v>0.96277278437365921</c:v>
                </c:pt>
                <c:pt idx="913">
                  <c:v>1.059151119956359</c:v>
                </c:pt>
                <c:pt idx="914">
                  <c:v>1.3591939445659893</c:v>
                </c:pt>
                <c:pt idx="915">
                  <c:v>1.0984029386132546</c:v>
                </c:pt>
                <c:pt idx="916">
                  <c:v>1.0788759015078664</c:v>
                </c:pt>
                <c:pt idx="917">
                  <c:v>1.0313821240467793</c:v>
                </c:pt>
                <c:pt idx="918">
                  <c:v>1.177203453805767</c:v>
                </c:pt>
                <c:pt idx="919">
                  <c:v>1.0681429377714693</c:v>
                </c:pt>
                <c:pt idx="920">
                  <c:v>1.3329920778167961</c:v>
                </c:pt>
                <c:pt idx="921">
                  <c:v>1.51417743819828</c:v>
                </c:pt>
                <c:pt idx="922">
                  <c:v>0.99004485650076701</c:v>
                </c:pt>
                <c:pt idx="923">
                  <c:v>0.87555456575033686</c:v>
                </c:pt>
                <c:pt idx="924">
                  <c:v>1.0892837841327987</c:v>
                </c:pt>
                <c:pt idx="925">
                  <c:v>0.90358524313626076</c:v>
                </c:pt>
                <c:pt idx="926">
                  <c:v>1.3736626090943784</c:v>
                </c:pt>
                <c:pt idx="927">
                  <c:v>1.1385462881738826</c:v>
                </c:pt>
                <c:pt idx="928">
                  <c:v>1.2683625916109684</c:v>
                </c:pt>
                <c:pt idx="929">
                  <c:v>1.4221427224169005</c:v>
                </c:pt>
                <c:pt idx="930">
                  <c:v>0.97512393777613782</c:v>
                </c:pt>
                <c:pt idx="931">
                  <c:v>1.2366847127101872</c:v>
                </c:pt>
                <c:pt idx="932">
                  <c:v>1.2787028207720554</c:v>
                </c:pt>
                <c:pt idx="933">
                  <c:v>1.1493296075177557</c:v>
                </c:pt>
                <c:pt idx="934">
                  <c:v>1.4383152425978991</c:v>
                </c:pt>
                <c:pt idx="935">
                  <c:v>1.2314572400971362</c:v>
                </c:pt>
                <c:pt idx="936">
                  <c:v>1.2072376122633177</c:v>
                </c:pt>
                <c:pt idx="937">
                  <c:v>1.3247525386749024</c:v>
                </c:pt>
                <c:pt idx="938">
                  <c:v>1.1465076354833543</c:v>
                </c:pt>
                <c:pt idx="939">
                  <c:v>1.1775427783619714</c:v>
                </c:pt>
                <c:pt idx="940">
                  <c:v>1.1690641430297202</c:v>
                </c:pt>
                <c:pt idx="941">
                  <c:v>1.1848379441765879</c:v>
                </c:pt>
                <c:pt idx="942">
                  <c:v>1.2398058417734219</c:v>
                </c:pt>
                <c:pt idx="943">
                  <c:v>1.0076297297082504</c:v>
                </c:pt>
                <c:pt idx="944">
                  <c:v>1.1639893382552742</c:v>
                </c:pt>
                <c:pt idx="945">
                  <c:v>0.9141588240391203</c:v>
                </c:pt>
                <c:pt idx="946">
                  <c:v>1.2364635882562005</c:v>
                </c:pt>
                <c:pt idx="947">
                  <c:v>1.2131077221047906</c:v>
                </c:pt>
                <c:pt idx="948">
                  <c:v>1.0215711986755323</c:v>
                </c:pt>
                <c:pt idx="949">
                  <c:v>1.2036102412890268</c:v>
                </c:pt>
                <c:pt idx="950">
                  <c:v>1.2650128654046127</c:v>
                </c:pt>
                <c:pt idx="951">
                  <c:v>1.3265447097449696</c:v>
                </c:pt>
                <c:pt idx="952">
                  <c:v>1.0598194704204025</c:v>
                </c:pt>
                <c:pt idx="953">
                  <c:v>1.4844544901622139</c:v>
                </c:pt>
                <c:pt idx="954">
                  <c:v>1.2275065467694595</c:v>
                </c:pt>
                <c:pt idx="955">
                  <c:v>1.2738692558459068</c:v>
                </c:pt>
                <c:pt idx="956">
                  <c:v>1.1690906506791938</c:v>
                </c:pt>
                <c:pt idx="957">
                  <c:v>1.2651361318310654</c:v>
                </c:pt>
                <c:pt idx="958">
                  <c:v>1.1608797703477469</c:v>
                </c:pt>
                <c:pt idx="959">
                  <c:v>1.1125896177949943</c:v>
                </c:pt>
                <c:pt idx="960">
                  <c:v>1.4290804659165068</c:v>
                </c:pt>
                <c:pt idx="961">
                  <c:v>1.0891361557992409</c:v>
                </c:pt>
                <c:pt idx="962">
                  <c:v>1.28407927238732</c:v>
                </c:pt>
                <c:pt idx="963">
                  <c:v>1.3378636929895555</c:v>
                </c:pt>
                <c:pt idx="964">
                  <c:v>1.5039557676392328</c:v>
                </c:pt>
                <c:pt idx="965">
                  <c:v>1.1082623503813687</c:v>
                </c:pt>
                <c:pt idx="966">
                  <c:v>1.1856985539611715</c:v>
                </c:pt>
                <c:pt idx="967">
                  <c:v>1.3261688767679163</c:v>
                </c:pt>
                <c:pt idx="968">
                  <c:v>1.0287494453884438</c:v>
                </c:pt>
                <c:pt idx="969">
                  <c:v>1.3787357947153227</c:v>
                </c:pt>
                <c:pt idx="970">
                  <c:v>1.2652779924384485</c:v>
                </c:pt>
                <c:pt idx="971">
                  <c:v>1.2121913718547841</c:v>
                </c:pt>
                <c:pt idx="972">
                  <c:v>1.2277408907758982</c:v>
                </c:pt>
                <c:pt idx="973">
                  <c:v>1.3931474418087548</c:v>
                </c:pt>
                <c:pt idx="974">
                  <c:v>1.2408276153515081</c:v>
                </c:pt>
                <c:pt idx="975">
                  <c:v>1.3363826883416714</c:v>
                </c:pt>
                <c:pt idx="976">
                  <c:v>1.1792632575949851</c:v>
                </c:pt>
                <c:pt idx="977">
                  <c:v>0.99995132842737067</c:v>
                </c:pt>
                <c:pt idx="978">
                  <c:v>1.5198830851039684</c:v>
                </c:pt>
                <c:pt idx="979">
                  <c:v>1.2277859929376898</c:v>
                </c:pt>
                <c:pt idx="980">
                  <c:v>1.2900234422000865</c:v>
                </c:pt>
                <c:pt idx="981">
                  <c:v>1.233419935022164</c:v>
                </c:pt>
                <c:pt idx="982">
                  <c:v>1.0741606837229927</c:v>
                </c:pt>
                <c:pt idx="983">
                  <c:v>1.2009325175381924</c:v>
                </c:pt>
                <c:pt idx="984">
                  <c:v>1.4410596204765309</c:v>
                </c:pt>
                <c:pt idx="985">
                  <c:v>1.1306574412508488</c:v>
                </c:pt>
                <c:pt idx="986">
                  <c:v>1.2667298034897012</c:v>
                </c:pt>
                <c:pt idx="987">
                  <c:v>1.2454810218457537</c:v>
                </c:pt>
                <c:pt idx="988">
                  <c:v>1.0088630099341787</c:v>
                </c:pt>
                <c:pt idx="989">
                  <c:v>1.1454613590305358</c:v>
                </c:pt>
                <c:pt idx="990">
                  <c:v>0.84209985048892144</c:v>
                </c:pt>
                <c:pt idx="991">
                  <c:v>1.3967510139994537</c:v>
                </c:pt>
                <c:pt idx="992">
                  <c:v>1.0423748427751935</c:v>
                </c:pt>
                <c:pt idx="993">
                  <c:v>1.4214782093760765</c:v>
                </c:pt>
                <c:pt idx="994">
                  <c:v>1.1248225853385605</c:v>
                </c:pt>
                <c:pt idx="995">
                  <c:v>1.2387556779206661</c:v>
                </c:pt>
                <c:pt idx="996">
                  <c:v>1.2354653853764617</c:v>
                </c:pt>
                <c:pt idx="997">
                  <c:v>1.0533296089580275</c:v>
                </c:pt>
                <c:pt idx="998">
                  <c:v>1.291952205344284</c:v>
                </c:pt>
                <c:pt idx="999">
                  <c:v>1.1405713210206587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0F-4888-ADE8-1A68FBF85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4571184"/>
        <c:axId val="1234568784"/>
      </c:lineChart>
      <c:catAx>
        <c:axId val="1093323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93317680"/>
        <c:crosses val="autoZero"/>
        <c:auto val="1"/>
        <c:lblAlgn val="ctr"/>
        <c:lblOffset val="100"/>
        <c:noMultiLvlLbl val="0"/>
      </c:catAx>
      <c:valAx>
        <c:axId val="1093317680"/>
        <c:scaling>
          <c:orientation val="minMax"/>
          <c:max val="4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323920"/>
        <c:crosses val="autoZero"/>
        <c:crossBetween val="between"/>
      </c:valAx>
      <c:valAx>
        <c:axId val="1234568784"/>
        <c:scaling>
          <c:orientation val="minMax"/>
          <c:max val="2.9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571184"/>
        <c:crosses val="max"/>
        <c:crossBetween val="between"/>
      </c:valAx>
      <c:catAx>
        <c:axId val="1234571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234568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-1</xdr:rowOff>
    </xdr:from>
    <xdr:to>
      <xdr:col>15</xdr:col>
      <xdr:colOff>493059</xdr:colOff>
      <xdr:row>23</xdr:row>
      <xdr:rowOff>22410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A57A51-2C41-45C9-9356-9D035E1DE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1369553</xdr:colOff>
      <xdr:row>6</xdr:row>
      <xdr:rowOff>8283</xdr:rowOff>
    </xdr:from>
    <xdr:to>
      <xdr:col>13</xdr:col>
      <xdr:colOff>248479</xdr:colOff>
      <xdr:row>7</xdr:row>
      <xdr:rowOff>99775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5334B23-32B2-47E2-8A20-6CF9CEF3C385}"/>
            </a:ext>
          </a:extLst>
        </xdr:cNvPr>
        <xdr:cNvSpPr txBox="1"/>
      </xdr:nvSpPr>
      <xdr:spPr>
        <a:xfrm>
          <a:off x="8086749" y="1101587"/>
          <a:ext cx="2688926" cy="2737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PROBABILITY DISTRIBUTION OF NET PROFIT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2AB48E-8467-4AEF-9D25-CDAC900C1129}" name="Table1" displayName="Table1" ref="B3:G9" totalsRowShown="0" headerRowDxfId="7" dataDxfId="6">
  <autoFilter ref="B3:G9" xr:uid="{9B2AB48E-8467-4AEF-9D25-CDAC900C1129}"/>
  <tableColumns count="6">
    <tableColumn id="1" xr3:uid="{AB81AF07-14B1-4C7D-B754-364F0A08D681}" name="Scenario Name" dataDxfId="5"/>
    <tableColumn id="2" xr3:uid="{7E6128C9-28CD-4C4F-9B82-E18EA4453F50}" name="FX Volatility" dataDxfId="4"/>
    <tableColumn id="3" xr3:uid="{55575643-07D7-4E80-A423-CF0FB89E1C36}" name="FX Spot" dataDxfId="3"/>
    <tableColumn id="4" xr3:uid="{8EB4CF59-184A-40CA-A519-6770DA73A1CB}" name="Hedge Ratio" dataDxfId="2"/>
    <tableColumn id="5" xr3:uid="{513564CA-68B2-4DF4-A62A-651EE155CAA2}" name="Hedged Rate" dataDxfId="1"/>
    <tableColumn id="6" xr3:uid="{D4D09EF0-E9EE-4E42-AF85-0F69A619C84D}" name="Freight Multiplier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6D0E9-54F7-4457-BEF7-51944D24E2AD}">
  <sheetPr codeName="Sheet2"/>
  <dimension ref="A1:Q1004"/>
  <sheetViews>
    <sheetView tabSelected="1" zoomScale="92" workbookViewId="0">
      <pane ySplit="1" topLeftCell="A4" activePane="bottomLeft" state="frozen"/>
      <selection pane="bottomLeft" activeCell="Q23" sqref="Q23"/>
    </sheetView>
  </sheetViews>
  <sheetFormatPr defaultRowHeight="14.4" x14ac:dyDescent="0.3"/>
  <cols>
    <col min="1" max="1" width="18.33203125" style="1" customWidth="1"/>
    <col min="2" max="2" width="17.77734375" style="1" bestFit="1" customWidth="1"/>
    <col min="3" max="3" width="6.77734375" style="1" bestFit="1" customWidth="1"/>
    <col min="4" max="4" width="8.88671875" style="1"/>
    <col min="5" max="5" width="5.6640625" style="1" bestFit="1" customWidth="1"/>
    <col min="6" max="8" width="13.6640625" style="1" bestFit="1" customWidth="1"/>
    <col min="9" max="9" width="8.88671875" style="1"/>
    <col min="10" max="10" width="25.109375" style="1" bestFit="1" customWidth="1"/>
    <col min="11" max="11" width="12.5546875" style="1" bestFit="1" customWidth="1"/>
    <col min="12" max="16384" width="8.88671875" style="1"/>
  </cols>
  <sheetData>
    <row r="1" spans="1:17" s="12" customFormat="1" ht="27.6" customHeight="1" x14ac:dyDescent="0.55000000000000004">
      <c r="A1" s="9" t="s">
        <v>21</v>
      </c>
      <c r="B1" s="10"/>
      <c r="C1" s="10"/>
      <c r="D1" s="10"/>
      <c r="E1" s="10"/>
      <c r="F1" s="10"/>
      <c r="G1" s="10"/>
      <c r="H1" s="11"/>
      <c r="I1" s="10"/>
      <c r="J1" s="10"/>
      <c r="K1" s="10"/>
      <c r="L1" s="10"/>
      <c r="M1" s="10"/>
      <c r="N1" s="10"/>
      <c r="O1" s="10"/>
      <c r="P1" s="10"/>
      <c r="Q1" s="10"/>
    </row>
    <row r="3" spans="1:17" x14ac:dyDescent="0.3">
      <c r="A3" s="4" t="s">
        <v>24</v>
      </c>
      <c r="B3" s="13" t="s">
        <v>14</v>
      </c>
      <c r="C3" s="13"/>
    </row>
    <row r="4" spans="1:17" x14ac:dyDescent="0.3">
      <c r="E4" s="8" t="s">
        <v>6</v>
      </c>
      <c r="F4" s="8" t="s">
        <v>7</v>
      </c>
      <c r="G4" s="8" t="s">
        <v>8</v>
      </c>
      <c r="H4" s="8" t="s">
        <v>9</v>
      </c>
    </row>
    <row r="5" spans="1:17" x14ac:dyDescent="0.3">
      <c r="B5" s="14" t="s">
        <v>0</v>
      </c>
      <c r="C5" s="15"/>
      <c r="E5" s="1">
        <f>ROW()-4</f>
        <v>1</v>
      </c>
      <c r="F5" s="1">
        <f t="shared" ref="F5:F68" ca="1" si="0">_xlfn.NORM.INV(RAND(), $C$9, $C$9 * $C$10)</f>
        <v>1.3184410574493517</v>
      </c>
      <c r="G5" s="1">
        <f t="shared" ref="G5:G68" ca="1" si="1">$C$7 - ($C$6 + $C$8 * $C$11) - (($C$6 + $C$8 * $C$11) * (1 - $C$12) * (F5 - $C$13))</f>
        <v>1426.1966459271594</v>
      </c>
      <c r="H5" s="1">
        <f t="shared" ref="H5:H68" ca="1" si="2">G5 / $C$7</f>
        <v>0.13630857745648087</v>
      </c>
      <c r="J5" s="6" t="s">
        <v>22</v>
      </c>
      <c r="K5" s="7">
        <f ca="1">_xlfn.PERCENTILE.INC(G5:G1004, 0.05)</f>
        <v>1206.6944590598757</v>
      </c>
    </row>
    <row r="6" spans="1:17" x14ac:dyDescent="0.3">
      <c r="B6" s="2" t="s">
        <v>1</v>
      </c>
      <c r="C6" s="2">
        <v>7272</v>
      </c>
      <c r="E6" s="1">
        <f t="shared" ref="E6:E69" si="3">ROW()-4</f>
        <v>2</v>
      </c>
      <c r="F6" s="1">
        <f t="shared" ca="1" si="0"/>
        <v>1.0782990195840727</v>
      </c>
      <c r="G6" s="1">
        <f t="shared" ca="1" si="1"/>
        <v>1950.5768033607292</v>
      </c>
      <c r="H6" s="1">
        <f t="shared" ca="1" si="2"/>
        <v>0.18642614960916842</v>
      </c>
    </row>
    <row r="7" spans="1:17" x14ac:dyDescent="0.3">
      <c r="B7" s="2" t="s">
        <v>2</v>
      </c>
      <c r="C7" s="2">
        <v>10463</v>
      </c>
      <c r="E7" s="1">
        <f t="shared" si="3"/>
        <v>3</v>
      </c>
      <c r="F7" s="1">
        <f t="shared" ca="1" si="0"/>
        <v>1.1038222832944775</v>
      </c>
      <c r="G7" s="1">
        <f t="shared" ca="1" si="1"/>
        <v>1894.8435666410965</v>
      </c>
      <c r="H7" s="1">
        <f t="shared" ca="1" si="2"/>
        <v>0.18109945203489405</v>
      </c>
    </row>
    <row r="8" spans="1:17" x14ac:dyDescent="0.3">
      <c r="B8" s="2" t="s">
        <v>3</v>
      </c>
      <c r="C8" s="2">
        <v>650</v>
      </c>
      <c r="E8" s="1">
        <f t="shared" si="3"/>
        <v>4</v>
      </c>
      <c r="F8" s="1">
        <f t="shared" ca="1" si="0"/>
        <v>1.1905192228915469</v>
      </c>
      <c r="G8" s="1">
        <f t="shared" ca="1" si="1"/>
        <v>1705.5299619134457</v>
      </c>
      <c r="H8" s="1">
        <f t="shared" ca="1" si="2"/>
        <v>0.1630058264277402</v>
      </c>
    </row>
    <row r="9" spans="1:17" x14ac:dyDescent="0.3">
      <c r="B9" s="2" t="s">
        <v>26</v>
      </c>
      <c r="C9" s="2">
        <f>_xlfn.XLOOKUP(Model!$B$3,Table1[Scenario Name],Table1[FX Spot],"N/A",0)</f>
        <v>1.18</v>
      </c>
      <c r="E9" s="1">
        <f t="shared" si="3"/>
        <v>5</v>
      </c>
      <c r="F9" s="1">
        <f t="shared" ca="1" si="0"/>
        <v>1.2260443951088149</v>
      </c>
      <c r="G9" s="1">
        <f t="shared" ca="1" si="1"/>
        <v>1627.9563077305138</v>
      </c>
      <c r="H9" s="1">
        <f t="shared" ca="1" si="2"/>
        <v>0.15559173351147029</v>
      </c>
    </row>
    <row r="10" spans="1:17" x14ac:dyDescent="0.3">
      <c r="B10" s="2" t="s">
        <v>5</v>
      </c>
      <c r="C10" s="2">
        <f>_xlfn.XLOOKUP(Model!$B$3,Table1[Scenario Name],Table1[FX Volatility],"N/A",0)</f>
        <v>0.12</v>
      </c>
      <c r="E10" s="1">
        <f t="shared" si="3"/>
        <v>6</v>
      </c>
      <c r="F10" s="1">
        <f t="shared" ca="1" si="0"/>
        <v>1.1523743826913031</v>
      </c>
      <c r="G10" s="1">
        <f t="shared" ca="1" si="1"/>
        <v>1788.8239885957032</v>
      </c>
      <c r="H10" s="1">
        <f t="shared" ca="1" si="2"/>
        <v>0.17096664327589634</v>
      </c>
    </row>
    <row r="11" spans="1:17" x14ac:dyDescent="0.3">
      <c r="B11" s="2" t="s">
        <v>23</v>
      </c>
      <c r="C11" s="2">
        <f>_xlfn.XLOOKUP(Model!$B$3,Table1[Scenario Name],Table1[Freight Multiplier],"N/A",0)</f>
        <v>2.25</v>
      </c>
      <c r="E11" s="1">
        <f t="shared" si="3"/>
        <v>7</v>
      </c>
      <c r="F11" s="1">
        <f t="shared" ca="1" si="0"/>
        <v>1.0555271593860025</v>
      </c>
      <c r="G11" s="1">
        <f t="shared" ca="1" si="1"/>
        <v>2000.3020065857402</v>
      </c>
      <c r="H11" s="1">
        <f t="shared" ca="1" si="2"/>
        <v>0.19117863008561026</v>
      </c>
    </row>
    <row r="12" spans="1:17" x14ac:dyDescent="0.3">
      <c r="B12" s="2" t="s">
        <v>20</v>
      </c>
      <c r="C12" s="2">
        <f>_xlfn.XLOOKUP(Model!$B$3,Table1[Scenario Name],Table1[Hedge Ratio],"N/A",0)</f>
        <v>0.75</v>
      </c>
      <c r="E12" s="1">
        <f t="shared" si="3"/>
        <v>8</v>
      </c>
      <c r="F12" s="1">
        <f t="shared" ca="1" si="0"/>
        <v>1.0017203914611632</v>
      </c>
      <c r="G12" s="1">
        <f t="shared" ca="1" si="1"/>
        <v>2117.7958101956174</v>
      </c>
      <c r="H12" s="1">
        <f t="shared" ca="1" si="2"/>
        <v>0.20240808660954004</v>
      </c>
    </row>
    <row r="13" spans="1:17" x14ac:dyDescent="0.3">
      <c r="B13" s="2" t="s">
        <v>25</v>
      </c>
      <c r="C13" s="2">
        <f>_xlfn.XLOOKUP(Model!$B$3,Table1[Scenario Name],Table1[Hedged Rate],"N/A",0)</f>
        <v>1.18</v>
      </c>
      <c r="E13" s="1">
        <f t="shared" si="3"/>
        <v>9</v>
      </c>
      <c r="F13" s="1">
        <f t="shared" ca="1" si="0"/>
        <v>0.98080101886823579</v>
      </c>
      <c r="G13" s="1">
        <f t="shared" ca="1" si="1"/>
        <v>2163.4758751738486</v>
      </c>
      <c r="H13" s="1">
        <f t="shared" ca="1" si="2"/>
        <v>0.20677395347164759</v>
      </c>
    </row>
    <row r="14" spans="1:17" x14ac:dyDescent="0.3">
      <c r="E14" s="1">
        <f t="shared" si="3"/>
        <v>10</v>
      </c>
      <c r="F14" s="1">
        <f t="shared" ca="1" si="0"/>
        <v>1.4565647119514378</v>
      </c>
      <c r="G14" s="1">
        <f t="shared" ca="1" si="1"/>
        <v>1124.5863808650415</v>
      </c>
      <c r="H14" s="1">
        <f t="shared" ca="1" si="2"/>
        <v>0.10748221168546702</v>
      </c>
    </row>
    <row r="15" spans="1:17" x14ac:dyDescent="0.3">
      <c r="E15" s="1">
        <f t="shared" si="3"/>
        <v>11</v>
      </c>
      <c r="F15" s="1">
        <f t="shared" ca="1" si="0"/>
        <v>1.0409036437143258</v>
      </c>
      <c r="G15" s="1">
        <f t="shared" ca="1" si="1"/>
        <v>2032.2342809943052</v>
      </c>
      <c r="H15" s="1">
        <f t="shared" ca="1" si="2"/>
        <v>0.19423055347360271</v>
      </c>
    </row>
    <row r="16" spans="1:17" x14ac:dyDescent="0.3">
      <c r="E16" s="1">
        <f t="shared" si="3"/>
        <v>12</v>
      </c>
      <c r="F16" s="1">
        <f t="shared" ca="1" si="0"/>
        <v>1.0854238253796773</v>
      </c>
      <c r="G16" s="1">
        <f t="shared" ca="1" si="1"/>
        <v>1935.0188993053021</v>
      </c>
      <c r="H16" s="1">
        <f t="shared" ca="1" si="2"/>
        <v>0.18493920475057843</v>
      </c>
    </row>
    <row r="17" spans="5:8" x14ac:dyDescent="0.3">
      <c r="E17" s="1">
        <f t="shared" si="3"/>
        <v>13</v>
      </c>
      <c r="F17" s="1">
        <f t="shared" ca="1" si="0"/>
        <v>1.0180911543797189</v>
      </c>
      <c r="G17" s="1">
        <f t="shared" ca="1" si="1"/>
        <v>2082.0482030175863</v>
      </c>
      <c r="H17" s="1">
        <f t="shared" ca="1" si="2"/>
        <v>0.1989915132388021</v>
      </c>
    </row>
    <row r="18" spans="5:8" x14ac:dyDescent="0.3">
      <c r="E18" s="1">
        <f t="shared" si="3"/>
        <v>14</v>
      </c>
      <c r="F18" s="1">
        <f t="shared" ca="1" si="0"/>
        <v>1.0899384616388665</v>
      </c>
      <c r="G18" s="1">
        <f t="shared" ca="1" si="1"/>
        <v>1925.1606267038298</v>
      </c>
      <c r="H18" s="1">
        <f t="shared" ca="1" si="2"/>
        <v>0.18399700150089171</v>
      </c>
    </row>
    <row r="19" spans="5:8" x14ac:dyDescent="0.3">
      <c r="E19" s="1">
        <f t="shared" si="3"/>
        <v>15</v>
      </c>
      <c r="F19" s="1">
        <f t="shared" ca="1" si="0"/>
        <v>1.4004265595988681</v>
      </c>
      <c r="G19" s="1">
        <f t="shared" ca="1" si="1"/>
        <v>1247.1710537959216</v>
      </c>
      <c r="H19" s="1">
        <f t="shared" ca="1" si="2"/>
        <v>0.11919822744871658</v>
      </c>
    </row>
    <row r="20" spans="5:8" x14ac:dyDescent="0.3">
      <c r="E20" s="1">
        <f t="shared" si="3"/>
        <v>16</v>
      </c>
      <c r="F20" s="1">
        <f t="shared" ca="1" si="0"/>
        <v>1.4056077567556755</v>
      </c>
      <c r="G20" s="1">
        <f t="shared" ca="1" si="1"/>
        <v>1235.8572621543879</v>
      </c>
      <c r="H20" s="1">
        <f t="shared" ca="1" si="2"/>
        <v>0.11811691313718703</v>
      </c>
    </row>
    <row r="21" spans="5:8" x14ac:dyDescent="0.3">
      <c r="E21" s="1">
        <f t="shared" si="3"/>
        <v>17</v>
      </c>
      <c r="F21" s="1">
        <f t="shared" ca="1" si="0"/>
        <v>1.3265476411801651</v>
      </c>
      <c r="G21" s="1">
        <f t="shared" ca="1" si="1"/>
        <v>1408.4949070279617</v>
      </c>
      <c r="H21" s="1">
        <f t="shared" ca="1" si="2"/>
        <v>0.13461673583369604</v>
      </c>
    </row>
    <row r="22" spans="5:8" x14ac:dyDescent="0.3">
      <c r="E22" s="1">
        <f t="shared" si="3"/>
        <v>18</v>
      </c>
      <c r="F22" s="1">
        <f t="shared" ca="1" si="0"/>
        <v>1.2761537014633229</v>
      </c>
      <c r="G22" s="1">
        <f t="shared" ca="1" si="1"/>
        <v>1518.5363736421514</v>
      </c>
      <c r="H22" s="1">
        <f t="shared" ca="1" si="2"/>
        <v>0.14513393612177686</v>
      </c>
    </row>
    <row r="23" spans="5:8" x14ac:dyDescent="0.3">
      <c r="E23" s="1">
        <f t="shared" si="3"/>
        <v>19</v>
      </c>
      <c r="F23" s="1">
        <f t="shared" ca="1" si="0"/>
        <v>0.78250329880447245</v>
      </c>
      <c r="G23" s="1">
        <f t="shared" ca="1" si="1"/>
        <v>2596.4837341480838</v>
      </c>
      <c r="H23" s="1">
        <f t="shared" ca="1" si="2"/>
        <v>0.24815862889688273</v>
      </c>
    </row>
    <row r="24" spans="5:8" x14ac:dyDescent="0.3">
      <c r="E24" s="1">
        <f t="shared" si="3"/>
        <v>20</v>
      </c>
      <c r="F24" s="1">
        <f t="shared" ca="1" si="0"/>
        <v>1.0037297800147194</v>
      </c>
      <c r="G24" s="1">
        <f t="shared" ca="1" si="1"/>
        <v>2113.4080591153584</v>
      </c>
      <c r="H24" s="1">
        <f t="shared" ca="1" si="2"/>
        <v>0.20198872781375879</v>
      </c>
    </row>
    <row r="25" spans="5:8" x14ac:dyDescent="0.3">
      <c r="E25" s="1">
        <f t="shared" si="3"/>
        <v>21</v>
      </c>
      <c r="F25" s="1">
        <f t="shared" ca="1" si="0"/>
        <v>1.2306770888397933</v>
      </c>
      <c r="G25" s="1">
        <f t="shared" ca="1" si="1"/>
        <v>1617.8402418822061</v>
      </c>
      <c r="H25" s="1">
        <f t="shared" ca="1" si="2"/>
        <v>0.15462489170239951</v>
      </c>
    </row>
    <row r="26" spans="5:8" x14ac:dyDescent="0.3">
      <c r="E26" s="1">
        <f t="shared" si="3"/>
        <v>22</v>
      </c>
      <c r="F26" s="1">
        <f t="shared" ca="1" si="0"/>
        <v>1.1188929181007827</v>
      </c>
      <c r="G26" s="1">
        <f t="shared" ca="1" si="1"/>
        <v>1861.9349517121782</v>
      </c>
      <c r="H26" s="1">
        <f t="shared" ca="1" si="2"/>
        <v>0.17795421501597802</v>
      </c>
    </row>
    <row r="27" spans="5:8" x14ac:dyDescent="0.3">
      <c r="E27" s="1">
        <f t="shared" si="3"/>
        <v>23</v>
      </c>
      <c r="F27" s="1">
        <f t="shared" ca="1" si="0"/>
        <v>1.1220755491909769</v>
      </c>
      <c r="G27" s="1">
        <f t="shared" ca="1" si="1"/>
        <v>1854.985278897853</v>
      </c>
      <c r="H27" s="1">
        <f t="shared" ca="1" si="2"/>
        <v>0.17729000085041127</v>
      </c>
    </row>
    <row r="28" spans="5:8" x14ac:dyDescent="0.3">
      <c r="E28" s="1">
        <f t="shared" si="3"/>
        <v>24</v>
      </c>
      <c r="F28" s="1">
        <f t="shared" ca="1" si="0"/>
        <v>1.1523452102320837</v>
      </c>
      <c r="G28" s="1">
        <f t="shared" ca="1" si="1"/>
        <v>1788.8876903069661</v>
      </c>
      <c r="H28" s="1">
        <f t="shared" ca="1" si="2"/>
        <v>0.17097273155949214</v>
      </c>
    </row>
    <row r="29" spans="5:8" x14ac:dyDescent="0.3">
      <c r="E29" s="1">
        <f t="shared" si="3"/>
        <v>25</v>
      </c>
      <c r="F29" s="1">
        <f t="shared" ca="1" si="0"/>
        <v>1.2311550187845803</v>
      </c>
      <c r="G29" s="1">
        <f t="shared" ca="1" si="1"/>
        <v>1616.7966221065205</v>
      </c>
      <c r="H29" s="1">
        <f t="shared" ca="1" si="2"/>
        <v>0.15452514786452456</v>
      </c>
    </row>
    <row r="30" spans="5:8" x14ac:dyDescent="0.3">
      <c r="E30" s="1">
        <f t="shared" si="3"/>
        <v>26</v>
      </c>
      <c r="F30" s="1">
        <f t="shared" ca="1" si="0"/>
        <v>0.99666600365572688</v>
      </c>
      <c r="G30" s="1">
        <f t="shared" ca="1" si="1"/>
        <v>2128.8326977672632</v>
      </c>
      <c r="H30" s="1">
        <f t="shared" ca="1" si="2"/>
        <v>0.20346293584700978</v>
      </c>
    </row>
    <row r="31" spans="5:8" x14ac:dyDescent="0.3">
      <c r="E31" s="1">
        <f t="shared" si="3"/>
        <v>27</v>
      </c>
      <c r="F31" s="1">
        <f t="shared" ca="1" si="0"/>
        <v>1.1399378017189239</v>
      </c>
      <c r="G31" s="1">
        <f t="shared" ca="1" si="1"/>
        <v>1815.9808177215148</v>
      </c>
      <c r="H31" s="1">
        <f t="shared" ca="1" si="2"/>
        <v>0.17356215404009506</v>
      </c>
    </row>
    <row r="32" spans="5:8" x14ac:dyDescent="0.3">
      <c r="E32" s="1">
        <f t="shared" si="3"/>
        <v>28</v>
      </c>
      <c r="F32" s="1">
        <f t="shared" ca="1" si="0"/>
        <v>1.117509055370705</v>
      </c>
      <c r="G32" s="1">
        <f t="shared" ca="1" si="1"/>
        <v>1864.9567889661441</v>
      </c>
      <c r="H32" s="1">
        <f t="shared" ca="1" si="2"/>
        <v>0.17824302675773146</v>
      </c>
    </row>
    <row r="33" spans="5:8" x14ac:dyDescent="0.3">
      <c r="E33" s="1">
        <f t="shared" si="3"/>
        <v>29</v>
      </c>
      <c r="F33" s="1">
        <f t="shared" ca="1" si="0"/>
        <v>1.1268674505262872</v>
      </c>
      <c r="G33" s="1">
        <f t="shared" ca="1" si="1"/>
        <v>1844.5215633445359</v>
      </c>
      <c r="H33" s="1">
        <f t="shared" ca="1" si="2"/>
        <v>0.17628993246148675</v>
      </c>
    </row>
    <row r="34" spans="5:8" x14ac:dyDescent="0.3">
      <c r="E34" s="1">
        <f t="shared" si="3"/>
        <v>30</v>
      </c>
      <c r="F34" s="1">
        <f t="shared" ca="1" si="0"/>
        <v>1.2566400461829785</v>
      </c>
      <c r="G34" s="1">
        <f t="shared" ca="1" si="1"/>
        <v>1561.1468791536934</v>
      </c>
      <c r="H34" s="1">
        <f t="shared" ca="1" si="2"/>
        <v>0.14920643019723726</v>
      </c>
    </row>
    <row r="35" spans="5:8" x14ac:dyDescent="0.3">
      <c r="E35" s="1">
        <f t="shared" si="3"/>
        <v>31</v>
      </c>
      <c r="F35" s="1">
        <f t="shared" ca="1" si="0"/>
        <v>1.1664650979726776</v>
      </c>
      <c r="G35" s="1">
        <f t="shared" ca="1" si="1"/>
        <v>1758.0551504394118</v>
      </c>
      <c r="H35" s="1">
        <f t="shared" ca="1" si="2"/>
        <v>0.1680259151715007</v>
      </c>
    </row>
    <row r="36" spans="5:8" x14ac:dyDescent="0.3">
      <c r="E36" s="1">
        <f t="shared" si="3"/>
        <v>32</v>
      </c>
      <c r="F36" s="1">
        <f t="shared" ca="1" si="0"/>
        <v>1.3514055183367171</v>
      </c>
      <c r="G36" s="1">
        <f t="shared" ca="1" si="1"/>
        <v>1354.214625021986</v>
      </c>
      <c r="H36" s="1">
        <f t="shared" ca="1" si="2"/>
        <v>0.12942890423606862</v>
      </c>
    </row>
    <row r="37" spans="5:8" x14ac:dyDescent="0.3">
      <c r="E37" s="1">
        <f t="shared" si="3"/>
        <v>33</v>
      </c>
      <c r="F37" s="1">
        <f t="shared" ca="1" si="0"/>
        <v>0.98608683440934164</v>
      </c>
      <c r="G37" s="1">
        <f t="shared" ca="1" si="1"/>
        <v>2151.9336362129011</v>
      </c>
      <c r="H37" s="1">
        <f t="shared" ca="1" si="2"/>
        <v>0.20567080533431148</v>
      </c>
    </row>
    <row r="38" spans="5:8" x14ac:dyDescent="0.3">
      <c r="E38" s="1">
        <f t="shared" si="3"/>
        <v>34</v>
      </c>
      <c r="F38" s="1">
        <f t="shared" ca="1" si="0"/>
        <v>1.2883233914338315</v>
      </c>
      <c r="G38" s="1">
        <f t="shared" ca="1" si="1"/>
        <v>1491.9623343802996</v>
      </c>
      <c r="H38" s="1">
        <f t="shared" ca="1" si="2"/>
        <v>0.14259412543059349</v>
      </c>
    </row>
    <row r="39" spans="5:8" x14ac:dyDescent="0.3">
      <c r="E39" s="1">
        <f t="shared" si="3"/>
        <v>35</v>
      </c>
      <c r="F39" s="1">
        <f t="shared" ca="1" si="0"/>
        <v>1.1941453669343636</v>
      </c>
      <c r="G39" s="1">
        <f t="shared" ca="1" si="1"/>
        <v>1697.6118231279502</v>
      </c>
      <c r="H39" s="1">
        <f t="shared" ca="1" si="2"/>
        <v>0.16224905124036607</v>
      </c>
    </row>
    <row r="40" spans="5:8" x14ac:dyDescent="0.3">
      <c r="E40" s="1">
        <f t="shared" si="3"/>
        <v>36</v>
      </c>
      <c r="F40" s="1">
        <f t="shared" ca="1" si="0"/>
        <v>1.1482390824376167</v>
      </c>
      <c r="G40" s="1">
        <f t="shared" ca="1" si="1"/>
        <v>1797.8539336121589</v>
      </c>
      <c r="H40" s="1">
        <f t="shared" ca="1" si="2"/>
        <v>0.17182967921362505</v>
      </c>
    </row>
    <row r="41" spans="5:8" x14ac:dyDescent="0.3">
      <c r="E41" s="1">
        <f t="shared" si="3"/>
        <v>37</v>
      </c>
      <c r="F41" s="1">
        <f t="shared" ca="1" si="0"/>
        <v>1.0852872296296523</v>
      </c>
      <c r="G41" s="1">
        <f t="shared" ca="1" si="1"/>
        <v>1935.3171731999503</v>
      </c>
      <c r="H41" s="1">
        <f t="shared" ca="1" si="2"/>
        <v>0.18496771224313774</v>
      </c>
    </row>
    <row r="42" spans="5:8" x14ac:dyDescent="0.3">
      <c r="E42" s="1">
        <f t="shared" si="3"/>
        <v>38</v>
      </c>
      <c r="F42" s="1">
        <f t="shared" ca="1" si="0"/>
        <v>0.99118192225726942</v>
      </c>
      <c r="G42" s="1">
        <f t="shared" ca="1" si="1"/>
        <v>2140.8078750109698</v>
      </c>
      <c r="H42" s="1">
        <f t="shared" ca="1" si="2"/>
        <v>0.20460746201003249</v>
      </c>
    </row>
    <row r="43" spans="5:8" x14ac:dyDescent="0.3">
      <c r="E43" s="1">
        <f t="shared" si="3"/>
        <v>39</v>
      </c>
      <c r="F43" s="1">
        <f t="shared" ca="1" si="0"/>
        <v>1.3754378466751682</v>
      </c>
      <c r="G43" s="1">
        <f t="shared" ca="1" si="1"/>
        <v>1301.7370320539358</v>
      </c>
      <c r="H43" s="1">
        <f t="shared" ca="1" si="2"/>
        <v>0.12441336443218348</v>
      </c>
    </row>
    <row r="44" spans="5:8" x14ac:dyDescent="0.3">
      <c r="E44" s="1">
        <f t="shared" si="3"/>
        <v>40</v>
      </c>
      <c r="F44" s="1">
        <f t="shared" ca="1" si="0"/>
        <v>1.2392641260308546</v>
      </c>
      <c r="G44" s="1">
        <f t="shared" ca="1" si="1"/>
        <v>1599.0893727958751</v>
      </c>
      <c r="H44" s="1">
        <f t="shared" ca="1" si="2"/>
        <v>0.15283277958481076</v>
      </c>
    </row>
    <row r="45" spans="5:8" x14ac:dyDescent="0.3">
      <c r="E45" s="1">
        <f t="shared" si="3"/>
        <v>41</v>
      </c>
      <c r="F45" s="1">
        <f t="shared" ca="1" si="0"/>
        <v>1.3319336486742057</v>
      </c>
      <c r="G45" s="1">
        <f t="shared" ca="1" si="1"/>
        <v>1396.7338864137873</v>
      </c>
      <c r="H45" s="1">
        <f t="shared" ca="1" si="2"/>
        <v>0.13349267766546757</v>
      </c>
    </row>
    <row r="46" spans="5:8" x14ac:dyDescent="0.3">
      <c r="E46" s="1">
        <f t="shared" si="3"/>
        <v>42</v>
      </c>
      <c r="F46" s="1">
        <f t="shared" ca="1" si="0"/>
        <v>1.4906858763960014</v>
      </c>
      <c r="G46" s="1">
        <f t="shared" ca="1" si="1"/>
        <v>1050.0785531547813</v>
      </c>
      <c r="H46" s="1">
        <f t="shared" ca="1" si="2"/>
        <v>0.10036113477537813</v>
      </c>
    </row>
    <row r="47" spans="5:8" x14ac:dyDescent="0.3">
      <c r="E47" s="1">
        <f t="shared" si="3"/>
        <v>43</v>
      </c>
      <c r="F47" s="1">
        <f t="shared" ca="1" si="0"/>
        <v>1.3040871724355227</v>
      </c>
      <c r="G47" s="1">
        <f t="shared" ca="1" si="1"/>
        <v>1457.5401480904816</v>
      </c>
      <c r="H47" s="1">
        <f t="shared" ca="1" si="2"/>
        <v>0.13930422900606723</v>
      </c>
    </row>
    <row r="48" spans="5:8" x14ac:dyDescent="0.3">
      <c r="E48" s="1">
        <f t="shared" si="3"/>
        <v>44</v>
      </c>
      <c r="F48" s="1">
        <f t="shared" ca="1" si="0"/>
        <v>1.1695079044908312</v>
      </c>
      <c r="G48" s="1">
        <f t="shared" ca="1" si="1"/>
        <v>1751.4108020562087</v>
      </c>
      <c r="H48" s="1">
        <f t="shared" ca="1" si="2"/>
        <v>0.16739088235269126</v>
      </c>
    </row>
    <row r="49" spans="5:8" x14ac:dyDescent="0.3">
      <c r="E49" s="1">
        <f t="shared" si="3"/>
        <v>45</v>
      </c>
      <c r="F49" s="1">
        <f t="shared" ca="1" si="0"/>
        <v>1.0414816028860487</v>
      </c>
      <c r="G49" s="1">
        <f t="shared" ca="1" si="1"/>
        <v>2030.9722348979517</v>
      </c>
      <c r="H49" s="1">
        <f t="shared" ca="1" si="2"/>
        <v>0.19410993356570311</v>
      </c>
    </row>
    <row r="50" spans="5:8" x14ac:dyDescent="0.3">
      <c r="E50" s="1">
        <f t="shared" si="3"/>
        <v>46</v>
      </c>
      <c r="F50" s="1">
        <f t="shared" ca="1" si="0"/>
        <v>1.2761701304319444</v>
      </c>
      <c r="G50" s="1">
        <f t="shared" ca="1" si="1"/>
        <v>1518.5004989355452</v>
      </c>
      <c r="H50" s="1">
        <f t="shared" ca="1" si="2"/>
        <v>0.14513050740089317</v>
      </c>
    </row>
    <row r="51" spans="5:8" x14ac:dyDescent="0.3">
      <c r="E51" s="1">
        <f t="shared" si="3"/>
        <v>47</v>
      </c>
      <c r="F51" s="1">
        <f t="shared" ca="1" si="0"/>
        <v>1.3963943131519732</v>
      </c>
      <c r="G51" s="1">
        <f t="shared" ca="1" si="1"/>
        <v>1255.9759679435224</v>
      </c>
      <c r="H51" s="1">
        <f t="shared" ca="1" si="2"/>
        <v>0.12003975608750095</v>
      </c>
    </row>
    <row r="52" spans="5:8" x14ac:dyDescent="0.3">
      <c r="E52" s="1">
        <f t="shared" si="3"/>
        <v>48</v>
      </c>
      <c r="F52" s="1">
        <f t="shared" ca="1" si="0"/>
        <v>1.1565375525078019</v>
      </c>
      <c r="G52" s="1">
        <f t="shared" ca="1" si="1"/>
        <v>1779.7331869051509</v>
      </c>
      <c r="H52" s="1">
        <f t="shared" ca="1" si="2"/>
        <v>0.17009779096866587</v>
      </c>
    </row>
    <row r="53" spans="5:8" x14ac:dyDescent="0.3">
      <c r="E53" s="1">
        <f t="shared" si="3"/>
        <v>49</v>
      </c>
      <c r="F53" s="1">
        <f t="shared" ca="1" si="0"/>
        <v>1.0991067014580533</v>
      </c>
      <c r="G53" s="1">
        <f t="shared" ca="1" si="1"/>
        <v>1905.1406290286582</v>
      </c>
      <c r="H53" s="1">
        <f t="shared" ca="1" si="2"/>
        <v>0.18208359256701312</v>
      </c>
    </row>
    <row r="54" spans="5:8" x14ac:dyDescent="0.3">
      <c r="E54" s="1">
        <f t="shared" si="3"/>
        <v>50</v>
      </c>
      <c r="F54" s="1">
        <f t="shared" ca="1" si="0"/>
        <v>1.1870423917725546</v>
      </c>
      <c r="G54" s="1">
        <f t="shared" ca="1" si="1"/>
        <v>1713.1220572656555</v>
      </c>
      <c r="H54" s="1">
        <f t="shared" ca="1" si="2"/>
        <v>0.16373144005215096</v>
      </c>
    </row>
    <row r="55" spans="5:8" x14ac:dyDescent="0.3">
      <c r="E55" s="1">
        <f t="shared" si="3"/>
        <v>51</v>
      </c>
      <c r="F55" s="1">
        <f t="shared" ca="1" si="0"/>
        <v>1.089662041191567</v>
      </c>
      <c r="G55" s="1">
        <f t="shared" ca="1" si="1"/>
        <v>1925.7642253030644</v>
      </c>
      <c r="H55" s="1">
        <f t="shared" ca="1" si="2"/>
        <v>0.1840546903663447</v>
      </c>
    </row>
    <row r="56" spans="5:8" x14ac:dyDescent="0.3">
      <c r="E56" s="1">
        <f t="shared" si="3"/>
        <v>52</v>
      </c>
      <c r="F56" s="1">
        <f t="shared" ca="1" si="0"/>
        <v>1.0986374240259238</v>
      </c>
      <c r="G56" s="1">
        <f t="shared" ca="1" si="1"/>
        <v>1906.165354961392</v>
      </c>
      <c r="H56" s="1">
        <f t="shared" ca="1" si="2"/>
        <v>0.18218153062806003</v>
      </c>
    </row>
    <row r="57" spans="5:8" x14ac:dyDescent="0.3">
      <c r="E57" s="1">
        <f t="shared" si="3"/>
        <v>53</v>
      </c>
      <c r="F57" s="1">
        <f t="shared" ca="1" si="0"/>
        <v>1.4677301879499391</v>
      </c>
      <c r="G57" s="1">
        <f t="shared" ca="1" si="1"/>
        <v>1100.205168337814</v>
      </c>
      <c r="H57" s="1">
        <f t="shared" ca="1" si="2"/>
        <v>0.10515198015271089</v>
      </c>
    </row>
    <row r="58" spans="5:8" x14ac:dyDescent="0.3">
      <c r="E58" s="1">
        <f t="shared" si="3"/>
        <v>54</v>
      </c>
      <c r="F58" s="1">
        <f t="shared" ca="1" si="0"/>
        <v>1.1313370928623876</v>
      </c>
      <c r="G58" s="1">
        <f t="shared" ca="1" si="1"/>
        <v>1834.7615405983688</v>
      </c>
      <c r="H58" s="1">
        <f t="shared" ca="1" si="2"/>
        <v>0.17535711943021778</v>
      </c>
    </row>
    <row r="59" spans="5:8" x14ac:dyDescent="0.3">
      <c r="E59" s="1">
        <f t="shared" si="3"/>
        <v>55</v>
      </c>
      <c r="F59" s="1">
        <f t="shared" ca="1" si="0"/>
        <v>1.2236169190215944</v>
      </c>
      <c r="G59" s="1">
        <f t="shared" ca="1" si="1"/>
        <v>1633.2570052014707</v>
      </c>
      <c r="H59" s="1">
        <f t="shared" ca="1" si="2"/>
        <v>0.15609834705165543</v>
      </c>
    </row>
    <row r="60" spans="5:8" x14ac:dyDescent="0.3">
      <c r="E60" s="1">
        <f t="shared" si="3"/>
        <v>56</v>
      </c>
      <c r="F60" s="1">
        <f t="shared" ca="1" si="0"/>
        <v>1.2421068811720473</v>
      </c>
      <c r="G60" s="1">
        <f t="shared" ca="1" si="1"/>
        <v>1592.8818616006881</v>
      </c>
      <c r="H60" s="1">
        <f t="shared" ca="1" si="2"/>
        <v>0.15223949742910142</v>
      </c>
    </row>
    <row r="61" spans="5:8" x14ac:dyDescent="0.3">
      <c r="E61" s="1">
        <f t="shared" si="3"/>
        <v>57</v>
      </c>
      <c r="F61" s="1">
        <f t="shared" ca="1" si="0"/>
        <v>1.2252777572886286</v>
      </c>
      <c r="G61" s="1">
        <f t="shared" ca="1" si="1"/>
        <v>1629.6303572406182</v>
      </c>
      <c r="H61" s="1">
        <f t="shared" ca="1" si="2"/>
        <v>0.1557517305974021</v>
      </c>
    </row>
    <row r="62" spans="5:8" x14ac:dyDescent="0.3">
      <c r="E62" s="1">
        <f t="shared" si="3"/>
        <v>58</v>
      </c>
      <c r="F62" s="1">
        <f t="shared" ca="1" si="0"/>
        <v>1.1516024739979447</v>
      </c>
      <c r="G62" s="1">
        <f t="shared" ca="1" si="1"/>
        <v>1790.5095477162379</v>
      </c>
      <c r="H62" s="1">
        <f t="shared" ca="1" si="2"/>
        <v>0.17112774039149745</v>
      </c>
    </row>
    <row r="63" spans="5:8" x14ac:dyDescent="0.3">
      <c r="E63" s="1">
        <f t="shared" si="3"/>
        <v>59</v>
      </c>
      <c r="F63" s="1">
        <f t="shared" ca="1" si="0"/>
        <v>1.210669498373244</v>
      </c>
      <c r="G63" s="1">
        <f t="shared" ca="1" si="1"/>
        <v>1661.5293166147248</v>
      </c>
      <c r="H63" s="1">
        <f t="shared" ca="1" si="2"/>
        <v>0.1588004699048767</v>
      </c>
    </row>
    <row r="64" spans="5:8" x14ac:dyDescent="0.3">
      <c r="E64" s="1">
        <f t="shared" si="3"/>
        <v>60</v>
      </c>
      <c r="F64" s="1">
        <f t="shared" ca="1" si="0"/>
        <v>1.3922801919721677</v>
      </c>
      <c r="G64" s="1">
        <f t="shared" ca="1" si="1"/>
        <v>1264.9596658047753</v>
      </c>
      <c r="H64" s="1">
        <f t="shared" ca="1" si="2"/>
        <v>0.12089837195878575</v>
      </c>
    </row>
    <row r="65" spans="5:8" x14ac:dyDescent="0.3">
      <c r="E65" s="1">
        <f t="shared" si="3"/>
        <v>61</v>
      </c>
      <c r="F65" s="1">
        <f t="shared" ca="1" si="0"/>
        <v>1.1262886902777547</v>
      </c>
      <c r="G65" s="1">
        <f t="shared" ca="1" si="1"/>
        <v>1845.7853586922379</v>
      </c>
      <c r="H65" s="1">
        <f t="shared" ca="1" si="2"/>
        <v>0.17641071955387919</v>
      </c>
    </row>
    <row r="66" spans="5:8" x14ac:dyDescent="0.3">
      <c r="E66" s="1">
        <f t="shared" si="3"/>
        <v>62</v>
      </c>
      <c r="F66" s="1">
        <f t="shared" ca="1" si="0"/>
        <v>0.96834590645819008</v>
      </c>
      <c r="G66" s="1">
        <f t="shared" ca="1" si="1"/>
        <v>2190.6731700102346</v>
      </c>
      <c r="H66" s="1">
        <f t="shared" ca="1" si="2"/>
        <v>0.20937333174139677</v>
      </c>
    </row>
    <row r="67" spans="5:8" x14ac:dyDescent="0.3">
      <c r="E67" s="1">
        <f t="shared" si="3"/>
        <v>63</v>
      </c>
      <c r="F67" s="1">
        <f t="shared" ca="1" si="0"/>
        <v>1.0147413523546964</v>
      </c>
      <c r="G67" s="1">
        <f t="shared" ca="1" si="1"/>
        <v>2089.362914464476</v>
      </c>
      <c r="H67" s="1">
        <f t="shared" ca="1" si="2"/>
        <v>0.19969061592893778</v>
      </c>
    </row>
    <row r="68" spans="5:8" x14ac:dyDescent="0.3">
      <c r="E68" s="1">
        <f t="shared" si="3"/>
        <v>64</v>
      </c>
      <c r="F68" s="1">
        <f t="shared" ca="1" si="0"/>
        <v>1.5153099529404304</v>
      </c>
      <c r="G68" s="1">
        <f t="shared" ca="1" si="1"/>
        <v>996.3088040104526</v>
      </c>
      <c r="H68" s="1">
        <f t="shared" ca="1" si="2"/>
        <v>9.5222097296229824E-2</v>
      </c>
    </row>
    <row r="69" spans="5:8" x14ac:dyDescent="0.3">
      <c r="E69" s="1">
        <f t="shared" si="3"/>
        <v>65</v>
      </c>
      <c r="F69" s="1">
        <f t="shared" ref="F69:F132" ca="1" si="4">_xlfn.NORM.INV(RAND(), $C$9, $C$9 * $C$10)</f>
        <v>1.3452042087633873</v>
      </c>
      <c r="G69" s="1">
        <f t="shared" ref="G69:G132" ca="1" si="5">$C$7 - ($C$6 + $C$8 * $C$11) - (($C$6 + $C$8 * $C$11) * (1 - $C$12) * (F69 - $C$13))</f>
        <v>1367.7559596390483</v>
      </c>
      <c r="H69" s="1">
        <f t="shared" ref="H69:H132" ca="1" si="6">G69 / $C$7</f>
        <v>0.13072311570668529</v>
      </c>
    </row>
    <row r="70" spans="5:8" x14ac:dyDescent="0.3">
      <c r="E70" s="1">
        <f t="shared" ref="E70:E133" si="7">ROW()-4</f>
        <v>66</v>
      </c>
      <c r="F70" s="1">
        <f t="shared" ca="1" si="4"/>
        <v>1.1293389123049455</v>
      </c>
      <c r="G70" s="1">
        <f t="shared" ca="1" si="5"/>
        <v>1839.1248176181132</v>
      </c>
      <c r="H70" s="1">
        <f t="shared" ca="1" si="6"/>
        <v>0.17577413912053075</v>
      </c>
    </row>
    <row r="71" spans="5:8" x14ac:dyDescent="0.3">
      <c r="E71" s="1">
        <f t="shared" si="7"/>
        <v>67</v>
      </c>
      <c r="F71" s="1">
        <f t="shared" ca="1" si="4"/>
        <v>1.1774973074500992</v>
      </c>
      <c r="G71" s="1">
        <f t="shared" ca="1" si="5"/>
        <v>1733.964942019277</v>
      </c>
      <c r="H71" s="1">
        <f t="shared" ca="1" si="6"/>
        <v>0.1657234963222094</v>
      </c>
    </row>
    <row r="72" spans="5:8" x14ac:dyDescent="0.3">
      <c r="E72" s="1">
        <f t="shared" si="7"/>
        <v>68</v>
      </c>
      <c r="F72" s="1">
        <f t="shared" ca="1" si="4"/>
        <v>1.1250100084109249</v>
      </c>
      <c r="G72" s="1">
        <f t="shared" ca="1" si="5"/>
        <v>1848.577520383694</v>
      </c>
      <c r="H72" s="1">
        <f t="shared" ca="1" si="6"/>
        <v>0.17667758008063597</v>
      </c>
    </row>
    <row r="73" spans="5:8" x14ac:dyDescent="0.3">
      <c r="E73" s="1">
        <f t="shared" si="7"/>
        <v>69</v>
      </c>
      <c r="F73" s="1">
        <f t="shared" ca="1" si="4"/>
        <v>1.419130737507833</v>
      </c>
      <c r="G73" s="1">
        <f t="shared" ca="1" si="5"/>
        <v>1206.328143309458</v>
      </c>
      <c r="H73" s="1">
        <f t="shared" ca="1" si="6"/>
        <v>0.1152946710608294</v>
      </c>
    </row>
    <row r="74" spans="5:8" x14ac:dyDescent="0.3">
      <c r="E74" s="1">
        <f t="shared" si="7"/>
        <v>70</v>
      </c>
      <c r="F74" s="1">
        <f t="shared" ca="1" si="4"/>
        <v>1.0037730208494784</v>
      </c>
      <c r="G74" s="1">
        <f t="shared" ca="1" si="5"/>
        <v>2113.3136373475577</v>
      </c>
      <c r="H74" s="1">
        <f t="shared" ca="1" si="6"/>
        <v>0.20197970346435609</v>
      </c>
    </row>
    <row r="75" spans="5:8" x14ac:dyDescent="0.3">
      <c r="E75" s="1">
        <f t="shared" si="7"/>
        <v>71</v>
      </c>
      <c r="F75" s="1">
        <f t="shared" ca="1" si="4"/>
        <v>0.95527503473832331</v>
      </c>
      <c r="G75" s="1">
        <f t="shared" ca="1" si="5"/>
        <v>2219.2150522695288</v>
      </c>
      <c r="H75" s="1">
        <f t="shared" ca="1" si="6"/>
        <v>0.21210121879666718</v>
      </c>
    </row>
    <row r="76" spans="5:8" x14ac:dyDescent="0.3">
      <c r="E76" s="1">
        <f t="shared" si="7"/>
        <v>72</v>
      </c>
      <c r="F76" s="1">
        <f t="shared" ca="1" si="4"/>
        <v>1.182954006839958</v>
      </c>
      <c r="G76" s="1">
        <f t="shared" ca="1" si="5"/>
        <v>1722.0495568140966</v>
      </c>
      <c r="H76" s="1">
        <f t="shared" ca="1" si="6"/>
        <v>0.16458468477626842</v>
      </c>
    </row>
    <row r="77" spans="5:8" x14ac:dyDescent="0.3">
      <c r="E77" s="1">
        <f t="shared" si="7"/>
        <v>73</v>
      </c>
      <c r="F77" s="1">
        <f t="shared" ca="1" si="4"/>
        <v>1.1343819774608495</v>
      </c>
      <c r="G77" s="1">
        <f t="shared" ca="1" si="5"/>
        <v>1828.1126544670524</v>
      </c>
      <c r="H77" s="1">
        <f t="shared" ca="1" si="6"/>
        <v>0.17472165291666369</v>
      </c>
    </row>
    <row r="78" spans="5:8" x14ac:dyDescent="0.3">
      <c r="E78" s="1">
        <f t="shared" si="7"/>
        <v>74</v>
      </c>
      <c r="F78" s="1">
        <f t="shared" ca="1" si="4"/>
        <v>0.85947494459849838</v>
      </c>
      <c r="G78" s="1">
        <f t="shared" ca="1" si="5"/>
        <v>2428.406524101104</v>
      </c>
      <c r="H78" s="1">
        <f t="shared" ca="1" si="6"/>
        <v>0.23209466922499322</v>
      </c>
    </row>
    <row r="79" spans="5:8" x14ac:dyDescent="0.3">
      <c r="E79" s="1">
        <f t="shared" si="7"/>
        <v>75</v>
      </c>
      <c r="F79" s="1">
        <f t="shared" ca="1" si="4"/>
        <v>1.0520534568887854</v>
      </c>
      <c r="G79" s="1">
        <f t="shared" ca="1" si="5"/>
        <v>2007.8872702012259</v>
      </c>
      <c r="H79" s="1">
        <f t="shared" ca="1" si="6"/>
        <v>0.19190359076758348</v>
      </c>
    </row>
    <row r="80" spans="5:8" x14ac:dyDescent="0.3">
      <c r="E80" s="1">
        <f t="shared" si="7"/>
        <v>76</v>
      </c>
      <c r="F80" s="1">
        <f t="shared" ca="1" si="4"/>
        <v>1.0882849950070765</v>
      </c>
      <c r="G80" s="1">
        <f t="shared" ca="1" si="5"/>
        <v>1928.7711777776724</v>
      </c>
      <c r="H80" s="1">
        <f t="shared" ca="1" si="6"/>
        <v>0.18434207949705367</v>
      </c>
    </row>
    <row r="81" spans="5:8" x14ac:dyDescent="0.3">
      <c r="E81" s="1">
        <f t="shared" si="7"/>
        <v>77</v>
      </c>
      <c r="F81" s="1">
        <f t="shared" ca="1" si="4"/>
        <v>1.2315147486573268</v>
      </c>
      <c r="G81" s="1">
        <f t="shared" ca="1" si="5"/>
        <v>1616.0111069631446</v>
      </c>
      <c r="H81" s="1">
        <f t="shared" ca="1" si="6"/>
        <v>0.15445007234666391</v>
      </c>
    </row>
    <row r="82" spans="5:8" x14ac:dyDescent="0.3">
      <c r="E82" s="1">
        <f t="shared" si="7"/>
        <v>78</v>
      </c>
      <c r="F82" s="1">
        <f t="shared" ca="1" si="4"/>
        <v>1.2804043097461344</v>
      </c>
      <c r="G82" s="1">
        <f t="shared" ca="1" si="5"/>
        <v>1509.2546391305971</v>
      </c>
      <c r="H82" s="1">
        <f t="shared" ca="1" si="6"/>
        <v>0.14424683543253342</v>
      </c>
    </row>
    <row r="83" spans="5:8" x14ac:dyDescent="0.3">
      <c r="E83" s="1">
        <f t="shared" si="7"/>
        <v>79</v>
      </c>
      <c r="F83" s="1">
        <f t="shared" ca="1" si="4"/>
        <v>1.0446059473002238</v>
      </c>
      <c r="G83" s="1">
        <f t="shared" ca="1" si="5"/>
        <v>2024.1498383265487</v>
      </c>
      <c r="H83" s="1">
        <f t="shared" ca="1" si="6"/>
        <v>0.19345788381215223</v>
      </c>
    </row>
    <row r="84" spans="5:8" x14ac:dyDescent="0.3">
      <c r="E84" s="1">
        <f t="shared" si="7"/>
        <v>80</v>
      </c>
      <c r="F84" s="1">
        <f t="shared" ca="1" si="4"/>
        <v>1.2352613914623432</v>
      </c>
      <c r="G84" s="1">
        <f t="shared" ca="1" si="5"/>
        <v>1607.8298440680408</v>
      </c>
      <c r="H84" s="1">
        <f t="shared" ca="1" si="6"/>
        <v>0.15366814910332036</v>
      </c>
    </row>
    <row r="85" spans="5:8" x14ac:dyDescent="0.3">
      <c r="E85" s="1">
        <f t="shared" si="7"/>
        <v>81</v>
      </c>
      <c r="F85" s="1">
        <f t="shared" ca="1" si="4"/>
        <v>1.1743649609542053</v>
      </c>
      <c r="G85" s="1">
        <f t="shared" ca="1" si="5"/>
        <v>1740.8048121363734</v>
      </c>
      <c r="H85" s="1">
        <f t="shared" ca="1" si="6"/>
        <v>0.16637721610784414</v>
      </c>
    </row>
    <row r="86" spans="5:8" x14ac:dyDescent="0.3">
      <c r="E86" s="1">
        <f t="shared" si="7"/>
        <v>82</v>
      </c>
      <c r="F86" s="1">
        <f t="shared" ca="1" si="4"/>
        <v>1.0232309231368548</v>
      </c>
      <c r="G86" s="1">
        <f t="shared" ca="1" si="5"/>
        <v>2070.824875465285</v>
      </c>
      <c r="H86" s="1">
        <f t="shared" ca="1" si="6"/>
        <v>0.19791884502200946</v>
      </c>
    </row>
    <row r="87" spans="5:8" x14ac:dyDescent="0.3">
      <c r="E87" s="1">
        <f t="shared" si="7"/>
        <v>83</v>
      </c>
      <c r="F87" s="1">
        <f t="shared" ca="1" si="4"/>
        <v>1.157126426371589</v>
      </c>
      <c r="G87" s="1">
        <f t="shared" ca="1" si="5"/>
        <v>1778.4473072143387</v>
      </c>
      <c r="H87" s="1">
        <f t="shared" ca="1" si="6"/>
        <v>0.16997489316776629</v>
      </c>
    </row>
    <row r="88" spans="5:8" x14ac:dyDescent="0.3">
      <c r="E88" s="1">
        <f t="shared" si="7"/>
        <v>84</v>
      </c>
      <c r="F88" s="1">
        <f t="shared" ca="1" si="4"/>
        <v>1.0355022792887403</v>
      </c>
      <c r="G88" s="1">
        <f t="shared" ca="1" si="5"/>
        <v>2044.0288353881244</v>
      </c>
      <c r="H88" s="1">
        <f t="shared" ca="1" si="6"/>
        <v>0.19535781662889462</v>
      </c>
    </row>
    <row r="89" spans="5:8" x14ac:dyDescent="0.3">
      <c r="E89" s="1">
        <f t="shared" si="7"/>
        <v>85</v>
      </c>
      <c r="F89" s="1">
        <f t="shared" ca="1" si="4"/>
        <v>1.0287541986239583</v>
      </c>
      <c r="G89" s="1">
        <f t="shared" ca="1" si="5"/>
        <v>2058.7641130297588</v>
      </c>
      <c r="H89" s="1">
        <f t="shared" ca="1" si="6"/>
        <v>0.19676613906429885</v>
      </c>
    </row>
    <row r="90" spans="5:8" x14ac:dyDescent="0.3">
      <c r="E90" s="1">
        <f t="shared" si="7"/>
        <v>86</v>
      </c>
      <c r="F90" s="1">
        <f t="shared" ca="1" si="4"/>
        <v>1.1424527008885528</v>
      </c>
      <c r="G90" s="1">
        <f t="shared" ca="1" si="5"/>
        <v>1810.4892210222338</v>
      </c>
      <c r="H90" s="1">
        <f t="shared" ca="1" si="6"/>
        <v>0.17303729532851322</v>
      </c>
    </row>
    <row r="91" spans="5:8" x14ac:dyDescent="0.3">
      <c r="E91" s="1">
        <f t="shared" si="7"/>
        <v>87</v>
      </c>
      <c r="F91" s="1">
        <f t="shared" ca="1" si="4"/>
        <v>0.9716578107045063</v>
      </c>
      <c r="G91" s="1">
        <f t="shared" ca="1" si="5"/>
        <v>2183.4412131003724</v>
      </c>
      <c r="H91" s="1">
        <f t="shared" ca="1" si="6"/>
        <v>0.20868213830644866</v>
      </c>
    </row>
    <row r="92" spans="5:8" x14ac:dyDescent="0.3">
      <c r="E92" s="1">
        <f t="shared" si="7"/>
        <v>88</v>
      </c>
      <c r="F92" s="1">
        <f t="shared" ca="1" si="4"/>
        <v>1.2177257038434193</v>
      </c>
      <c r="G92" s="1">
        <f t="shared" ca="1" si="5"/>
        <v>1646.1212099449135</v>
      </c>
      <c r="H92" s="1">
        <f t="shared" ca="1" si="6"/>
        <v>0.15732784191387877</v>
      </c>
    </row>
    <row r="93" spans="5:8" x14ac:dyDescent="0.3">
      <c r="E93" s="1">
        <f t="shared" si="7"/>
        <v>89</v>
      </c>
      <c r="F93" s="1">
        <f t="shared" ca="1" si="4"/>
        <v>1.0991925218443277</v>
      </c>
      <c r="G93" s="1">
        <f t="shared" ca="1" si="5"/>
        <v>1904.9532294876799</v>
      </c>
      <c r="H93" s="1">
        <f t="shared" ca="1" si="6"/>
        <v>0.18206568187782471</v>
      </c>
    </row>
    <row r="94" spans="5:8" x14ac:dyDescent="0.3">
      <c r="E94" s="1">
        <f t="shared" si="7"/>
        <v>90</v>
      </c>
      <c r="F94" s="1">
        <f t="shared" ca="1" si="4"/>
        <v>1.0903598341386262</v>
      </c>
      <c r="G94" s="1">
        <f t="shared" ca="1" si="5"/>
        <v>1924.2405071790422</v>
      </c>
      <c r="H94" s="1">
        <f t="shared" ca="1" si="6"/>
        <v>0.183909061185037</v>
      </c>
    </row>
    <row r="95" spans="5:8" x14ac:dyDescent="0.3">
      <c r="E95" s="1">
        <f t="shared" si="7"/>
        <v>91</v>
      </c>
      <c r="F95" s="1">
        <f t="shared" ca="1" si="4"/>
        <v>1.3655312879086992</v>
      </c>
      <c r="G95" s="1">
        <f t="shared" ca="1" si="5"/>
        <v>1323.3692414403667</v>
      </c>
      <c r="H95" s="1">
        <f t="shared" ca="1" si="6"/>
        <v>0.12648086031160918</v>
      </c>
    </row>
    <row r="96" spans="5:8" x14ac:dyDescent="0.3">
      <c r="E96" s="1">
        <f t="shared" si="7"/>
        <v>92</v>
      </c>
      <c r="F96" s="1">
        <f t="shared" ca="1" si="4"/>
        <v>1.3293388007646536</v>
      </c>
      <c r="G96" s="1">
        <f t="shared" ca="1" si="5"/>
        <v>1402.400061180283</v>
      </c>
      <c r="H96" s="1">
        <f t="shared" ca="1" si="6"/>
        <v>0.13403422165538403</v>
      </c>
    </row>
    <row r="97" spans="5:8" x14ac:dyDescent="0.3">
      <c r="E97" s="1">
        <f t="shared" si="7"/>
        <v>93</v>
      </c>
      <c r="F97" s="1">
        <f t="shared" ca="1" si="4"/>
        <v>1.1298088050926687</v>
      </c>
      <c r="G97" s="1">
        <f t="shared" ca="1" si="5"/>
        <v>1838.0987479795212</v>
      </c>
      <c r="H97" s="1">
        <f t="shared" ca="1" si="6"/>
        <v>0.17567607263495377</v>
      </c>
    </row>
    <row r="98" spans="5:8" x14ac:dyDescent="0.3">
      <c r="E98" s="1">
        <f t="shared" si="7"/>
        <v>94</v>
      </c>
      <c r="F98" s="1">
        <f t="shared" ca="1" si="4"/>
        <v>1.1034874183562662</v>
      </c>
      <c r="G98" s="1">
        <f t="shared" ca="1" si="5"/>
        <v>1895.5747860917982</v>
      </c>
      <c r="H98" s="1">
        <f t="shared" ca="1" si="6"/>
        <v>0.18116933824828427</v>
      </c>
    </row>
    <row r="99" spans="5:8" x14ac:dyDescent="0.3">
      <c r="E99" s="1">
        <f t="shared" si="7"/>
        <v>95</v>
      </c>
      <c r="F99" s="1">
        <f t="shared" ca="1" si="4"/>
        <v>1.1861001519687997</v>
      </c>
      <c r="G99" s="1">
        <f t="shared" ca="1" si="5"/>
        <v>1715.1795556571296</v>
      </c>
      <c r="H99" s="1">
        <f t="shared" ca="1" si="6"/>
        <v>0.16392808522002578</v>
      </c>
    </row>
    <row r="100" spans="5:8" x14ac:dyDescent="0.3">
      <c r="E100" s="1">
        <f t="shared" si="7"/>
        <v>96</v>
      </c>
      <c r="F100" s="1">
        <f t="shared" ca="1" si="4"/>
        <v>1.12522068020725</v>
      </c>
      <c r="G100" s="1">
        <f t="shared" ca="1" si="5"/>
        <v>1848.1174921824436</v>
      </c>
      <c r="H100" s="1">
        <f t="shared" ca="1" si="6"/>
        <v>0.17663361293916119</v>
      </c>
    </row>
    <row r="101" spans="5:8" x14ac:dyDescent="0.3">
      <c r="E101" s="1">
        <f t="shared" si="7"/>
        <v>97</v>
      </c>
      <c r="F101" s="1">
        <f t="shared" ca="1" si="4"/>
        <v>0.95929312026895019</v>
      </c>
      <c r="G101" s="1">
        <f t="shared" ca="1" si="5"/>
        <v>2210.4410602527137</v>
      </c>
      <c r="H101" s="1">
        <f t="shared" ca="1" si="6"/>
        <v>0.21126264553691232</v>
      </c>
    </row>
    <row r="102" spans="5:8" x14ac:dyDescent="0.3">
      <c r="E102" s="1">
        <f t="shared" si="7"/>
        <v>98</v>
      </c>
      <c r="F102" s="1">
        <f t="shared" ca="1" si="4"/>
        <v>1.0434574175309697</v>
      </c>
      <c r="G102" s="1">
        <f t="shared" ca="1" si="5"/>
        <v>2026.6577966439363</v>
      </c>
      <c r="H102" s="1">
        <f t="shared" ca="1" si="6"/>
        <v>0.19369758163470671</v>
      </c>
    </row>
    <row r="103" spans="5:8" x14ac:dyDescent="0.3">
      <c r="E103" s="1">
        <f t="shared" si="7"/>
        <v>99</v>
      </c>
      <c r="F103" s="1">
        <f t="shared" ca="1" si="4"/>
        <v>1.2772745904123248</v>
      </c>
      <c r="G103" s="1">
        <f t="shared" ca="1" si="5"/>
        <v>1516.0887725108871</v>
      </c>
      <c r="H103" s="1">
        <f t="shared" ca="1" si="6"/>
        <v>0.14490000693021954</v>
      </c>
    </row>
    <row r="104" spans="5:8" x14ac:dyDescent="0.3">
      <c r="E104" s="1">
        <f t="shared" si="7"/>
        <v>100</v>
      </c>
      <c r="F104" s="1">
        <f t="shared" ca="1" si="4"/>
        <v>1.1188141796513313</v>
      </c>
      <c r="G104" s="1">
        <f t="shared" ca="1" si="5"/>
        <v>1862.1068869588614</v>
      </c>
      <c r="H104" s="1">
        <f t="shared" ca="1" si="6"/>
        <v>0.17797064770704973</v>
      </c>
    </row>
    <row r="105" spans="5:8" x14ac:dyDescent="0.3">
      <c r="E105" s="1">
        <f t="shared" si="7"/>
        <v>101</v>
      </c>
      <c r="F105" s="1">
        <f t="shared" ca="1" si="4"/>
        <v>1.1943348094585116</v>
      </c>
      <c r="G105" s="1">
        <f t="shared" ca="1" si="5"/>
        <v>1697.1981516961575</v>
      </c>
      <c r="H105" s="1">
        <f t="shared" ca="1" si="6"/>
        <v>0.16220951464170483</v>
      </c>
    </row>
    <row r="106" spans="5:8" x14ac:dyDescent="0.3">
      <c r="E106" s="1">
        <f t="shared" si="7"/>
        <v>102</v>
      </c>
      <c r="F106" s="1">
        <f t="shared" ca="1" si="4"/>
        <v>1.0664729315448742</v>
      </c>
      <c r="G106" s="1">
        <f t="shared" ca="1" si="5"/>
        <v>1976.4005448553239</v>
      </c>
      <c r="H106" s="1">
        <f t="shared" ca="1" si="6"/>
        <v>0.18889425067909049</v>
      </c>
    </row>
    <row r="107" spans="5:8" x14ac:dyDescent="0.3">
      <c r="E107" s="1">
        <f t="shared" si="7"/>
        <v>103</v>
      </c>
      <c r="F107" s="1">
        <f t="shared" ca="1" si="4"/>
        <v>1.3674829116564982</v>
      </c>
      <c r="G107" s="1">
        <f t="shared" ca="1" si="5"/>
        <v>1319.1076270340791</v>
      </c>
      <c r="H107" s="1">
        <f t="shared" ca="1" si="6"/>
        <v>0.12607355701367476</v>
      </c>
    </row>
    <row r="108" spans="5:8" x14ac:dyDescent="0.3">
      <c r="E108" s="1">
        <f t="shared" si="7"/>
        <v>104</v>
      </c>
      <c r="F108" s="1">
        <f t="shared" ca="1" si="4"/>
        <v>0.99535970231717152</v>
      </c>
      <c r="G108" s="1">
        <f t="shared" ca="1" si="5"/>
        <v>2131.6851700276661</v>
      </c>
      <c r="H108" s="1">
        <f t="shared" ca="1" si="6"/>
        <v>0.20373556054933251</v>
      </c>
    </row>
    <row r="109" spans="5:8" x14ac:dyDescent="0.3">
      <c r="E109" s="1">
        <f t="shared" si="7"/>
        <v>105</v>
      </c>
      <c r="F109" s="1">
        <f t="shared" ca="1" si="4"/>
        <v>1.2089416818208885</v>
      </c>
      <c r="G109" s="1">
        <f t="shared" ca="1" si="5"/>
        <v>1665.3022200338623</v>
      </c>
      <c r="H109" s="1">
        <f t="shared" ca="1" si="6"/>
        <v>0.15916106470743213</v>
      </c>
    </row>
    <row r="110" spans="5:8" x14ac:dyDescent="0.3">
      <c r="E110" s="1">
        <f t="shared" si="7"/>
        <v>106</v>
      </c>
      <c r="F110" s="1">
        <f t="shared" ca="1" si="4"/>
        <v>1.1878763973656505</v>
      </c>
      <c r="G110" s="1">
        <f t="shared" ca="1" si="5"/>
        <v>1711.3009018024311</v>
      </c>
      <c r="H110" s="1">
        <f t="shared" ca="1" si="6"/>
        <v>0.16355738333197278</v>
      </c>
    </row>
    <row r="111" spans="5:8" x14ac:dyDescent="0.3">
      <c r="E111" s="1">
        <f t="shared" si="7"/>
        <v>107</v>
      </c>
      <c r="F111" s="1">
        <f t="shared" ca="1" si="4"/>
        <v>0.99113645631829062</v>
      </c>
      <c r="G111" s="1">
        <f t="shared" ca="1" si="5"/>
        <v>2140.9071555719725</v>
      </c>
      <c r="H111" s="1">
        <f t="shared" ca="1" si="6"/>
        <v>0.2046169507380266</v>
      </c>
    </row>
    <row r="112" spans="5:8" x14ac:dyDescent="0.3">
      <c r="E112" s="1">
        <f t="shared" si="7"/>
        <v>108</v>
      </c>
      <c r="F112" s="1">
        <f t="shared" ca="1" si="4"/>
        <v>1.1707578422598788</v>
      </c>
      <c r="G112" s="1">
        <f t="shared" ca="1" si="5"/>
        <v>1748.681406695272</v>
      </c>
      <c r="H112" s="1">
        <f t="shared" ca="1" si="6"/>
        <v>0.16713002071062524</v>
      </c>
    </row>
    <row r="113" spans="5:8" x14ac:dyDescent="0.3">
      <c r="E113" s="1">
        <f t="shared" si="7"/>
        <v>109</v>
      </c>
      <c r="F113" s="1">
        <f t="shared" ca="1" si="4"/>
        <v>1.1522591710737249</v>
      </c>
      <c r="G113" s="1">
        <f t="shared" ca="1" si="5"/>
        <v>1789.0755675641374</v>
      </c>
      <c r="H113" s="1">
        <f t="shared" ca="1" si="6"/>
        <v>0.17099068790634975</v>
      </c>
    </row>
    <row r="114" spans="5:8" x14ac:dyDescent="0.3">
      <c r="E114" s="1">
        <f t="shared" si="7"/>
        <v>110</v>
      </c>
      <c r="F114" s="1">
        <f t="shared" ca="1" si="4"/>
        <v>1.1531488311184315</v>
      </c>
      <c r="G114" s="1">
        <f t="shared" ca="1" si="5"/>
        <v>1787.132883649015</v>
      </c>
      <c r="H114" s="1">
        <f t="shared" ca="1" si="6"/>
        <v>0.17080501611860985</v>
      </c>
    </row>
    <row r="115" spans="5:8" x14ac:dyDescent="0.3">
      <c r="E115" s="1">
        <f t="shared" si="7"/>
        <v>111</v>
      </c>
      <c r="F115" s="1">
        <f t="shared" ca="1" si="4"/>
        <v>1.3095510566620623</v>
      </c>
      <c r="G115" s="1">
        <f t="shared" ca="1" si="5"/>
        <v>1445.6090738963042</v>
      </c>
      <c r="H115" s="1">
        <f t="shared" ca="1" si="6"/>
        <v>0.13816391798683975</v>
      </c>
    </row>
    <row r="116" spans="5:8" x14ac:dyDescent="0.3">
      <c r="E116" s="1">
        <f t="shared" si="7"/>
        <v>112</v>
      </c>
      <c r="F116" s="1">
        <f t="shared" ca="1" si="4"/>
        <v>1.353358332979786</v>
      </c>
      <c r="G116" s="1">
        <f t="shared" ca="1" si="5"/>
        <v>1349.9504101470147</v>
      </c>
      <c r="H116" s="1">
        <f t="shared" ca="1" si="6"/>
        <v>0.12902135239864423</v>
      </c>
    </row>
    <row r="117" spans="5:8" x14ac:dyDescent="0.3">
      <c r="E117" s="1">
        <f t="shared" si="7"/>
        <v>113</v>
      </c>
      <c r="F117" s="1">
        <f t="shared" ca="1" si="4"/>
        <v>1.2654514672290362</v>
      </c>
      <c r="G117" s="1">
        <f t="shared" ca="1" si="5"/>
        <v>1541.9060398719957</v>
      </c>
      <c r="H117" s="1">
        <f t="shared" ca="1" si="6"/>
        <v>0.14736748923559168</v>
      </c>
    </row>
    <row r="118" spans="5:8" x14ac:dyDescent="0.3">
      <c r="E118" s="1">
        <f t="shared" si="7"/>
        <v>114</v>
      </c>
      <c r="F118" s="1">
        <f t="shared" ca="1" si="4"/>
        <v>1.0087281333288161</v>
      </c>
      <c r="G118" s="1">
        <f t="shared" ca="1" si="5"/>
        <v>2102.4935298598639</v>
      </c>
      <c r="H118" s="1">
        <f t="shared" ca="1" si="6"/>
        <v>0.20094557295802962</v>
      </c>
    </row>
    <row r="119" spans="5:8" x14ac:dyDescent="0.3">
      <c r="E119" s="1">
        <f t="shared" si="7"/>
        <v>115</v>
      </c>
      <c r="F119" s="1">
        <f t="shared" ca="1" si="4"/>
        <v>1.0348711564599224</v>
      </c>
      <c r="G119" s="1">
        <f t="shared" ca="1" si="5"/>
        <v>2045.4069709752016</v>
      </c>
      <c r="H119" s="1">
        <f t="shared" ca="1" si="6"/>
        <v>0.19548953177627848</v>
      </c>
    </row>
    <row r="120" spans="5:8" x14ac:dyDescent="0.3">
      <c r="E120" s="1">
        <f t="shared" si="7"/>
        <v>116</v>
      </c>
      <c r="F120" s="1">
        <f t="shared" ca="1" si="4"/>
        <v>1.1715160657662416</v>
      </c>
      <c r="G120" s="1">
        <f t="shared" ca="1" si="5"/>
        <v>1747.0257308911907</v>
      </c>
      <c r="H120" s="1">
        <f t="shared" ca="1" si="6"/>
        <v>0.16697177968949545</v>
      </c>
    </row>
    <row r="121" spans="5:8" x14ac:dyDescent="0.3">
      <c r="E121" s="1">
        <f t="shared" si="7"/>
        <v>117</v>
      </c>
      <c r="F121" s="1">
        <f t="shared" ca="1" si="4"/>
        <v>1.2132067628198018</v>
      </c>
      <c r="G121" s="1">
        <f t="shared" ca="1" si="5"/>
        <v>1655.9888825376102</v>
      </c>
      <c r="H121" s="1">
        <f t="shared" ca="1" si="6"/>
        <v>0.15827094356662622</v>
      </c>
    </row>
    <row r="122" spans="5:8" x14ac:dyDescent="0.3">
      <c r="E122" s="1">
        <f t="shared" si="7"/>
        <v>118</v>
      </c>
      <c r="F122" s="1">
        <f t="shared" ca="1" si="4"/>
        <v>1.3160357113811461</v>
      </c>
      <c r="G122" s="1">
        <f t="shared" ca="1" si="5"/>
        <v>1431.4490197353448</v>
      </c>
      <c r="H122" s="1">
        <f t="shared" ca="1" si="6"/>
        <v>0.13681057246825432</v>
      </c>
    </row>
    <row r="123" spans="5:8" x14ac:dyDescent="0.3">
      <c r="E123" s="1">
        <f t="shared" si="7"/>
        <v>119</v>
      </c>
      <c r="F123" s="1">
        <f t="shared" ca="1" si="4"/>
        <v>1.1926180853301447</v>
      </c>
      <c r="G123" s="1">
        <f t="shared" ca="1" si="5"/>
        <v>1700.9468334209628</v>
      </c>
      <c r="H123" s="1">
        <f t="shared" ca="1" si="6"/>
        <v>0.16256779445866029</v>
      </c>
    </row>
    <row r="124" spans="5:8" x14ac:dyDescent="0.3">
      <c r="E124" s="1">
        <f t="shared" si="7"/>
        <v>120</v>
      </c>
      <c r="F124" s="1">
        <f t="shared" ca="1" si="4"/>
        <v>1.1192434552686839</v>
      </c>
      <c r="G124" s="1">
        <f t="shared" ca="1" si="5"/>
        <v>1861.16950998892</v>
      </c>
      <c r="H124" s="1">
        <f t="shared" ca="1" si="6"/>
        <v>0.17788105801289497</v>
      </c>
    </row>
    <row r="125" spans="5:8" x14ac:dyDescent="0.3">
      <c r="E125" s="1">
        <f t="shared" si="7"/>
        <v>121</v>
      </c>
      <c r="F125" s="1">
        <f t="shared" ca="1" si="4"/>
        <v>1.1799902769629251</v>
      </c>
      <c r="G125" s="1">
        <f t="shared" ca="1" si="5"/>
        <v>1728.5212314668324</v>
      </c>
      <c r="H125" s="1">
        <f t="shared" ca="1" si="6"/>
        <v>0.16520321432350496</v>
      </c>
    </row>
    <row r="126" spans="5:8" x14ac:dyDescent="0.3">
      <c r="E126" s="1">
        <f t="shared" si="7"/>
        <v>122</v>
      </c>
      <c r="F126" s="1">
        <f t="shared" ca="1" si="4"/>
        <v>1.3729928800487081</v>
      </c>
      <c r="G126" s="1">
        <f t="shared" ca="1" si="5"/>
        <v>1307.0759223036396</v>
      </c>
      <c r="H126" s="1">
        <f t="shared" ca="1" si="6"/>
        <v>0.12492362824272575</v>
      </c>
    </row>
    <row r="127" spans="5:8" x14ac:dyDescent="0.3">
      <c r="E127" s="1">
        <f t="shared" si="7"/>
        <v>123</v>
      </c>
      <c r="F127" s="1">
        <f t="shared" ca="1" si="4"/>
        <v>1.4476852658533013</v>
      </c>
      <c r="G127" s="1">
        <f t="shared" ca="1" si="5"/>
        <v>1143.9757613510849</v>
      </c>
      <c r="H127" s="1">
        <f t="shared" ca="1" si="6"/>
        <v>0.10933534945532686</v>
      </c>
    </row>
    <row r="128" spans="5:8" x14ac:dyDescent="0.3">
      <c r="E128" s="1">
        <f t="shared" si="7"/>
        <v>124</v>
      </c>
      <c r="F128" s="1">
        <f t="shared" ca="1" si="4"/>
        <v>1.2800425745160757</v>
      </c>
      <c r="G128" s="1">
        <f t="shared" ca="1" si="5"/>
        <v>1510.0445332223339</v>
      </c>
      <c r="H128" s="1">
        <f t="shared" ca="1" si="6"/>
        <v>0.14432232946787096</v>
      </c>
    </row>
    <row r="129" spans="5:8" x14ac:dyDescent="0.3">
      <c r="E129" s="1">
        <f t="shared" si="7"/>
        <v>125</v>
      </c>
      <c r="F129" s="1">
        <f t="shared" ca="1" si="4"/>
        <v>1.1931904336951049</v>
      </c>
      <c r="G129" s="1">
        <f t="shared" ca="1" si="5"/>
        <v>1699.6970392225264</v>
      </c>
      <c r="H129" s="1">
        <f t="shared" ca="1" si="6"/>
        <v>0.16244834552446968</v>
      </c>
    </row>
    <row r="130" spans="5:8" x14ac:dyDescent="0.3">
      <c r="E130" s="1">
        <f t="shared" si="7"/>
        <v>126</v>
      </c>
      <c r="F130" s="1">
        <f t="shared" ca="1" si="4"/>
        <v>1.2846574390949674</v>
      </c>
      <c r="G130" s="1">
        <f t="shared" ca="1" si="5"/>
        <v>1499.9673995562516</v>
      </c>
      <c r="H130" s="1">
        <f t="shared" ca="1" si="6"/>
        <v>0.14335920859755821</v>
      </c>
    </row>
    <row r="131" spans="5:8" x14ac:dyDescent="0.3">
      <c r="E131" s="1">
        <f t="shared" si="7"/>
        <v>127</v>
      </c>
      <c r="F131" s="1">
        <f t="shared" ca="1" si="4"/>
        <v>1.1585285289816902</v>
      </c>
      <c r="G131" s="1">
        <f t="shared" ca="1" si="5"/>
        <v>1775.3856409023565</v>
      </c>
      <c r="H131" s="1">
        <f t="shared" ca="1" si="6"/>
        <v>0.16968227476845613</v>
      </c>
    </row>
    <row r="132" spans="5:8" x14ac:dyDescent="0.3">
      <c r="E132" s="1">
        <f t="shared" si="7"/>
        <v>128</v>
      </c>
      <c r="F132" s="1">
        <f t="shared" ca="1" si="4"/>
        <v>1.1260049076184306</v>
      </c>
      <c r="G132" s="1">
        <f t="shared" ca="1" si="5"/>
        <v>1846.4050336017042</v>
      </c>
      <c r="H132" s="1">
        <f t="shared" ca="1" si="6"/>
        <v>0.17646994491080037</v>
      </c>
    </row>
    <row r="133" spans="5:8" x14ac:dyDescent="0.3">
      <c r="E133" s="1">
        <f t="shared" si="7"/>
        <v>129</v>
      </c>
      <c r="F133" s="1">
        <f t="shared" ref="F133:F196" ca="1" si="8">_xlfn.NORM.INV(RAND(), $C$9, $C$9 * $C$10)</f>
        <v>1.0730420664796716</v>
      </c>
      <c r="G133" s="1">
        <f t="shared" ref="G133:G196" ca="1" si="9">$C$7 - ($C$6 + $C$8 * $C$11) - (($C$6 + $C$8 * $C$11) * (1 - $C$12) * (F133 - $C$13))</f>
        <v>1962.056017583327</v>
      </c>
      <c r="H133" s="1">
        <f t="shared" ref="H133:H196" ca="1" si="10">G133 / $C$7</f>
        <v>0.18752327416451564</v>
      </c>
    </row>
    <row r="134" spans="5:8" x14ac:dyDescent="0.3">
      <c r="E134" s="1">
        <f t="shared" ref="E134:E197" si="11">ROW()-4</f>
        <v>130</v>
      </c>
      <c r="F134" s="1">
        <f t="shared" ca="1" si="8"/>
        <v>1.1390858794465268</v>
      </c>
      <c r="G134" s="1">
        <f t="shared" ca="1" si="9"/>
        <v>1817.8410964935777</v>
      </c>
      <c r="H134" s="1">
        <f t="shared" ca="1" si="10"/>
        <v>0.17373994996593498</v>
      </c>
    </row>
    <row r="135" spans="5:8" x14ac:dyDescent="0.3">
      <c r="E135" s="1">
        <f t="shared" si="11"/>
        <v>131</v>
      </c>
      <c r="F135" s="1">
        <f t="shared" ca="1" si="8"/>
        <v>1.2365566678214484</v>
      </c>
      <c r="G135" s="1">
        <f t="shared" ca="1" si="9"/>
        <v>1605.0014462283898</v>
      </c>
      <c r="H135" s="1">
        <f t="shared" ca="1" si="10"/>
        <v>0.15339782531094234</v>
      </c>
    </row>
    <row r="136" spans="5:8" x14ac:dyDescent="0.3">
      <c r="E136" s="1">
        <f t="shared" si="11"/>
        <v>132</v>
      </c>
      <c r="F136" s="1">
        <f t="shared" ca="1" si="8"/>
        <v>1.0686379472518615</v>
      </c>
      <c r="G136" s="1">
        <f t="shared" ca="1" si="9"/>
        <v>1971.6729624321538</v>
      </c>
      <c r="H136" s="1">
        <f t="shared" ca="1" si="10"/>
        <v>0.18844241254249774</v>
      </c>
    </row>
    <row r="137" spans="5:8" x14ac:dyDescent="0.3">
      <c r="E137" s="1">
        <f t="shared" si="11"/>
        <v>133</v>
      </c>
      <c r="F137" s="1">
        <f t="shared" ca="1" si="8"/>
        <v>1.1629497645010225</v>
      </c>
      <c r="G137" s="1">
        <f t="shared" ca="1" si="9"/>
        <v>1765.7313204914547</v>
      </c>
      <c r="H137" s="1">
        <f t="shared" ca="1" si="10"/>
        <v>0.16875956422550462</v>
      </c>
    </row>
    <row r="138" spans="5:8" x14ac:dyDescent="0.3">
      <c r="E138" s="1">
        <f t="shared" si="11"/>
        <v>134</v>
      </c>
      <c r="F138" s="1">
        <f t="shared" ca="1" si="8"/>
        <v>1.241307653282095</v>
      </c>
      <c r="G138" s="1">
        <f t="shared" ca="1" si="9"/>
        <v>1594.6270756018851</v>
      </c>
      <c r="H138" s="1">
        <f t="shared" ca="1" si="10"/>
        <v>0.15240629605293751</v>
      </c>
    </row>
    <row r="139" spans="5:8" x14ac:dyDescent="0.3">
      <c r="E139" s="1">
        <f t="shared" si="11"/>
        <v>135</v>
      </c>
      <c r="F139" s="1">
        <f t="shared" ca="1" si="8"/>
        <v>1.1459669499946374</v>
      </c>
      <c r="G139" s="1">
        <f t="shared" ca="1" si="9"/>
        <v>1802.8154188179597</v>
      </c>
      <c r="H139" s="1">
        <f t="shared" ca="1" si="10"/>
        <v>0.17230387258128257</v>
      </c>
    </row>
    <row r="140" spans="5:8" x14ac:dyDescent="0.3">
      <c r="E140" s="1">
        <f t="shared" si="11"/>
        <v>136</v>
      </c>
      <c r="F140" s="1">
        <f t="shared" ca="1" si="8"/>
        <v>1.2028424308002348</v>
      </c>
      <c r="G140" s="1">
        <f t="shared" ca="1" si="9"/>
        <v>1678.6206970438373</v>
      </c>
      <c r="H140" s="1">
        <f t="shared" ca="1" si="10"/>
        <v>0.16043397658834344</v>
      </c>
    </row>
    <row r="141" spans="5:8" x14ac:dyDescent="0.3">
      <c r="E141" s="1">
        <f t="shared" si="11"/>
        <v>137</v>
      </c>
      <c r="F141" s="1">
        <f t="shared" ca="1" si="8"/>
        <v>0.97551480372356214</v>
      </c>
      <c r="G141" s="1">
        <f t="shared" ca="1" si="9"/>
        <v>2175.0189867191366</v>
      </c>
      <c r="H141" s="1">
        <f t="shared" ca="1" si="10"/>
        <v>0.20787718500612984</v>
      </c>
    </row>
    <row r="142" spans="5:8" x14ac:dyDescent="0.3">
      <c r="E142" s="1">
        <f t="shared" si="11"/>
        <v>138</v>
      </c>
      <c r="F142" s="1">
        <f t="shared" ca="1" si="8"/>
        <v>1.0379312631731474</v>
      </c>
      <c r="G142" s="1">
        <f t="shared" ca="1" si="9"/>
        <v>2038.7248454535359</v>
      </c>
      <c r="H142" s="1">
        <f t="shared" ca="1" si="10"/>
        <v>0.19485088841188339</v>
      </c>
    </row>
    <row r="143" spans="5:8" x14ac:dyDescent="0.3">
      <c r="E143" s="1">
        <f t="shared" si="11"/>
        <v>139</v>
      </c>
      <c r="F143" s="1">
        <f t="shared" ca="1" si="8"/>
        <v>0.95163999221358397</v>
      </c>
      <c r="G143" s="1">
        <f t="shared" ca="1" si="9"/>
        <v>2227.1526220026126</v>
      </c>
      <c r="H143" s="1">
        <f t="shared" ca="1" si="10"/>
        <v>0.21285985109458211</v>
      </c>
    </row>
    <row r="144" spans="5:8" x14ac:dyDescent="0.3">
      <c r="E144" s="1">
        <f t="shared" si="11"/>
        <v>140</v>
      </c>
      <c r="F144" s="1">
        <f t="shared" ca="1" si="8"/>
        <v>1.2456411689481404</v>
      </c>
      <c r="G144" s="1">
        <f t="shared" ca="1" si="9"/>
        <v>1585.164302455617</v>
      </c>
      <c r="H144" s="1">
        <f t="shared" ca="1" si="10"/>
        <v>0.15150189261737715</v>
      </c>
    </row>
    <row r="145" spans="5:8" x14ac:dyDescent="0.3">
      <c r="E145" s="1">
        <f t="shared" si="11"/>
        <v>141</v>
      </c>
      <c r="F145" s="1">
        <f t="shared" ca="1" si="8"/>
        <v>1.2617631552966322</v>
      </c>
      <c r="G145" s="1">
        <f t="shared" ca="1" si="9"/>
        <v>1549.9599300153914</v>
      </c>
      <c r="H145" s="1">
        <f t="shared" ca="1" si="10"/>
        <v>0.14813723884310345</v>
      </c>
    </row>
    <row r="146" spans="5:8" x14ac:dyDescent="0.3">
      <c r="E146" s="1">
        <f t="shared" si="11"/>
        <v>142</v>
      </c>
      <c r="F146" s="1">
        <f t="shared" ca="1" si="8"/>
        <v>1.1647925745254486</v>
      </c>
      <c r="G146" s="1">
        <f t="shared" ca="1" si="9"/>
        <v>1761.7073144518672</v>
      </c>
      <c r="H146" s="1">
        <f t="shared" ca="1" si="10"/>
        <v>0.16837497031939858</v>
      </c>
    </row>
    <row r="147" spans="5:8" x14ac:dyDescent="0.3">
      <c r="E147" s="1">
        <f t="shared" si="11"/>
        <v>143</v>
      </c>
      <c r="F147" s="1">
        <f t="shared" ca="1" si="8"/>
        <v>1.2611491026365103</v>
      </c>
      <c r="G147" s="1">
        <f t="shared" ca="1" si="9"/>
        <v>1551.3007907553501</v>
      </c>
      <c r="H147" s="1">
        <f t="shared" ca="1" si="10"/>
        <v>0.14826539145133807</v>
      </c>
    </row>
    <row r="148" spans="5:8" x14ac:dyDescent="0.3">
      <c r="E148" s="1">
        <f t="shared" si="11"/>
        <v>144</v>
      </c>
      <c r="F148" s="1">
        <f t="shared" ca="1" si="8"/>
        <v>1.1139377352310058</v>
      </c>
      <c r="G148" s="1">
        <f t="shared" ca="1" si="9"/>
        <v>1872.7552129061949</v>
      </c>
      <c r="H148" s="1">
        <f t="shared" ca="1" si="10"/>
        <v>0.17898836021276832</v>
      </c>
    </row>
    <row r="149" spans="5:8" x14ac:dyDescent="0.3">
      <c r="E149" s="1">
        <f t="shared" si="11"/>
        <v>145</v>
      </c>
      <c r="F149" s="1">
        <f t="shared" ca="1" si="8"/>
        <v>0.97178162800347911</v>
      </c>
      <c r="G149" s="1">
        <f t="shared" ca="1" si="9"/>
        <v>2183.1708425509028</v>
      </c>
      <c r="H149" s="1">
        <f t="shared" ca="1" si="10"/>
        <v>0.20865629767283789</v>
      </c>
    </row>
    <row r="150" spans="5:8" x14ac:dyDescent="0.3">
      <c r="E150" s="1">
        <f t="shared" si="11"/>
        <v>146</v>
      </c>
      <c r="F150" s="1">
        <f t="shared" ca="1" si="8"/>
        <v>1.1874624720511933</v>
      </c>
      <c r="G150" s="1">
        <f t="shared" ca="1" si="9"/>
        <v>1712.2047594672131</v>
      </c>
      <c r="H150" s="1">
        <f t="shared" ca="1" si="10"/>
        <v>0.16364376942246134</v>
      </c>
    </row>
    <row r="151" spans="5:8" x14ac:dyDescent="0.3">
      <c r="E151" s="1">
        <f t="shared" si="11"/>
        <v>147</v>
      </c>
      <c r="F151" s="1">
        <f t="shared" ca="1" si="8"/>
        <v>1.2200124918983426</v>
      </c>
      <c r="G151" s="1">
        <f t="shared" ca="1" si="9"/>
        <v>1641.1277223784814</v>
      </c>
      <c r="H151" s="1">
        <f t="shared" ca="1" si="10"/>
        <v>0.15685058992435069</v>
      </c>
    </row>
    <row r="152" spans="5:8" x14ac:dyDescent="0.3">
      <c r="E152" s="1">
        <f t="shared" si="11"/>
        <v>148</v>
      </c>
      <c r="F152" s="1">
        <f t="shared" ca="1" si="8"/>
        <v>1.2826211721009544</v>
      </c>
      <c r="G152" s="1">
        <f t="shared" ca="1" si="9"/>
        <v>1504.4138430710534</v>
      </c>
      <c r="H152" s="1">
        <f t="shared" ca="1" si="10"/>
        <v>0.1437841769158992</v>
      </c>
    </row>
    <row r="153" spans="5:8" x14ac:dyDescent="0.3">
      <c r="E153" s="1">
        <f t="shared" si="11"/>
        <v>149</v>
      </c>
      <c r="F153" s="1">
        <f t="shared" ca="1" si="8"/>
        <v>1.2006081975476184</v>
      </c>
      <c r="G153" s="1">
        <f t="shared" ca="1" si="9"/>
        <v>1683.4994246300816</v>
      </c>
      <c r="H153" s="1">
        <f t="shared" ca="1" si="10"/>
        <v>0.16090026040620106</v>
      </c>
    </row>
    <row r="154" spans="5:8" x14ac:dyDescent="0.3">
      <c r="E154" s="1">
        <f t="shared" si="11"/>
        <v>150</v>
      </c>
      <c r="F154" s="1">
        <f t="shared" ca="1" si="8"/>
        <v>1.0898159495220499</v>
      </c>
      <c r="G154" s="1">
        <f t="shared" ca="1" si="9"/>
        <v>1925.4281472249138</v>
      </c>
      <c r="H154" s="1">
        <f t="shared" ca="1" si="10"/>
        <v>0.18402256974337319</v>
      </c>
    </row>
    <row r="155" spans="5:8" x14ac:dyDescent="0.3">
      <c r="E155" s="1">
        <f t="shared" si="11"/>
        <v>151</v>
      </c>
      <c r="F155" s="1">
        <f t="shared" ca="1" si="8"/>
        <v>1.1658066843905375</v>
      </c>
      <c r="G155" s="1">
        <f t="shared" ca="1" si="9"/>
        <v>1759.4928787977124</v>
      </c>
      <c r="H155" s="1">
        <f t="shared" ca="1" si="10"/>
        <v>0.16816332589101715</v>
      </c>
    </row>
    <row r="156" spans="5:8" x14ac:dyDescent="0.3">
      <c r="E156" s="1">
        <f t="shared" si="11"/>
        <v>152</v>
      </c>
      <c r="F156" s="1">
        <f t="shared" ca="1" si="8"/>
        <v>1.0302927506163919</v>
      </c>
      <c r="G156" s="1">
        <f t="shared" ca="1" si="9"/>
        <v>2055.4044924352811</v>
      </c>
      <c r="H156" s="1">
        <f t="shared" ca="1" si="10"/>
        <v>0.19644504371932345</v>
      </c>
    </row>
    <row r="157" spans="5:8" x14ac:dyDescent="0.3">
      <c r="E157" s="1">
        <f t="shared" si="11"/>
        <v>153</v>
      </c>
      <c r="F157" s="1">
        <f t="shared" ca="1" si="8"/>
        <v>1.1603968802138254</v>
      </c>
      <c r="G157" s="1">
        <f t="shared" ca="1" si="9"/>
        <v>1771.3058624430855</v>
      </c>
      <c r="H157" s="1">
        <f t="shared" ca="1" si="10"/>
        <v>0.16929235041986862</v>
      </c>
    </row>
    <row r="158" spans="5:8" x14ac:dyDescent="0.3">
      <c r="E158" s="1">
        <f t="shared" si="11"/>
        <v>154</v>
      </c>
      <c r="F158" s="1">
        <f t="shared" ca="1" si="8"/>
        <v>0.96718934951191926</v>
      </c>
      <c r="G158" s="1">
        <f t="shared" ca="1" si="9"/>
        <v>2193.1986566720352</v>
      </c>
      <c r="H158" s="1">
        <f t="shared" ca="1" si="10"/>
        <v>0.20961470483341635</v>
      </c>
    </row>
    <row r="159" spans="5:8" x14ac:dyDescent="0.3">
      <c r="E159" s="1">
        <f t="shared" si="11"/>
        <v>155</v>
      </c>
      <c r="F159" s="1">
        <f t="shared" ca="1" si="8"/>
        <v>1.0621085183767855</v>
      </c>
      <c r="G159" s="1">
        <f t="shared" ca="1" si="9"/>
        <v>1985.9307865594915</v>
      </c>
      <c r="H159" s="1">
        <f t="shared" ca="1" si="10"/>
        <v>0.18980510241417295</v>
      </c>
    </row>
    <row r="160" spans="5:8" x14ac:dyDescent="0.3">
      <c r="E160" s="1">
        <f t="shared" si="11"/>
        <v>156</v>
      </c>
      <c r="F160" s="1">
        <f t="shared" ca="1" si="8"/>
        <v>1.0103087977038319</v>
      </c>
      <c r="G160" s="1">
        <f t="shared" ca="1" si="9"/>
        <v>2099.04195161397</v>
      </c>
      <c r="H160" s="1">
        <f t="shared" ca="1" si="10"/>
        <v>0.20061568877128644</v>
      </c>
    </row>
    <row r="161" spans="5:8" x14ac:dyDescent="0.3">
      <c r="E161" s="1">
        <f t="shared" si="11"/>
        <v>157</v>
      </c>
      <c r="F161" s="1">
        <f t="shared" ca="1" si="8"/>
        <v>1.2251849570617106</v>
      </c>
      <c r="G161" s="1">
        <f t="shared" ca="1" si="9"/>
        <v>1629.8329981361221</v>
      </c>
      <c r="H161" s="1">
        <f t="shared" ca="1" si="10"/>
        <v>0.15577109797726485</v>
      </c>
    </row>
    <row r="162" spans="5:8" x14ac:dyDescent="0.3">
      <c r="E162" s="1">
        <f t="shared" si="11"/>
        <v>158</v>
      </c>
      <c r="F162" s="1">
        <f t="shared" ca="1" si="8"/>
        <v>1.1574447883907431</v>
      </c>
      <c r="G162" s="1">
        <f t="shared" ca="1" si="9"/>
        <v>1777.7521239502635</v>
      </c>
      <c r="H162" s="1">
        <f t="shared" ca="1" si="10"/>
        <v>0.16990845110869382</v>
      </c>
    </row>
    <row r="163" spans="5:8" x14ac:dyDescent="0.3">
      <c r="E163" s="1">
        <f t="shared" si="11"/>
        <v>159</v>
      </c>
      <c r="F163" s="1">
        <f t="shared" ca="1" si="8"/>
        <v>1.0061572788506172</v>
      </c>
      <c r="G163" s="1">
        <f t="shared" ca="1" si="9"/>
        <v>2108.1073119698208</v>
      </c>
      <c r="H163" s="1">
        <f t="shared" ca="1" si="10"/>
        <v>0.20148210952593146</v>
      </c>
    </row>
    <row r="164" spans="5:8" x14ac:dyDescent="0.3">
      <c r="E164" s="1">
        <f t="shared" si="11"/>
        <v>160</v>
      </c>
      <c r="F164" s="1">
        <f t="shared" ca="1" si="8"/>
        <v>1.2891246030262598</v>
      </c>
      <c r="G164" s="1">
        <f t="shared" ca="1" si="9"/>
        <v>1490.2127887167835</v>
      </c>
      <c r="H164" s="1">
        <f t="shared" ca="1" si="10"/>
        <v>0.1424269128086384</v>
      </c>
    </row>
    <row r="165" spans="5:8" x14ac:dyDescent="0.3">
      <c r="E165" s="1">
        <f t="shared" si="11"/>
        <v>161</v>
      </c>
      <c r="F165" s="1">
        <f t="shared" ca="1" si="8"/>
        <v>1.2608204079338012</v>
      </c>
      <c r="G165" s="1">
        <f t="shared" ca="1" si="9"/>
        <v>1552.0185367255531</v>
      </c>
      <c r="H165" s="1">
        <f t="shared" ca="1" si="10"/>
        <v>0.14833398993840707</v>
      </c>
    </row>
    <row r="166" spans="5:8" x14ac:dyDescent="0.3">
      <c r="E166" s="1">
        <f t="shared" si="11"/>
        <v>162</v>
      </c>
      <c r="F166" s="1">
        <f t="shared" ca="1" si="8"/>
        <v>1.3592178799388077</v>
      </c>
      <c r="G166" s="1">
        <f t="shared" ca="1" si="9"/>
        <v>1337.1553569186208</v>
      </c>
      <c r="H166" s="1">
        <f t="shared" ca="1" si="10"/>
        <v>0.1277984666843755</v>
      </c>
    </row>
    <row r="167" spans="5:8" x14ac:dyDescent="0.3">
      <c r="E167" s="1">
        <f t="shared" si="11"/>
        <v>163</v>
      </c>
      <c r="F167" s="1">
        <f t="shared" ca="1" si="8"/>
        <v>1.2479990579749229</v>
      </c>
      <c r="G167" s="1">
        <f t="shared" ca="1" si="9"/>
        <v>1580.0155570295087</v>
      </c>
      <c r="H167" s="1">
        <f t="shared" ca="1" si="10"/>
        <v>0.15100980187608801</v>
      </c>
    </row>
    <row r="168" spans="5:8" x14ac:dyDescent="0.3">
      <c r="E168" s="1">
        <f t="shared" si="11"/>
        <v>164</v>
      </c>
      <c r="F168" s="1">
        <f t="shared" ca="1" si="8"/>
        <v>1.2431415267161003</v>
      </c>
      <c r="G168" s="1">
        <f t="shared" ca="1" si="9"/>
        <v>1590.6225837245552</v>
      </c>
      <c r="H168" s="1">
        <f t="shared" ca="1" si="10"/>
        <v>0.15202356721060453</v>
      </c>
    </row>
    <row r="169" spans="5:8" x14ac:dyDescent="0.3">
      <c r="E169" s="1">
        <f t="shared" si="11"/>
        <v>165</v>
      </c>
      <c r="F169" s="1">
        <f t="shared" ca="1" si="8"/>
        <v>1.0423933209218132</v>
      </c>
      <c r="G169" s="1">
        <f t="shared" ca="1" si="9"/>
        <v>2028.9813846021054</v>
      </c>
      <c r="H169" s="1">
        <f t="shared" ca="1" si="10"/>
        <v>0.19391965828176483</v>
      </c>
    </row>
    <row r="170" spans="5:8" x14ac:dyDescent="0.3">
      <c r="E170" s="1">
        <f t="shared" si="11"/>
        <v>166</v>
      </c>
      <c r="F170" s="1">
        <f t="shared" ca="1" si="8"/>
        <v>1.1165676201196455</v>
      </c>
      <c r="G170" s="1">
        <f t="shared" ca="1" si="9"/>
        <v>1867.0125305162389</v>
      </c>
      <c r="H170" s="1">
        <f t="shared" ca="1" si="10"/>
        <v>0.17843950401569711</v>
      </c>
    </row>
    <row r="171" spans="5:8" x14ac:dyDescent="0.3">
      <c r="E171" s="1">
        <f t="shared" si="11"/>
        <v>167</v>
      </c>
      <c r="F171" s="1">
        <f t="shared" ca="1" si="8"/>
        <v>1.2650714524736018</v>
      </c>
      <c r="G171" s="1">
        <f t="shared" ca="1" si="9"/>
        <v>1542.7358495923313</v>
      </c>
      <c r="H171" s="1">
        <f t="shared" ca="1" si="10"/>
        <v>0.14744679820245926</v>
      </c>
    </row>
    <row r="172" spans="5:8" x14ac:dyDescent="0.3">
      <c r="E172" s="1">
        <f t="shared" si="11"/>
        <v>168</v>
      </c>
      <c r="F172" s="1">
        <f t="shared" ca="1" si="8"/>
        <v>1.0710609904935544</v>
      </c>
      <c r="G172" s="1">
        <f t="shared" ca="1" si="9"/>
        <v>1966.3819446335121</v>
      </c>
      <c r="H172" s="1">
        <f t="shared" ca="1" si="10"/>
        <v>0.18793672413586085</v>
      </c>
    </row>
    <row r="173" spans="5:8" x14ac:dyDescent="0.3">
      <c r="E173" s="1">
        <f t="shared" si="11"/>
        <v>169</v>
      </c>
      <c r="F173" s="1">
        <f t="shared" ca="1" si="8"/>
        <v>1.3702685366679628</v>
      </c>
      <c r="G173" s="1">
        <f t="shared" ca="1" si="9"/>
        <v>1313.0248666184198</v>
      </c>
      <c r="H173" s="1">
        <f t="shared" ca="1" si="10"/>
        <v>0.12549219789911303</v>
      </c>
    </row>
    <row r="174" spans="5:8" x14ac:dyDescent="0.3">
      <c r="E174" s="1">
        <f t="shared" si="11"/>
        <v>170</v>
      </c>
      <c r="F174" s="1">
        <f t="shared" ca="1" si="8"/>
        <v>1.6322172675437689</v>
      </c>
      <c r="G174" s="1">
        <f t="shared" ca="1" si="9"/>
        <v>741.02706915973738</v>
      </c>
      <c r="H174" s="1">
        <f t="shared" ca="1" si="10"/>
        <v>7.082357537606207E-2</v>
      </c>
    </row>
    <row r="175" spans="5:8" x14ac:dyDescent="0.3">
      <c r="E175" s="1">
        <f t="shared" si="11"/>
        <v>171</v>
      </c>
      <c r="F175" s="1">
        <f t="shared" ca="1" si="8"/>
        <v>1.1975584158799211</v>
      </c>
      <c r="G175" s="1">
        <f t="shared" ca="1" si="9"/>
        <v>1690.1590041242073</v>
      </c>
      <c r="H175" s="1">
        <f t="shared" ca="1" si="10"/>
        <v>0.16153674893665365</v>
      </c>
    </row>
    <row r="176" spans="5:8" x14ac:dyDescent="0.3">
      <c r="E176" s="1">
        <f t="shared" si="11"/>
        <v>172</v>
      </c>
      <c r="F176" s="1">
        <f t="shared" ca="1" si="8"/>
        <v>1.3903571001108572</v>
      </c>
      <c r="G176" s="1">
        <f t="shared" ca="1" si="9"/>
        <v>1269.1589772704292</v>
      </c>
      <c r="H176" s="1">
        <f t="shared" ca="1" si="10"/>
        <v>0.12129972066046346</v>
      </c>
    </row>
    <row r="177" spans="5:8" x14ac:dyDescent="0.3">
      <c r="E177" s="1">
        <f t="shared" si="11"/>
        <v>173</v>
      </c>
      <c r="F177" s="1">
        <f t="shared" ca="1" si="8"/>
        <v>1.0399089615285111</v>
      </c>
      <c r="G177" s="1">
        <f t="shared" ca="1" si="9"/>
        <v>2034.4062938823049</v>
      </c>
      <c r="H177" s="1">
        <f t="shared" ca="1" si="10"/>
        <v>0.19443814335107568</v>
      </c>
    </row>
    <row r="178" spans="5:8" x14ac:dyDescent="0.3">
      <c r="E178" s="1">
        <f t="shared" si="11"/>
        <v>174</v>
      </c>
      <c r="F178" s="1">
        <f t="shared" ca="1" si="8"/>
        <v>1.3440049752267118</v>
      </c>
      <c r="G178" s="1">
        <f t="shared" ca="1" si="9"/>
        <v>1370.3746359705713</v>
      </c>
      <c r="H178" s="1">
        <f t="shared" ca="1" si="10"/>
        <v>0.130973395390478</v>
      </c>
    </row>
    <row r="179" spans="5:8" x14ac:dyDescent="0.3">
      <c r="E179" s="1">
        <f t="shared" si="11"/>
        <v>175</v>
      </c>
      <c r="F179" s="1">
        <f t="shared" ca="1" si="8"/>
        <v>1.0268832258840828</v>
      </c>
      <c r="G179" s="1">
        <f t="shared" ca="1" si="9"/>
        <v>2062.8496158788698</v>
      </c>
      <c r="H179" s="1">
        <f t="shared" ca="1" si="10"/>
        <v>0.1971566105207751</v>
      </c>
    </row>
    <row r="180" spans="5:8" x14ac:dyDescent="0.3">
      <c r="E180" s="1">
        <f t="shared" si="11"/>
        <v>176</v>
      </c>
      <c r="F180" s="1">
        <f t="shared" ca="1" si="8"/>
        <v>1.3240672620791809</v>
      </c>
      <c r="G180" s="1">
        <f t="shared" ca="1" si="9"/>
        <v>1413.9111248423485</v>
      </c>
      <c r="H180" s="1">
        <f t="shared" ca="1" si="10"/>
        <v>0.13513439021717943</v>
      </c>
    </row>
    <row r="181" spans="5:8" x14ac:dyDescent="0.3">
      <c r="E181" s="1">
        <f t="shared" si="11"/>
        <v>177</v>
      </c>
      <c r="F181" s="1">
        <f t="shared" ca="1" si="8"/>
        <v>1.3575843648125314</v>
      </c>
      <c r="G181" s="1">
        <f t="shared" ca="1" si="9"/>
        <v>1340.7223413862359</v>
      </c>
      <c r="H181" s="1">
        <f t="shared" ca="1" si="10"/>
        <v>0.12813938080724802</v>
      </c>
    </row>
    <row r="182" spans="5:8" x14ac:dyDescent="0.3">
      <c r="E182" s="1">
        <f t="shared" si="11"/>
        <v>178</v>
      </c>
      <c r="F182" s="1">
        <f t="shared" ca="1" si="8"/>
        <v>0.84298354691896349</v>
      </c>
      <c r="G182" s="1">
        <f t="shared" ca="1" si="9"/>
        <v>2464.4175523590784</v>
      </c>
      <c r="H182" s="1">
        <f t="shared" ca="1" si="10"/>
        <v>0.23553641903460559</v>
      </c>
    </row>
    <row r="183" spans="5:8" x14ac:dyDescent="0.3">
      <c r="E183" s="1">
        <f t="shared" si="11"/>
        <v>179</v>
      </c>
      <c r="F183" s="1">
        <f t="shared" ca="1" si="8"/>
        <v>1.421369205500955</v>
      </c>
      <c r="G183" s="1">
        <f t="shared" ca="1" si="9"/>
        <v>1201.440168637977</v>
      </c>
      <c r="H183" s="1">
        <f t="shared" ca="1" si="10"/>
        <v>0.11482750345388291</v>
      </c>
    </row>
    <row r="184" spans="5:8" x14ac:dyDescent="0.3">
      <c r="E184" s="1">
        <f t="shared" si="11"/>
        <v>180</v>
      </c>
      <c r="F184" s="1">
        <f t="shared" ca="1" si="8"/>
        <v>1.1487459841831145</v>
      </c>
      <c r="G184" s="1">
        <f t="shared" ca="1" si="9"/>
        <v>1796.7470502881465</v>
      </c>
      <c r="H184" s="1">
        <f t="shared" ca="1" si="10"/>
        <v>0.17172388896952562</v>
      </c>
    </row>
    <row r="185" spans="5:8" x14ac:dyDescent="0.3">
      <c r="E185" s="1">
        <f t="shared" si="11"/>
        <v>181</v>
      </c>
      <c r="F185" s="1">
        <f t="shared" ca="1" si="8"/>
        <v>1.0956956230168036</v>
      </c>
      <c r="G185" s="1">
        <f t="shared" ca="1" si="9"/>
        <v>1912.5891451899322</v>
      </c>
      <c r="H185" s="1">
        <f t="shared" ca="1" si="10"/>
        <v>0.18279548362706033</v>
      </c>
    </row>
    <row r="186" spans="5:8" x14ac:dyDescent="0.3">
      <c r="E186" s="1">
        <f t="shared" si="11"/>
        <v>182</v>
      </c>
      <c r="F186" s="1">
        <f t="shared" ca="1" si="8"/>
        <v>1.082337197768054</v>
      </c>
      <c r="G186" s="1">
        <f t="shared" ca="1" si="9"/>
        <v>1941.7589365237329</v>
      </c>
      <c r="H186" s="1">
        <f t="shared" ca="1" si="10"/>
        <v>0.18558338301861158</v>
      </c>
    </row>
    <row r="187" spans="5:8" x14ac:dyDescent="0.3">
      <c r="E187" s="1">
        <f t="shared" si="11"/>
        <v>183</v>
      </c>
      <c r="F187" s="1">
        <f t="shared" ca="1" si="8"/>
        <v>1.2024217547765248</v>
      </c>
      <c r="G187" s="1">
        <f t="shared" ca="1" si="9"/>
        <v>1679.5392957261108</v>
      </c>
      <c r="H187" s="1">
        <f t="shared" ca="1" si="10"/>
        <v>0.16052177154985289</v>
      </c>
    </row>
    <row r="188" spans="5:8" x14ac:dyDescent="0.3">
      <c r="E188" s="1">
        <f t="shared" si="11"/>
        <v>184</v>
      </c>
      <c r="F188" s="1">
        <f t="shared" ca="1" si="8"/>
        <v>1.213326098064309</v>
      </c>
      <c r="G188" s="1">
        <f t="shared" ca="1" si="9"/>
        <v>1655.7282991143231</v>
      </c>
      <c r="H188" s="1">
        <f t="shared" ca="1" si="10"/>
        <v>0.15824603833645448</v>
      </c>
    </row>
    <row r="189" spans="5:8" x14ac:dyDescent="0.3">
      <c r="E189" s="1">
        <f t="shared" si="11"/>
        <v>185</v>
      </c>
      <c r="F189" s="1">
        <f t="shared" ca="1" si="8"/>
        <v>1.4414878915540805</v>
      </c>
      <c r="G189" s="1">
        <f t="shared" ca="1" si="9"/>
        <v>1157.5085028052208</v>
      </c>
      <c r="H189" s="1">
        <f t="shared" ca="1" si="10"/>
        <v>0.11062873963540293</v>
      </c>
    </row>
    <row r="190" spans="5:8" x14ac:dyDescent="0.3">
      <c r="E190" s="1">
        <f t="shared" si="11"/>
        <v>186</v>
      </c>
      <c r="F190" s="1">
        <f t="shared" ca="1" si="8"/>
        <v>1.2196427057811234</v>
      </c>
      <c r="G190" s="1">
        <f t="shared" ca="1" si="9"/>
        <v>1641.9351965886942</v>
      </c>
      <c r="H190" s="1">
        <f t="shared" ca="1" si="10"/>
        <v>0.15692776417745333</v>
      </c>
    </row>
    <row r="191" spans="5:8" x14ac:dyDescent="0.3">
      <c r="E191" s="1">
        <f t="shared" si="11"/>
        <v>187</v>
      </c>
      <c r="F191" s="1">
        <f t="shared" ca="1" si="8"/>
        <v>1.1868225881297887</v>
      </c>
      <c r="G191" s="1">
        <f t="shared" ca="1" si="9"/>
        <v>1713.6020259950901</v>
      </c>
      <c r="H191" s="1">
        <f t="shared" ca="1" si="10"/>
        <v>0.1637773130072723</v>
      </c>
    </row>
    <row r="192" spans="5:8" x14ac:dyDescent="0.3">
      <c r="E192" s="1">
        <f t="shared" si="11"/>
        <v>188</v>
      </c>
      <c r="F192" s="1">
        <f t="shared" ca="1" si="8"/>
        <v>1.1255118167322824</v>
      </c>
      <c r="G192" s="1">
        <f t="shared" ca="1" si="9"/>
        <v>1847.4817591879696</v>
      </c>
      <c r="H192" s="1">
        <f t="shared" ca="1" si="10"/>
        <v>0.17657285283264548</v>
      </c>
    </row>
    <row r="193" spans="5:8" x14ac:dyDescent="0.3">
      <c r="E193" s="1">
        <f t="shared" si="11"/>
        <v>189</v>
      </c>
      <c r="F193" s="1">
        <f t="shared" ca="1" si="8"/>
        <v>1.3205553752329435</v>
      </c>
      <c r="G193" s="1">
        <f t="shared" ca="1" si="9"/>
        <v>1421.5797687569636</v>
      </c>
      <c r="H193" s="1">
        <f t="shared" ca="1" si="10"/>
        <v>0.13586731996147985</v>
      </c>
    </row>
    <row r="194" spans="5:8" x14ac:dyDescent="0.3">
      <c r="E194" s="1">
        <f t="shared" si="11"/>
        <v>190</v>
      </c>
      <c r="F194" s="1">
        <f t="shared" ca="1" si="8"/>
        <v>1.3123570019244366</v>
      </c>
      <c r="G194" s="1">
        <f t="shared" ca="1" si="9"/>
        <v>1439.4819416727519</v>
      </c>
      <c r="H194" s="1">
        <f t="shared" ca="1" si="10"/>
        <v>0.13757831804193366</v>
      </c>
    </row>
    <row r="195" spans="5:8" x14ac:dyDescent="0.3">
      <c r="E195" s="1">
        <f t="shared" si="11"/>
        <v>191</v>
      </c>
      <c r="F195" s="1">
        <f t="shared" ca="1" si="8"/>
        <v>1.1834731789500836</v>
      </c>
      <c r="G195" s="1">
        <f t="shared" ca="1" si="9"/>
        <v>1720.9158796151235</v>
      </c>
      <c r="H195" s="1">
        <f t="shared" ca="1" si="10"/>
        <v>0.16447633371070663</v>
      </c>
    </row>
    <row r="196" spans="5:8" x14ac:dyDescent="0.3">
      <c r="E196" s="1">
        <f t="shared" si="11"/>
        <v>192</v>
      </c>
      <c r="F196" s="1">
        <f t="shared" ca="1" si="8"/>
        <v>1.3139927692474158</v>
      </c>
      <c r="G196" s="1">
        <f t="shared" ca="1" si="9"/>
        <v>1435.9100392521116</v>
      </c>
      <c r="H196" s="1">
        <f t="shared" ca="1" si="10"/>
        <v>0.13723693388627656</v>
      </c>
    </row>
    <row r="197" spans="5:8" x14ac:dyDescent="0.3">
      <c r="E197" s="1">
        <f t="shared" si="11"/>
        <v>193</v>
      </c>
      <c r="F197" s="1">
        <f t="shared" ref="F197:F260" ca="1" si="12">_xlfn.NORM.INV(RAND(), $C$9, $C$9 * $C$10)</f>
        <v>0.97972412486563387</v>
      </c>
      <c r="G197" s="1">
        <f t="shared" ref="G197:G260" ca="1" si="13">$C$7 - ($C$6 + $C$8 * $C$11) - (($C$6 + $C$8 * $C$11) * (1 - $C$12) * (F197 - $C$13))</f>
        <v>2165.8274078402801</v>
      </c>
      <c r="H197" s="1">
        <f t="shared" ref="H197:H260" ca="1" si="14">G197 / $C$7</f>
        <v>0.20699870093092612</v>
      </c>
    </row>
    <row r="198" spans="5:8" x14ac:dyDescent="0.3">
      <c r="E198" s="1">
        <f t="shared" ref="E198:E261" si="15">ROW()-4</f>
        <v>194</v>
      </c>
      <c r="F198" s="1">
        <f t="shared" ca="1" si="12"/>
        <v>1.0461994498818907</v>
      </c>
      <c r="G198" s="1">
        <f t="shared" ca="1" si="13"/>
        <v>2020.6702262516562</v>
      </c>
      <c r="H198" s="1">
        <f t="shared" ca="1" si="14"/>
        <v>0.19312532029548468</v>
      </c>
    </row>
    <row r="199" spans="5:8" x14ac:dyDescent="0.3">
      <c r="E199" s="1">
        <f t="shared" si="15"/>
        <v>195</v>
      </c>
      <c r="F199" s="1">
        <f t="shared" ca="1" si="12"/>
        <v>1.3023301567869234</v>
      </c>
      <c r="G199" s="1">
        <f t="shared" ca="1" si="13"/>
        <v>1461.3768113861543</v>
      </c>
      <c r="H199" s="1">
        <f t="shared" ca="1" si="14"/>
        <v>0.13967091765135756</v>
      </c>
    </row>
    <row r="200" spans="5:8" x14ac:dyDescent="0.3">
      <c r="E200" s="1">
        <f t="shared" si="15"/>
        <v>196</v>
      </c>
      <c r="F200" s="1">
        <f t="shared" ca="1" si="12"/>
        <v>1.3579261834244225</v>
      </c>
      <c r="G200" s="1">
        <f t="shared" ca="1" si="13"/>
        <v>1339.9759377198452</v>
      </c>
      <c r="H200" s="1">
        <f t="shared" ca="1" si="14"/>
        <v>0.12806804336422109</v>
      </c>
    </row>
    <row r="201" spans="5:8" x14ac:dyDescent="0.3">
      <c r="E201" s="1">
        <f t="shared" si="15"/>
        <v>197</v>
      </c>
      <c r="F201" s="1">
        <f t="shared" ca="1" si="12"/>
        <v>0.93322311574725436</v>
      </c>
      <c r="G201" s="1">
        <f t="shared" ca="1" si="13"/>
        <v>2267.3681738764017</v>
      </c>
      <c r="H201" s="1">
        <f t="shared" ca="1" si="14"/>
        <v>0.2167034477565136</v>
      </c>
    </row>
    <row r="202" spans="5:8" x14ac:dyDescent="0.3">
      <c r="E202" s="1">
        <f t="shared" si="15"/>
        <v>198</v>
      </c>
      <c r="F202" s="1">
        <f t="shared" ca="1" si="12"/>
        <v>0.97609050728424873</v>
      </c>
      <c r="G202" s="1">
        <f t="shared" ca="1" si="13"/>
        <v>2173.7618660314324</v>
      </c>
      <c r="H202" s="1">
        <f t="shared" ca="1" si="14"/>
        <v>0.20775703584358524</v>
      </c>
    </row>
    <row r="203" spans="5:8" x14ac:dyDescent="0.3">
      <c r="E203" s="1">
        <f t="shared" si="15"/>
        <v>199</v>
      </c>
      <c r="F203" s="1">
        <f t="shared" ca="1" si="12"/>
        <v>1.3286864138362247</v>
      </c>
      <c r="G203" s="1">
        <f t="shared" ca="1" si="13"/>
        <v>1403.8246295868739</v>
      </c>
      <c r="H203" s="1">
        <f t="shared" ca="1" si="14"/>
        <v>0.13417037461405656</v>
      </c>
    </row>
    <row r="204" spans="5:8" x14ac:dyDescent="0.3">
      <c r="E204" s="1">
        <f t="shared" si="15"/>
        <v>200</v>
      </c>
      <c r="F204" s="1">
        <f t="shared" ca="1" si="12"/>
        <v>1.1116871565885766</v>
      </c>
      <c r="G204" s="1">
        <f t="shared" ca="1" si="13"/>
        <v>1877.6696326942692</v>
      </c>
      <c r="H204" s="1">
        <f t="shared" ca="1" si="14"/>
        <v>0.17945805530863704</v>
      </c>
    </row>
    <row r="205" spans="5:8" x14ac:dyDescent="0.3">
      <c r="E205" s="1">
        <f t="shared" si="15"/>
        <v>201</v>
      </c>
      <c r="F205" s="1">
        <f t="shared" ca="1" si="12"/>
        <v>1.2305122847559393</v>
      </c>
      <c r="G205" s="1">
        <f t="shared" ca="1" si="13"/>
        <v>1618.2001121998119</v>
      </c>
      <c r="H205" s="1">
        <f t="shared" ca="1" si="14"/>
        <v>0.15465928626587133</v>
      </c>
    </row>
    <row r="206" spans="5:8" x14ac:dyDescent="0.3">
      <c r="E206" s="1">
        <f t="shared" si="15"/>
        <v>202</v>
      </c>
      <c r="F206" s="1">
        <f t="shared" ca="1" si="12"/>
        <v>1.2400014517923268</v>
      </c>
      <c r="G206" s="1">
        <f t="shared" ca="1" si="13"/>
        <v>1597.4793298299803</v>
      </c>
      <c r="H206" s="1">
        <f t="shared" ca="1" si="14"/>
        <v>0.15267889991684797</v>
      </c>
    </row>
    <row r="207" spans="5:8" x14ac:dyDescent="0.3">
      <c r="E207" s="1">
        <f t="shared" si="15"/>
        <v>203</v>
      </c>
      <c r="F207" s="1">
        <f t="shared" ca="1" si="12"/>
        <v>1.1744565615716833</v>
      </c>
      <c r="G207" s="1">
        <f t="shared" ca="1" si="13"/>
        <v>1740.6047907380328</v>
      </c>
      <c r="H207" s="1">
        <f t="shared" ca="1" si="14"/>
        <v>0.1663580990861161</v>
      </c>
    </row>
    <row r="208" spans="5:8" x14ac:dyDescent="0.3">
      <c r="E208" s="1">
        <f t="shared" si="15"/>
        <v>204</v>
      </c>
      <c r="F208" s="1">
        <f t="shared" ca="1" si="12"/>
        <v>1.2699243637788633</v>
      </c>
      <c r="G208" s="1">
        <f t="shared" ca="1" si="13"/>
        <v>1532.1389111433796</v>
      </c>
      <c r="H208" s="1">
        <f t="shared" ca="1" si="14"/>
        <v>0.14643399705088211</v>
      </c>
    </row>
    <row r="209" spans="5:8" x14ac:dyDescent="0.3">
      <c r="E209" s="1">
        <f t="shared" si="15"/>
        <v>205</v>
      </c>
      <c r="F209" s="1">
        <f t="shared" ca="1" si="12"/>
        <v>1.0061026709273588</v>
      </c>
      <c r="G209" s="1">
        <f t="shared" ca="1" si="13"/>
        <v>2108.226555196246</v>
      </c>
      <c r="H209" s="1">
        <f t="shared" ca="1" si="14"/>
        <v>0.20149350618333614</v>
      </c>
    </row>
    <row r="210" spans="5:8" x14ac:dyDescent="0.3">
      <c r="E210" s="1">
        <f t="shared" si="15"/>
        <v>206</v>
      </c>
      <c r="F210" s="1">
        <f t="shared" ca="1" si="12"/>
        <v>1.0964343064959434</v>
      </c>
      <c r="G210" s="1">
        <f t="shared" ca="1" si="13"/>
        <v>1910.9761374777954</v>
      </c>
      <c r="H210" s="1">
        <f t="shared" ca="1" si="14"/>
        <v>0.18264132060382257</v>
      </c>
    </row>
    <row r="211" spans="5:8" x14ac:dyDescent="0.3">
      <c r="E211" s="1">
        <f t="shared" si="15"/>
        <v>207</v>
      </c>
      <c r="F211" s="1">
        <f t="shared" ca="1" si="12"/>
        <v>1.0691835631757873</v>
      </c>
      <c r="G211" s="1">
        <f t="shared" ca="1" si="13"/>
        <v>1970.4815418602711</v>
      </c>
      <c r="H211" s="1">
        <f t="shared" ca="1" si="14"/>
        <v>0.18832854266083066</v>
      </c>
    </row>
    <row r="212" spans="5:8" x14ac:dyDescent="0.3">
      <c r="E212" s="1">
        <f t="shared" si="15"/>
        <v>208</v>
      </c>
      <c r="F212" s="1">
        <f t="shared" ca="1" si="12"/>
        <v>1.2919972552477141</v>
      </c>
      <c r="G212" s="1">
        <f t="shared" ca="1" si="13"/>
        <v>1483.9399935097101</v>
      </c>
      <c r="H212" s="1">
        <f t="shared" ca="1" si="14"/>
        <v>0.14182739114113641</v>
      </c>
    </row>
    <row r="213" spans="5:8" x14ac:dyDescent="0.3">
      <c r="E213" s="1">
        <f t="shared" si="15"/>
        <v>209</v>
      </c>
      <c r="F213" s="1">
        <f t="shared" ca="1" si="12"/>
        <v>1.3436109842667439</v>
      </c>
      <c r="G213" s="1">
        <f t="shared" ca="1" si="13"/>
        <v>1371.2349644805313</v>
      </c>
      <c r="H213" s="1">
        <f t="shared" ca="1" si="14"/>
        <v>0.13105562118709083</v>
      </c>
    </row>
    <row r="214" spans="5:8" x14ac:dyDescent="0.3">
      <c r="E214" s="1">
        <f t="shared" si="15"/>
        <v>210</v>
      </c>
      <c r="F214" s="1">
        <f t="shared" ca="1" si="12"/>
        <v>1.0781405800676098</v>
      </c>
      <c r="G214" s="1">
        <f t="shared" ca="1" si="13"/>
        <v>1950.9227758498653</v>
      </c>
      <c r="H214" s="1">
        <f t="shared" ca="1" si="14"/>
        <v>0.18645921588931141</v>
      </c>
    </row>
    <row r="215" spans="5:8" x14ac:dyDescent="0.3">
      <c r="E215" s="1">
        <f t="shared" si="15"/>
        <v>211</v>
      </c>
      <c r="F215" s="1">
        <f t="shared" ca="1" si="12"/>
        <v>1.3478002594545415</v>
      </c>
      <c r="G215" s="1">
        <f t="shared" ca="1" si="13"/>
        <v>1362.0871584485767</v>
      </c>
      <c r="H215" s="1">
        <f t="shared" ca="1" si="14"/>
        <v>0.13018132069660487</v>
      </c>
    </row>
    <row r="216" spans="5:8" x14ac:dyDescent="0.3">
      <c r="E216" s="1">
        <f t="shared" si="15"/>
        <v>212</v>
      </c>
      <c r="F216" s="1">
        <f t="shared" ca="1" si="12"/>
        <v>1.2278185339535452</v>
      </c>
      <c r="G216" s="1">
        <f t="shared" ca="1" si="13"/>
        <v>1624.0822537956897</v>
      </c>
      <c r="H216" s="1">
        <f t="shared" ca="1" si="14"/>
        <v>0.15522147126022073</v>
      </c>
    </row>
    <row r="217" spans="5:8" x14ac:dyDescent="0.3">
      <c r="E217" s="1">
        <f t="shared" si="15"/>
        <v>213</v>
      </c>
      <c r="F217" s="1">
        <f t="shared" ca="1" si="12"/>
        <v>1.1961495895424075</v>
      </c>
      <c r="G217" s="1">
        <f t="shared" ca="1" si="13"/>
        <v>1693.2353525354604</v>
      </c>
      <c r="H217" s="1">
        <f t="shared" ca="1" si="14"/>
        <v>0.16183077057588266</v>
      </c>
    </row>
    <row r="218" spans="5:8" x14ac:dyDescent="0.3">
      <c r="E218" s="1">
        <f t="shared" si="15"/>
        <v>214</v>
      </c>
      <c r="F218" s="1">
        <f t="shared" ca="1" si="12"/>
        <v>1.101470389569688</v>
      </c>
      <c r="G218" s="1">
        <f t="shared" ca="1" si="13"/>
        <v>1899.9792205758899</v>
      </c>
      <c r="H218" s="1">
        <f t="shared" ca="1" si="14"/>
        <v>0.18159029155843351</v>
      </c>
    </row>
    <row r="219" spans="5:8" x14ac:dyDescent="0.3">
      <c r="E219" s="1">
        <f t="shared" si="15"/>
        <v>215</v>
      </c>
      <c r="F219" s="1">
        <f t="shared" ca="1" si="12"/>
        <v>1.1618351182627535</v>
      </c>
      <c r="G219" s="1">
        <f t="shared" ca="1" si="13"/>
        <v>1768.1652898834946</v>
      </c>
      <c r="H219" s="1">
        <f t="shared" ca="1" si="14"/>
        <v>0.16899219056518155</v>
      </c>
    </row>
    <row r="220" spans="5:8" x14ac:dyDescent="0.3">
      <c r="E220" s="1">
        <f t="shared" si="15"/>
        <v>216</v>
      </c>
      <c r="F220" s="1">
        <f t="shared" ca="1" si="12"/>
        <v>1.1030235460113513</v>
      </c>
      <c r="G220" s="1">
        <f t="shared" ca="1" si="13"/>
        <v>1896.5877093409629</v>
      </c>
      <c r="H220" s="1">
        <f t="shared" ca="1" si="14"/>
        <v>0.1812661482692309</v>
      </c>
    </row>
    <row r="221" spans="5:8" x14ac:dyDescent="0.3">
      <c r="E221" s="1">
        <f t="shared" si="15"/>
        <v>217</v>
      </c>
      <c r="F221" s="1">
        <f t="shared" ca="1" si="12"/>
        <v>1.2372472532731829</v>
      </c>
      <c r="G221" s="1">
        <f t="shared" ca="1" si="13"/>
        <v>1603.4934665713458</v>
      </c>
      <c r="H221" s="1">
        <f t="shared" ca="1" si="14"/>
        <v>0.15325370033177346</v>
      </c>
    </row>
    <row r="222" spans="5:8" x14ac:dyDescent="0.3">
      <c r="E222" s="1">
        <f t="shared" si="15"/>
        <v>218</v>
      </c>
      <c r="F222" s="1">
        <f t="shared" ca="1" si="12"/>
        <v>1.1781708049987074</v>
      </c>
      <c r="G222" s="1">
        <f t="shared" ca="1" si="13"/>
        <v>1732.4942759346975</v>
      </c>
      <c r="H222" s="1">
        <f t="shared" ca="1" si="14"/>
        <v>0.16558293758336018</v>
      </c>
    </row>
    <row r="223" spans="5:8" x14ac:dyDescent="0.3">
      <c r="E223" s="1">
        <f t="shared" si="15"/>
        <v>219</v>
      </c>
      <c r="F223" s="1">
        <f t="shared" ca="1" si="12"/>
        <v>1.0233623621514512</v>
      </c>
      <c r="G223" s="1">
        <f t="shared" ca="1" si="13"/>
        <v>2070.5378619470375</v>
      </c>
      <c r="H223" s="1">
        <f t="shared" ca="1" si="14"/>
        <v>0.19789141373860628</v>
      </c>
    </row>
    <row r="224" spans="5:8" x14ac:dyDescent="0.3">
      <c r="E224" s="1">
        <f t="shared" si="15"/>
        <v>220</v>
      </c>
      <c r="F224" s="1">
        <f t="shared" ca="1" si="12"/>
        <v>1.4263231294354082</v>
      </c>
      <c r="G224" s="1">
        <f t="shared" ca="1" si="13"/>
        <v>1190.6226564866067</v>
      </c>
      <c r="H224" s="1">
        <f t="shared" ca="1" si="14"/>
        <v>0.11379362099652171</v>
      </c>
    </row>
    <row r="225" spans="5:8" x14ac:dyDescent="0.3">
      <c r="E225" s="1">
        <f t="shared" si="15"/>
        <v>221</v>
      </c>
      <c r="F225" s="1">
        <f t="shared" ca="1" si="12"/>
        <v>1.3928286285351412</v>
      </c>
      <c r="G225" s="1">
        <f t="shared" ca="1" si="13"/>
        <v>1263.762086014952</v>
      </c>
      <c r="H225" s="1">
        <f t="shared" ca="1" si="14"/>
        <v>0.12078391341058511</v>
      </c>
    </row>
    <row r="226" spans="5:8" x14ac:dyDescent="0.3">
      <c r="E226" s="1">
        <f t="shared" si="15"/>
        <v>222</v>
      </c>
      <c r="F226" s="1">
        <f t="shared" ca="1" si="12"/>
        <v>1.1418126925832546</v>
      </c>
      <c r="G226" s="1">
        <f t="shared" ca="1" si="13"/>
        <v>1811.8867591578905</v>
      </c>
      <c r="H226" s="1">
        <f t="shared" ca="1" si="14"/>
        <v>0.17317086487220593</v>
      </c>
    </row>
    <row r="227" spans="5:8" x14ac:dyDescent="0.3">
      <c r="E227" s="1">
        <f t="shared" si="15"/>
        <v>223</v>
      </c>
      <c r="F227" s="1">
        <f t="shared" ca="1" si="12"/>
        <v>1.4085094244866077</v>
      </c>
      <c r="G227" s="1">
        <f t="shared" ca="1" si="13"/>
        <v>1229.5211079554313</v>
      </c>
      <c r="H227" s="1">
        <f t="shared" ca="1" si="14"/>
        <v>0.11751133594145381</v>
      </c>
    </row>
    <row r="228" spans="5:8" x14ac:dyDescent="0.3">
      <c r="E228" s="1">
        <f t="shared" si="15"/>
        <v>224</v>
      </c>
      <c r="F228" s="1">
        <f t="shared" ca="1" si="12"/>
        <v>1.1093427099341375</v>
      </c>
      <c r="G228" s="1">
        <f t="shared" ca="1" si="13"/>
        <v>1882.7890250200687</v>
      </c>
      <c r="H228" s="1">
        <f t="shared" ca="1" si="14"/>
        <v>0.17994734063080078</v>
      </c>
    </row>
    <row r="229" spans="5:8" x14ac:dyDescent="0.3">
      <c r="E229" s="1">
        <f t="shared" si="15"/>
        <v>225</v>
      </c>
      <c r="F229" s="1">
        <f t="shared" ca="1" si="12"/>
        <v>1.0836617673643287</v>
      </c>
      <c r="G229" s="1">
        <f t="shared" ca="1" si="13"/>
        <v>1938.8665732390675</v>
      </c>
      <c r="H229" s="1">
        <f t="shared" ca="1" si="14"/>
        <v>0.18530694573631534</v>
      </c>
    </row>
    <row r="230" spans="5:8" x14ac:dyDescent="0.3">
      <c r="E230" s="1">
        <f t="shared" si="15"/>
        <v>226</v>
      </c>
      <c r="F230" s="1">
        <f t="shared" ca="1" si="12"/>
        <v>1.2528869787354722</v>
      </c>
      <c r="G230" s="1">
        <f t="shared" ca="1" si="13"/>
        <v>1569.3421710587545</v>
      </c>
      <c r="H230" s="1">
        <f t="shared" ca="1" si="14"/>
        <v>0.149989694261565</v>
      </c>
    </row>
    <row r="231" spans="5:8" x14ac:dyDescent="0.3">
      <c r="E231" s="1">
        <f t="shared" si="15"/>
        <v>227</v>
      </c>
      <c r="F231" s="1">
        <f t="shared" ca="1" si="12"/>
        <v>1.0492799940686959</v>
      </c>
      <c r="G231" s="1">
        <f t="shared" ca="1" si="13"/>
        <v>2013.9434729517438</v>
      </c>
      <c r="H231" s="1">
        <f t="shared" ca="1" si="14"/>
        <v>0.19248241163640867</v>
      </c>
    </row>
    <row r="232" spans="5:8" x14ac:dyDescent="0.3">
      <c r="E232" s="1">
        <f t="shared" si="15"/>
        <v>228</v>
      </c>
      <c r="F232" s="1">
        <f t="shared" ca="1" si="12"/>
        <v>1.326503006780503</v>
      </c>
      <c r="G232" s="1">
        <f t="shared" ca="1" si="13"/>
        <v>1408.592371818924</v>
      </c>
      <c r="H232" s="1">
        <f t="shared" ca="1" si="14"/>
        <v>0.13462605101968117</v>
      </c>
    </row>
    <row r="233" spans="5:8" x14ac:dyDescent="0.3">
      <c r="E233" s="1">
        <f t="shared" si="15"/>
        <v>229</v>
      </c>
      <c r="F233" s="1">
        <f t="shared" ca="1" si="12"/>
        <v>0.9979590613642082</v>
      </c>
      <c r="G233" s="1">
        <f t="shared" ca="1" si="13"/>
        <v>2126.0091446285805</v>
      </c>
      <c r="H233" s="1">
        <f t="shared" ca="1" si="14"/>
        <v>0.20319307508635961</v>
      </c>
    </row>
    <row r="234" spans="5:8" x14ac:dyDescent="0.3">
      <c r="E234" s="1">
        <f t="shared" si="15"/>
        <v>230</v>
      </c>
      <c r="F234" s="1">
        <f t="shared" ca="1" si="12"/>
        <v>1.1528887900182541</v>
      </c>
      <c r="G234" s="1">
        <f t="shared" ca="1" si="13"/>
        <v>1787.7007158963897</v>
      </c>
      <c r="H234" s="1">
        <f t="shared" ca="1" si="14"/>
        <v>0.17085928661917135</v>
      </c>
    </row>
    <row r="235" spans="5:8" x14ac:dyDescent="0.3">
      <c r="E235" s="1">
        <f t="shared" si="15"/>
        <v>231</v>
      </c>
      <c r="F235" s="1">
        <f t="shared" ca="1" si="12"/>
        <v>1.0829500508681567</v>
      </c>
      <c r="G235" s="1">
        <f t="shared" ca="1" si="13"/>
        <v>1940.4206951730214</v>
      </c>
      <c r="H235" s="1">
        <f t="shared" ca="1" si="14"/>
        <v>0.18545548075819759</v>
      </c>
    </row>
    <row r="236" spans="5:8" x14ac:dyDescent="0.3">
      <c r="E236" s="1">
        <f t="shared" si="15"/>
        <v>232</v>
      </c>
      <c r="F236" s="1">
        <f t="shared" ca="1" si="12"/>
        <v>1.2675033133775657</v>
      </c>
      <c r="G236" s="1">
        <f t="shared" ca="1" si="13"/>
        <v>1537.4255773259129</v>
      </c>
      <c r="H236" s="1">
        <f t="shared" ca="1" si="14"/>
        <v>0.14693926955231892</v>
      </c>
    </row>
    <row r="237" spans="5:8" x14ac:dyDescent="0.3">
      <c r="E237" s="1">
        <f t="shared" si="15"/>
        <v>233</v>
      </c>
      <c r="F237" s="1">
        <f t="shared" ca="1" si="12"/>
        <v>1.1428781372770871</v>
      </c>
      <c r="G237" s="1">
        <f t="shared" ca="1" si="13"/>
        <v>1809.5602274883206</v>
      </c>
      <c r="H237" s="1">
        <f t="shared" ca="1" si="14"/>
        <v>0.17294850688027533</v>
      </c>
    </row>
    <row r="238" spans="5:8" x14ac:dyDescent="0.3">
      <c r="E238" s="1">
        <f t="shared" si="15"/>
        <v>234</v>
      </c>
      <c r="F238" s="1">
        <f t="shared" ca="1" si="12"/>
        <v>0.80962369694239378</v>
      </c>
      <c r="G238" s="1">
        <f t="shared" ca="1" si="13"/>
        <v>2537.2629547641654</v>
      </c>
      <c r="H238" s="1">
        <f t="shared" ca="1" si="14"/>
        <v>0.24249860984078805</v>
      </c>
    </row>
    <row r="239" spans="5:8" x14ac:dyDescent="0.3">
      <c r="E239" s="1">
        <f t="shared" si="15"/>
        <v>235</v>
      </c>
      <c r="F239" s="1">
        <f t="shared" ca="1" si="12"/>
        <v>1.0701357444523085</v>
      </c>
      <c r="G239" s="1">
        <f t="shared" ca="1" si="13"/>
        <v>1968.4023350203277</v>
      </c>
      <c r="H239" s="1">
        <f t="shared" ca="1" si="14"/>
        <v>0.18812982271053499</v>
      </c>
    </row>
    <row r="240" spans="5:8" x14ac:dyDescent="0.3">
      <c r="E240" s="1">
        <f t="shared" si="15"/>
        <v>236</v>
      </c>
      <c r="F240" s="1">
        <f t="shared" ca="1" si="12"/>
        <v>1.1816686142954786</v>
      </c>
      <c r="G240" s="1">
        <f t="shared" ca="1" si="13"/>
        <v>1724.8563721090352</v>
      </c>
      <c r="H240" s="1">
        <f t="shared" ca="1" si="14"/>
        <v>0.16485294581946242</v>
      </c>
    </row>
    <row r="241" spans="5:8" x14ac:dyDescent="0.3">
      <c r="E241" s="1">
        <f t="shared" si="15"/>
        <v>237</v>
      </c>
      <c r="F241" s="1">
        <f t="shared" ca="1" si="12"/>
        <v>0.95419339830884153</v>
      </c>
      <c r="G241" s="1">
        <f t="shared" ca="1" si="13"/>
        <v>2221.5769406178556</v>
      </c>
      <c r="H241" s="1">
        <f t="shared" ca="1" si="14"/>
        <v>0.21232695599903045</v>
      </c>
    </row>
    <row r="242" spans="5:8" x14ac:dyDescent="0.3">
      <c r="E242" s="1">
        <f t="shared" si="15"/>
        <v>238</v>
      </c>
      <c r="F242" s="1">
        <f t="shared" ca="1" si="12"/>
        <v>1.199180106189059</v>
      </c>
      <c r="G242" s="1">
        <f t="shared" ca="1" si="13"/>
        <v>1686.6178406229158</v>
      </c>
      <c r="H242" s="1">
        <f t="shared" ca="1" si="14"/>
        <v>0.16119830264961443</v>
      </c>
    </row>
    <row r="243" spans="5:8" x14ac:dyDescent="0.3">
      <c r="E243" s="1">
        <f t="shared" si="15"/>
        <v>239</v>
      </c>
      <c r="F243" s="1">
        <f t="shared" ca="1" si="12"/>
        <v>1.2825017792944253</v>
      </c>
      <c r="G243" s="1">
        <f t="shared" ca="1" si="13"/>
        <v>1504.6745521882103</v>
      </c>
      <c r="H243" s="1">
        <f t="shared" ca="1" si="14"/>
        <v>0.14380909415924786</v>
      </c>
    </row>
    <row r="244" spans="5:8" x14ac:dyDescent="0.3">
      <c r="E244" s="1">
        <f t="shared" si="15"/>
        <v>240</v>
      </c>
      <c r="F244" s="1">
        <f t="shared" ca="1" si="12"/>
        <v>0.98190485443372111</v>
      </c>
      <c r="G244" s="1">
        <f t="shared" ca="1" si="13"/>
        <v>2161.0655122371654</v>
      </c>
      <c r="H244" s="1">
        <f t="shared" ca="1" si="14"/>
        <v>0.20654358331617753</v>
      </c>
    </row>
    <row r="245" spans="5:8" x14ac:dyDescent="0.3">
      <c r="E245" s="1">
        <f t="shared" si="15"/>
        <v>241</v>
      </c>
      <c r="F245" s="1">
        <f t="shared" ca="1" si="12"/>
        <v>1.3925755526988659</v>
      </c>
      <c r="G245" s="1">
        <f t="shared" ca="1" si="13"/>
        <v>1264.3147087379389</v>
      </c>
      <c r="H245" s="1">
        <f t="shared" ca="1" si="14"/>
        <v>0.12083673026263393</v>
      </c>
    </row>
    <row r="246" spans="5:8" x14ac:dyDescent="0.3">
      <c r="E246" s="1">
        <f t="shared" si="15"/>
        <v>242</v>
      </c>
      <c r="F246" s="1">
        <f t="shared" ca="1" si="12"/>
        <v>1.3421022566997265</v>
      </c>
      <c r="G246" s="1">
        <f t="shared" ca="1" si="13"/>
        <v>1374.5294597140596</v>
      </c>
      <c r="H246" s="1">
        <f t="shared" ca="1" si="14"/>
        <v>0.13137049218331831</v>
      </c>
    </row>
    <row r="247" spans="5:8" x14ac:dyDescent="0.3">
      <c r="E247" s="1">
        <f t="shared" si="15"/>
        <v>243</v>
      </c>
      <c r="F247" s="1">
        <f t="shared" ca="1" si="12"/>
        <v>1.1247664727004065</v>
      </c>
      <c r="G247" s="1">
        <f t="shared" ca="1" si="13"/>
        <v>1849.1093110495747</v>
      </c>
      <c r="H247" s="1">
        <f t="shared" ca="1" si="14"/>
        <v>0.17672840591126585</v>
      </c>
    </row>
    <row r="248" spans="5:8" x14ac:dyDescent="0.3">
      <c r="E248" s="1">
        <f t="shared" si="15"/>
        <v>244</v>
      </c>
      <c r="F248" s="1">
        <f t="shared" ca="1" si="12"/>
        <v>1.221647470073947</v>
      </c>
      <c r="G248" s="1">
        <f t="shared" ca="1" si="13"/>
        <v>1637.5575431597772</v>
      </c>
      <c r="H248" s="1">
        <f t="shared" ca="1" si="14"/>
        <v>0.1565093704635169</v>
      </c>
    </row>
    <row r="249" spans="5:8" x14ac:dyDescent="0.3">
      <c r="E249" s="1">
        <f t="shared" si="15"/>
        <v>245</v>
      </c>
      <c r="F249" s="1">
        <f t="shared" ca="1" si="12"/>
        <v>1.1739198252362515</v>
      </c>
      <c r="G249" s="1">
        <f t="shared" ca="1" si="13"/>
        <v>1741.7768216184902</v>
      </c>
      <c r="H249" s="1">
        <f t="shared" ca="1" si="14"/>
        <v>0.16647011580029536</v>
      </c>
    </row>
    <row r="250" spans="5:8" x14ac:dyDescent="0.3">
      <c r="E250" s="1">
        <f t="shared" si="15"/>
        <v>246</v>
      </c>
      <c r="F250" s="1">
        <f t="shared" ca="1" si="12"/>
        <v>1.3515553912158929</v>
      </c>
      <c r="G250" s="1">
        <f t="shared" ca="1" si="13"/>
        <v>1353.8873588561958</v>
      </c>
      <c r="H250" s="1">
        <f t="shared" ca="1" si="14"/>
        <v>0.12939762581058928</v>
      </c>
    </row>
    <row r="251" spans="5:8" x14ac:dyDescent="0.3">
      <c r="E251" s="1">
        <f t="shared" si="15"/>
        <v>247</v>
      </c>
      <c r="F251" s="1">
        <f t="shared" ca="1" si="12"/>
        <v>1.0669390123409987</v>
      </c>
      <c r="G251" s="1">
        <f t="shared" ca="1" si="13"/>
        <v>1975.3827991768865</v>
      </c>
      <c r="H251" s="1">
        <f t="shared" ca="1" si="14"/>
        <v>0.18879697975503074</v>
      </c>
    </row>
    <row r="252" spans="5:8" x14ac:dyDescent="0.3">
      <c r="E252" s="1">
        <f t="shared" si="15"/>
        <v>248</v>
      </c>
      <c r="F252" s="1">
        <f t="shared" ca="1" si="12"/>
        <v>1.0770614029249448</v>
      </c>
      <c r="G252" s="1">
        <f t="shared" ca="1" si="13"/>
        <v>1953.2792940380173</v>
      </c>
      <c r="H252" s="1">
        <f t="shared" ca="1" si="14"/>
        <v>0.18668443983924471</v>
      </c>
    </row>
    <row r="253" spans="5:8" x14ac:dyDescent="0.3">
      <c r="E253" s="1">
        <f t="shared" si="15"/>
        <v>249</v>
      </c>
      <c r="F253" s="1">
        <f t="shared" ca="1" si="12"/>
        <v>1.1086697969565726</v>
      </c>
      <c r="G253" s="1">
        <f t="shared" ca="1" si="13"/>
        <v>1884.2584146207039</v>
      </c>
      <c r="H253" s="1">
        <f t="shared" ca="1" si="14"/>
        <v>0.18008777736984649</v>
      </c>
    </row>
    <row r="254" spans="5:8" x14ac:dyDescent="0.3">
      <c r="E254" s="1">
        <f t="shared" si="15"/>
        <v>250</v>
      </c>
      <c r="F254" s="1">
        <f t="shared" ca="1" si="12"/>
        <v>1.0658704500093634</v>
      </c>
      <c r="G254" s="1">
        <f t="shared" ca="1" si="13"/>
        <v>1977.7161385983036</v>
      </c>
      <c r="H254" s="1">
        <f t="shared" ca="1" si="14"/>
        <v>0.18901998839704709</v>
      </c>
    </row>
    <row r="255" spans="5:8" x14ac:dyDescent="0.3">
      <c r="E255" s="1">
        <f t="shared" si="15"/>
        <v>251</v>
      </c>
      <c r="F255" s="1">
        <f t="shared" ca="1" si="12"/>
        <v>1.3720268887058846</v>
      </c>
      <c r="G255" s="1">
        <f t="shared" ca="1" si="13"/>
        <v>1309.1852851496126</v>
      </c>
      <c r="H255" s="1">
        <f t="shared" ca="1" si="14"/>
        <v>0.12512523034976705</v>
      </c>
    </row>
    <row r="256" spans="5:8" x14ac:dyDescent="0.3">
      <c r="E256" s="1">
        <f t="shared" si="15"/>
        <v>252</v>
      </c>
      <c r="F256" s="1">
        <f t="shared" ca="1" si="12"/>
        <v>1.2575033421122515</v>
      </c>
      <c r="G256" s="1">
        <f t="shared" ca="1" si="13"/>
        <v>1559.2617645801347</v>
      </c>
      <c r="H256" s="1">
        <f t="shared" ca="1" si="14"/>
        <v>0.14902626059257715</v>
      </c>
    </row>
    <row r="257" spans="5:8" x14ac:dyDescent="0.3">
      <c r="E257" s="1">
        <f t="shared" si="15"/>
        <v>253</v>
      </c>
      <c r="F257" s="1">
        <f t="shared" ca="1" si="12"/>
        <v>1.0030490263047458</v>
      </c>
      <c r="G257" s="1">
        <f t="shared" ca="1" si="13"/>
        <v>2114.8945699352994</v>
      </c>
      <c r="H257" s="1">
        <f t="shared" ca="1" si="14"/>
        <v>0.20213080091133512</v>
      </c>
    </row>
    <row r="258" spans="5:8" x14ac:dyDescent="0.3">
      <c r="E258" s="1">
        <f t="shared" si="15"/>
        <v>254</v>
      </c>
      <c r="F258" s="1">
        <f t="shared" ca="1" si="12"/>
        <v>1.2892896304008223</v>
      </c>
      <c r="G258" s="1">
        <f t="shared" ca="1" si="13"/>
        <v>1489.8524308160042</v>
      </c>
      <c r="H258" s="1">
        <f t="shared" ca="1" si="14"/>
        <v>0.14239247164446184</v>
      </c>
    </row>
    <row r="259" spans="5:8" x14ac:dyDescent="0.3">
      <c r="E259" s="1">
        <f t="shared" si="15"/>
        <v>255</v>
      </c>
      <c r="F259" s="1">
        <f t="shared" ca="1" si="12"/>
        <v>1.1994944943992798</v>
      </c>
      <c r="G259" s="1">
        <f t="shared" ca="1" si="13"/>
        <v>1685.9313346673725</v>
      </c>
      <c r="H259" s="1">
        <f t="shared" ca="1" si="14"/>
        <v>0.16113268992328897</v>
      </c>
    </row>
    <row r="260" spans="5:8" x14ac:dyDescent="0.3">
      <c r="E260" s="1">
        <f t="shared" si="15"/>
        <v>256</v>
      </c>
      <c r="F260" s="1">
        <f t="shared" ca="1" si="12"/>
        <v>1.2655352516689382</v>
      </c>
      <c r="G260" s="1">
        <f t="shared" ca="1" si="13"/>
        <v>1541.7230860744146</v>
      </c>
      <c r="H260" s="1">
        <f t="shared" ca="1" si="14"/>
        <v>0.14735000344780796</v>
      </c>
    </row>
    <row r="261" spans="5:8" x14ac:dyDescent="0.3">
      <c r="E261" s="1">
        <f t="shared" si="15"/>
        <v>257</v>
      </c>
      <c r="F261" s="1">
        <f t="shared" ref="F261:F324" ca="1" si="16">_xlfn.NORM.INV(RAND(), $C$9, $C$9 * $C$10)</f>
        <v>1.0705773822570668</v>
      </c>
      <c r="G261" s="1">
        <f t="shared" ref="G261:G324" ca="1" si="17">$C$7 - ($C$6 + $C$8 * $C$11) - (($C$6 + $C$8 * $C$11) * (1 - $C$12) * (F261 - $C$13))</f>
        <v>1967.4379636689125</v>
      </c>
      <c r="H261" s="1">
        <f t="shared" ref="H261:H324" ca="1" si="18">G261 / $C$7</f>
        <v>0.18803765303153136</v>
      </c>
    </row>
    <row r="262" spans="5:8" x14ac:dyDescent="0.3">
      <c r="E262" s="1">
        <f t="shared" ref="E262:E325" si="19">ROW()-4</f>
        <v>258</v>
      </c>
      <c r="F262" s="1">
        <f t="shared" ca="1" si="16"/>
        <v>1.2885231311770218</v>
      </c>
      <c r="G262" s="1">
        <f t="shared" ca="1" si="17"/>
        <v>1491.5261776835757</v>
      </c>
      <c r="H262" s="1">
        <f t="shared" ca="1" si="18"/>
        <v>0.142552439805369</v>
      </c>
    </row>
    <row r="263" spans="5:8" x14ac:dyDescent="0.3">
      <c r="E263" s="1">
        <f t="shared" si="19"/>
        <v>259</v>
      </c>
      <c r="F263" s="1">
        <f t="shared" ca="1" si="16"/>
        <v>1.1842767906189828</v>
      </c>
      <c r="G263" s="1">
        <f t="shared" ca="1" si="17"/>
        <v>1719.1610930846234</v>
      </c>
      <c r="H263" s="1">
        <f t="shared" ca="1" si="18"/>
        <v>0.16430862019350315</v>
      </c>
    </row>
    <row r="264" spans="5:8" x14ac:dyDescent="0.3">
      <c r="E264" s="1">
        <f t="shared" si="19"/>
        <v>260</v>
      </c>
      <c r="F264" s="1">
        <f t="shared" ca="1" si="16"/>
        <v>1.1653067471045837</v>
      </c>
      <c r="G264" s="1">
        <f t="shared" ca="1" si="17"/>
        <v>1760.5845543537532</v>
      </c>
      <c r="H264" s="1">
        <f t="shared" ca="1" si="18"/>
        <v>0.16826766265447321</v>
      </c>
    </row>
    <row r="265" spans="5:8" x14ac:dyDescent="0.3">
      <c r="E265" s="1">
        <f t="shared" si="19"/>
        <v>261</v>
      </c>
      <c r="F265" s="1">
        <f t="shared" ca="1" si="16"/>
        <v>1.1489489999787579</v>
      </c>
      <c r="G265" s="1">
        <f t="shared" ca="1" si="17"/>
        <v>1796.3037399213847</v>
      </c>
      <c r="H265" s="1">
        <f t="shared" ca="1" si="18"/>
        <v>0.17168151963312478</v>
      </c>
    </row>
    <row r="266" spans="5:8" x14ac:dyDescent="0.3">
      <c r="E266" s="1">
        <f t="shared" si="19"/>
        <v>262</v>
      </c>
      <c r="F266" s="1">
        <f t="shared" ca="1" si="16"/>
        <v>1.288070497533794</v>
      </c>
      <c r="G266" s="1">
        <f t="shared" ca="1" si="17"/>
        <v>1492.5145598227689</v>
      </c>
      <c r="H266" s="1">
        <f t="shared" ca="1" si="18"/>
        <v>0.14264690431260335</v>
      </c>
    </row>
    <row r="267" spans="5:8" x14ac:dyDescent="0.3">
      <c r="E267" s="1">
        <f t="shared" si="19"/>
        <v>263</v>
      </c>
      <c r="F267" s="1">
        <f t="shared" ca="1" si="16"/>
        <v>1.1908418485605674</v>
      </c>
      <c r="G267" s="1">
        <f t="shared" ca="1" si="17"/>
        <v>1704.8254684369308</v>
      </c>
      <c r="H267" s="1">
        <f t="shared" ca="1" si="18"/>
        <v>0.16293849454620385</v>
      </c>
    </row>
    <row r="268" spans="5:8" x14ac:dyDescent="0.3">
      <c r="E268" s="1">
        <f t="shared" si="19"/>
        <v>264</v>
      </c>
      <c r="F268" s="1">
        <f t="shared" ca="1" si="16"/>
        <v>1.3549233146454489</v>
      </c>
      <c r="G268" s="1">
        <f t="shared" ca="1" si="17"/>
        <v>1346.5330770573314</v>
      </c>
      <c r="H268" s="1">
        <f t="shared" ca="1" si="18"/>
        <v>0.1286947411886965</v>
      </c>
    </row>
    <row r="269" spans="5:8" x14ac:dyDescent="0.3">
      <c r="E269" s="1">
        <f t="shared" si="19"/>
        <v>265</v>
      </c>
      <c r="F269" s="1">
        <f t="shared" ca="1" si="16"/>
        <v>1.456738481285947</v>
      </c>
      <c r="G269" s="1">
        <f t="shared" ca="1" si="17"/>
        <v>1124.2069338019739</v>
      </c>
      <c r="H269" s="1">
        <f t="shared" ca="1" si="18"/>
        <v>0.10744594607683972</v>
      </c>
    </row>
    <row r="270" spans="5:8" x14ac:dyDescent="0.3">
      <c r="E270" s="1">
        <f t="shared" si="19"/>
        <v>266</v>
      </c>
      <c r="F270" s="1">
        <f t="shared" ca="1" si="16"/>
        <v>1.0920251275846635</v>
      </c>
      <c r="G270" s="1">
        <f t="shared" ca="1" si="17"/>
        <v>1920.604130777939</v>
      </c>
      <c r="H270" s="1">
        <f t="shared" ca="1" si="18"/>
        <v>0.18356151493624573</v>
      </c>
    </row>
    <row r="271" spans="5:8" x14ac:dyDescent="0.3">
      <c r="E271" s="1">
        <f t="shared" si="19"/>
        <v>267</v>
      </c>
      <c r="F271" s="1">
        <f t="shared" ca="1" si="16"/>
        <v>1.3025032286281226</v>
      </c>
      <c r="G271" s="1">
        <f t="shared" ca="1" si="17"/>
        <v>1460.9988873869156</v>
      </c>
      <c r="H271" s="1">
        <f t="shared" ca="1" si="18"/>
        <v>0.13963479760937739</v>
      </c>
    </row>
    <row r="272" spans="5:8" x14ac:dyDescent="0.3">
      <c r="E272" s="1">
        <f t="shared" si="19"/>
        <v>268</v>
      </c>
      <c r="F272" s="1">
        <f t="shared" ca="1" si="16"/>
        <v>1.2677710014642143</v>
      </c>
      <c r="G272" s="1">
        <f t="shared" ca="1" si="17"/>
        <v>1536.8410469277051</v>
      </c>
      <c r="H272" s="1">
        <f t="shared" ca="1" si="18"/>
        <v>0.14688340312794659</v>
      </c>
    </row>
    <row r="273" spans="5:8" x14ac:dyDescent="0.3">
      <c r="E273" s="1">
        <f t="shared" si="19"/>
        <v>269</v>
      </c>
      <c r="F273" s="1">
        <f t="shared" ca="1" si="16"/>
        <v>1.1602466979947172</v>
      </c>
      <c r="G273" s="1">
        <f t="shared" ca="1" si="17"/>
        <v>1771.6338040912854</v>
      </c>
      <c r="H273" s="1">
        <f t="shared" ca="1" si="18"/>
        <v>0.16932369340450018</v>
      </c>
    </row>
    <row r="274" spans="5:8" x14ac:dyDescent="0.3">
      <c r="E274" s="1">
        <f t="shared" si="19"/>
        <v>270</v>
      </c>
      <c r="F274" s="1">
        <f t="shared" ca="1" si="16"/>
        <v>1.0467729257858804</v>
      </c>
      <c r="G274" s="1">
        <f t="shared" ca="1" si="17"/>
        <v>2019.4179699308067</v>
      </c>
      <c r="H274" s="1">
        <f t="shared" ca="1" si="18"/>
        <v>0.19300563604423271</v>
      </c>
    </row>
    <row r="275" spans="5:8" x14ac:dyDescent="0.3">
      <c r="E275" s="1">
        <f t="shared" si="19"/>
        <v>271</v>
      </c>
      <c r="F275" s="1">
        <f t="shared" ca="1" si="16"/>
        <v>1.1593445783693404</v>
      </c>
      <c r="G275" s="1">
        <f t="shared" ca="1" si="17"/>
        <v>1773.6036950582491</v>
      </c>
      <c r="H275" s="1">
        <f t="shared" ca="1" si="18"/>
        <v>0.16951196550303441</v>
      </c>
    </row>
    <row r="276" spans="5:8" x14ac:dyDescent="0.3">
      <c r="E276" s="1">
        <f t="shared" si="19"/>
        <v>272</v>
      </c>
      <c r="F276" s="1">
        <f t="shared" ca="1" si="16"/>
        <v>1.0093769974407589</v>
      </c>
      <c r="G276" s="1">
        <f t="shared" ca="1" si="17"/>
        <v>2101.0766539634228</v>
      </c>
      <c r="H276" s="1">
        <f t="shared" ca="1" si="18"/>
        <v>0.200810155210114</v>
      </c>
    </row>
    <row r="277" spans="5:8" x14ac:dyDescent="0.3">
      <c r="E277" s="1">
        <f t="shared" si="19"/>
        <v>273</v>
      </c>
      <c r="F277" s="1">
        <f t="shared" ca="1" si="16"/>
        <v>1.0068779733854054</v>
      </c>
      <c r="G277" s="1">
        <f t="shared" ca="1" si="17"/>
        <v>2106.5335853662941</v>
      </c>
      <c r="H277" s="1">
        <f t="shared" ca="1" si="18"/>
        <v>0.20133170079005008</v>
      </c>
    </row>
    <row r="278" spans="5:8" x14ac:dyDescent="0.3">
      <c r="E278" s="1">
        <f t="shared" si="19"/>
        <v>274</v>
      </c>
      <c r="F278" s="1">
        <f t="shared" ca="1" si="16"/>
        <v>1.3592549865200938</v>
      </c>
      <c r="G278" s="1">
        <f t="shared" ca="1" si="17"/>
        <v>1337.07433006006</v>
      </c>
      <c r="H278" s="1">
        <f t="shared" ca="1" si="18"/>
        <v>0.12779072255185511</v>
      </c>
    </row>
    <row r="279" spans="5:8" x14ac:dyDescent="0.3">
      <c r="E279" s="1">
        <f t="shared" si="19"/>
        <v>275</v>
      </c>
      <c r="F279" s="1">
        <f t="shared" ca="1" si="16"/>
        <v>1.1609674985328498</v>
      </c>
      <c r="G279" s="1">
        <f t="shared" ca="1" si="17"/>
        <v>1770.0598460162059</v>
      </c>
      <c r="H279" s="1">
        <f t="shared" ca="1" si="18"/>
        <v>0.16917326254575227</v>
      </c>
    </row>
    <row r="280" spans="5:8" x14ac:dyDescent="0.3">
      <c r="E280" s="1">
        <f t="shared" si="19"/>
        <v>276</v>
      </c>
      <c r="F280" s="1">
        <f t="shared" ca="1" si="16"/>
        <v>1.1011267790580133</v>
      </c>
      <c r="G280" s="1">
        <f t="shared" ca="1" si="17"/>
        <v>1900.7295370794457</v>
      </c>
      <c r="H280" s="1">
        <f t="shared" ca="1" si="18"/>
        <v>0.18166200297041438</v>
      </c>
    </row>
    <row r="281" spans="5:8" x14ac:dyDescent="0.3">
      <c r="E281" s="1">
        <f t="shared" si="19"/>
        <v>277</v>
      </c>
      <c r="F281" s="1">
        <f t="shared" ca="1" si="16"/>
        <v>1.2725647760819743</v>
      </c>
      <c r="G281" s="1">
        <f t="shared" ca="1" si="17"/>
        <v>1526.3732408279989</v>
      </c>
      <c r="H281" s="1">
        <f t="shared" ca="1" si="18"/>
        <v>0.14588294378552985</v>
      </c>
    </row>
    <row r="282" spans="5:8" x14ac:dyDescent="0.3">
      <c r="E282" s="1">
        <f t="shared" si="19"/>
        <v>278</v>
      </c>
      <c r="F282" s="1">
        <f t="shared" ca="1" si="16"/>
        <v>1.1927235926012294</v>
      </c>
      <c r="G282" s="1">
        <f t="shared" ca="1" si="17"/>
        <v>1700.7164451061403</v>
      </c>
      <c r="H282" s="1">
        <f t="shared" ca="1" si="18"/>
        <v>0.16254577512244484</v>
      </c>
    </row>
    <row r="283" spans="5:8" x14ac:dyDescent="0.3">
      <c r="E283" s="1">
        <f t="shared" si="19"/>
        <v>279</v>
      </c>
      <c r="F283" s="1">
        <f t="shared" ca="1" si="16"/>
        <v>1.2915874125183626</v>
      </c>
      <c r="G283" s="1">
        <f t="shared" ca="1" si="17"/>
        <v>1484.8349363395903</v>
      </c>
      <c r="H283" s="1">
        <f t="shared" ca="1" si="18"/>
        <v>0.14191292519732299</v>
      </c>
    </row>
    <row r="284" spans="5:8" x14ac:dyDescent="0.3">
      <c r="E284" s="1">
        <f t="shared" si="19"/>
        <v>280</v>
      </c>
      <c r="F284" s="1">
        <f t="shared" ca="1" si="16"/>
        <v>1.1526773423021253</v>
      </c>
      <c r="G284" s="1">
        <f t="shared" ca="1" si="17"/>
        <v>1788.1624384155216</v>
      </c>
      <c r="H284" s="1">
        <f t="shared" ca="1" si="18"/>
        <v>0.17090341569487924</v>
      </c>
    </row>
    <row r="285" spans="5:8" x14ac:dyDescent="0.3">
      <c r="E285" s="1">
        <f t="shared" si="19"/>
        <v>281</v>
      </c>
      <c r="F285" s="1">
        <f t="shared" ca="1" si="16"/>
        <v>1.2181278497816375</v>
      </c>
      <c r="G285" s="1">
        <f t="shared" ca="1" si="17"/>
        <v>1645.2430740205718</v>
      </c>
      <c r="H285" s="1">
        <f t="shared" ca="1" si="18"/>
        <v>0.15724391417572128</v>
      </c>
    </row>
    <row r="286" spans="5:8" x14ac:dyDescent="0.3">
      <c r="E286" s="1">
        <f t="shared" si="19"/>
        <v>282</v>
      </c>
      <c r="F286" s="1">
        <f t="shared" ca="1" si="16"/>
        <v>1.0510060765911862</v>
      </c>
      <c r="G286" s="1">
        <f t="shared" ca="1" si="17"/>
        <v>2010.1743560035709</v>
      </c>
      <c r="H286" s="1">
        <f t="shared" ca="1" si="18"/>
        <v>0.19212217872537235</v>
      </c>
    </row>
    <row r="287" spans="5:8" x14ac:dyDescent="0.3">
      <c r="E287" s="1">
        <f t="shared" si="19"/>
        <v>283</v>
      </c>
      <c r="F287" s="1">
        <f t="shared" ca="1" si="16"/>
        <v>1.1475004184645705</v>
      </c>
      <c r="G287" s="1">
        <f t="shared" ca="1" si="17"/>
        <v>1799.4668987303021</v>
      </c>
      <c r="H287" s="1">
        <f t="shared" ca="1" si="18"/>
        <v>0.17198383816594687</v>
      </c>
    </row>
    <row r="288" spans="5:8" x14ac:dyDescent="0.3">
      <c r="E288" s="1">
        <f t="shared" si="19"/>
        <v>284</v>
      </c>
      <c r="F288" s="1">
        <f t="shared" ca="1" si="16"/>
        <v>0.99991672089994632</v>
      </c>
      <c r="G288" s="1">
        <f t="shared" ca="1" si="17"/>
        <v>2121.7343503248544</v>
      </c>
      <c r="H288" s="1">
        <f t="shared" ca="1" si="18"/>
        <v>0.2027845121212706</v>
      </c>
    </row>
    <row r="289" spans="5:8" x14ac:dyDescent="0.3">
      <c r="E289" s="1">
        <f t="shared" si="19"/>
        <v>285</v>
      </c>
      <c r="F289" s="1">
        <f t="shared" ca="1" si="16"/>
        <v>1.0275922114422567</v>
      </c>
      <c r="G289" s="1">
        <f t="shared" ca="1" si="17"/>
        <v>2061.3014572894022</v>
      </c>
      <c r="H289" s="1">
        <f t="shared" ca="1" si="18"/>
        <v>0.19700864544484395</v>
      </c>
    </row>
    <row r="290" spans="5:8" x14ac:dyDescent="0.3">
      <c r="E290" s="1">
        <f t="shared" si="19"/>
        <v>286</v>
      </c>
      <c r="F290" s="1">
        <f t="shared" ca="1" si="16"/>
        <v>1.1571072776758222</v>
      </c>
      <c r="G290" s="1">
        <f t="shared" ca="1" si="17"/>
        <v>1778.4891207851326</v>
      </c>
      <c r="H290" s="1">
        <f t="shared" ca="1" si="18"/>
        <v>0.16997888949489942</v>
      </c>
    </row>
    <row r="291" spans="5:8" x14ac:dyDescent="0.3">
      <c r="E291" s="1">
        <f t="shared" si="19"/>
        <v>287</v>
      </c>
      <c r="F291" s="1">
        <f t="shared" ca="1" si="16"/>
        <v>1.1906966792026639</v>
      </c>
      <c r="G291" s="1">
        <f t="shared" ca="1" si="17"/>
        <v>1705.142463876083</v>
      </c>
      <c r="H291" s="1">
        <f t="shared" ca="1" si="18"/>
        <v>0.16296879134818723</v>
      </c>
    </row>
    <row r="292" spans="5:8" x14ac:dyDescent="0.3">
      <c r="E292" s="1">
        <f t="shared" si="19"/>
        <v>288</v>
      </c>
      <c r="F292" s="1">
        <f t="shared" ca="1" si="16"/>
        <v>1.3599036665478119</v>
      </c>
      <c r="G292" s="1">
        <f t="shared" ca="1" si="17"/>
        <v>1335.6578561345341</v>
      </c>
      <c r="H292" s="1">
        <f t="shared" ca="1" si="18"/>
        <v>0.12765534322226266</v>
      </c>
    </row>
    <row r="293" spans="5:8" x14ac:dyDescent="0.3">
      <c r="E293" s="1">
        <f t="shared" si="19"/>
        <v>289</v>
      </c>
      <c r="F293" s="1">
        <f t="shared" ca="1" si="16"/>
        <v>1.3693495925628152</v>
      </c>
      <c r="G293" s="1">
        <f t="shared" ca="1" si="17"/>
        <v>1315.0314959400225</v>
      </c>
      <c r="H293" s="1">
        <f t="shared" ca="1" si="18"/>
        <v>0.12568398126159061</v>
      </c>
    </row>
    <row r="294" spans="5:8" x14ac:dyDescent="0.3">
      <c r="E294" s="1">
        <f t="shared" si="19"/>
        <v>290</v>
      </c>
      <c r="F294" s="1">
        <f t="shared" ca="1" si="16"/>
        <v>1.2580182024926976</v>
      </c>
      <c r="G294" s="1">
        <f t="shared" ca="1" si="17"/>
        <v>1558.1375025818832</v>
      </c>
      <c r="H294" s="1">
        <f t="shared" ca="1" si="18"/>
        <v>0.14891880938372198</v>
      </c>
    </row>
    <row r="295" spans="5:8" x14ac:dyDescent="0.3">
      <c r="E295" s="1">
        <f t="shared" si="19"/>
        <v>291</v>
      </c>
      <c r="F295" s="1">
        <f t="shared" ca="1" si="16"/>
        <v>1.041948852954053</v>
      </c>
      <c r="G295" s="1">
        <f t="shared" ca="1" si="17"/>
        <v>2029.9519359682058</v>
      </c>
      <c r="H295" s="1">
        <f t="shared" ca="1" si="18"/>
        <v>0.19401241861494847</v>
      </c>
    </row>
    <row r="296" spans="5:8" x14ac:dyDescent="0.3">
      <c r="E296" s="1">
        <f t="shared" si="19"/>
        <v>292</v>
      </c>
      <c r="F296" s="1">
        <f t="shared" ca="1" si="16"/>
        <v>1.5077573858590378</v>
      </c>
      <c r="G296" s="1">
        <f t="shared" ca="1" si="17"/>
        <v>1012.8007783035583</v>
      </c>
      <c r="H296" s="1">
        <f t="shared" ca="1" si="18"/>
        <v>9.6798315808425725E-2</v>
      </c>
    </row>
    <row r="297" spans="5:8" x14ac:dyDescent="0.3">
      <c r="E297" s="1">
        <f t="shared" si="19"/>
        <v>293</v>
      </c>
      <c r="F297" s="1">
        <f t="shared" ca="1" si="16"/>
        <v>1.1625351561009083</v>
      </c>
      <c r="G297" s="1">
        <f t="shared" ca="1" si="17"/>
        <v>1766.6366697591541</v>
      </c>
      <c r="H297" s="1">
        <f t="shared" ca="1" si="18"/>
        <v>0.16884609287576738</v>
      </c>
    </row>
    <row r="298" spans="5:8" x14ac:dyDescent="0.3">
      <c r="E298" s="1">
        <f t="shared" si="19"/>
        <v>294</v>
      </c>
      <c r="F298" s="1">
        <f t="shared" ca="1" si="16"/>
        <v>1.4189541524592302</v>
      </c>
      <c r="G298" s="1">
        <f t="shared" ca="1" si="17"/>
        <v>1206.7137388362135</v>
      </c>
      <c r="H298" s="1">
        <f t="shared" ca="1" si="18"/>
        <v>0.11533152430815383</v>
      </c>
    </row>
    <row r="299" spans="5:8" x14ac:dyDescent="0.3">
      <c r="E299" s="1">
        <f t="shared" si="19"/>
        <v>295</v>
      </c>
      <c r="F299" s="1">
        <f t="shared" ca="1" si="16"/>
        <v>1.2850662096120447</v>
      </c>
      <c r="G299" s="1">
        <f t="shared" ca="1" si="17"/>
        <v>1499.0747980358988</v>
      </c>
      <c r="H299" s="1">
        <f t="shared" ca="1" si="18"/>
        <v>0.1432738983117556</v>
      </c>
    </row>
    <row r="300" spans="5:8" x14ac:dyDescent="0.3">
      <c r="E300" s="1">
        <f t="shared" si="19"/>
        <v>296</v>
      </c>
      <c r="F300" s="1">
        <f t="shared" ca="1" si="16"/>
        <v>0.8785286493096649</v>
      </c>
      <c r="G300" s="1">
        <f t="shared" ca="1" si="17"/>
        <v>2386.8003781511829</v>
      </c>
      <c r="H300" s="1">
        <f t="shared" ca="1" si="18"/>
        <v>0.2281181666970451</v>
      </c>
    </row>
    <row r="301" spans="5:8" x14ac:dyDescent="0.3">
      <c r="E301" s="1">
        <f t="shared" si="19"/>
        <v>297</v>
      </c>
      <c r="F301" s="1">
        <f t="shared" ca="1" si="16"/>
        <v>0.90312945423930846</v>
      </c>
      <c r="G301" s="1">
        <f t="shared" ca="1" si="17"/>
        <v>2333.08144548669</v>
      </c>
      <c r="H301" s="1">
        <f t="shared" ca="1" si="18"/>
        <v>0.22298398599700756</v>
      </c>
    </row>
    <row r="302" spans="5:8" x14ac:dyDescent="0.3">
      <c r="E302" s="1">
        <f t="shared" si="19"/>
        <v>298</v>
      </c>
      <c r="F302" s="1">
        <f t="shared" ca="1" si="16"/>
        <v>0.93678891769556938</v>
      </c>
      <c r="G302" s="1">
        <f t="shared" ca="1" si="17"/>
        <v>2259.5817995970119</v>
      </c>
      <c r="H302" s="1">
        <f t="shared" ca="1" si="18"/>
        <v>0.21595926594638362</v>
      </c>
    </row>
    <row r="303" spans="5:8" x14ac:dyDescent="0.3">
      <c r="E303" s="1">
        <f t="shared" si="19"/>
        <v>299</v>
      </c>
      <c r="F303" s="1">
        <f t="shared" ca="1" si="16"/>
        <v>1.0913464374923181</v>
      </c>
      <c r="G303" s="1">
        <f t="shared" ca="1" si="17"/>
        <v>1922.0861354308367</v>
      </c>
      <c r="H303" s="1">
        <f t="shared" ca="1" si="18"/>
        <v>0.18370315735743445</v>
      </c>
    </row>
    <row r="304" spans="5:8" x14ac:dyDescent="0.3">
      <c r="E304" s="1">
        <f t="shared" si="19"/>
        <v>300</v>
      </c>
      <c r="F304" s="1">
        <f t="shared" ca="1" si="16"/>
        <v>1.0997170023089411</v>
      </c>
      <c r="G304" s="1">
        <f t="shared" ca="1" si="17"/>
        <v>1903.8079608331384</v>
      </c>
      <c r="H304" s="1">
        <f t="shared" ca="1" si="18"/>
        <v>0.18195622296025407</v>
      </c>
    </row>
    <row r="305" spans="5:8" x14ac:dyDescent="0.3">
      <c r="E305" s="1">
        <f t="shared" si="19"/>
        <v>301</v>
      </c>
      <c r="F305" s="1">
        <f t="shared" ca="1" si="16"/>
        <v>1.0387693304828332</v>
      </c>
      <c r="G305" s="1">
        <f t="shared" ca="1" si="17"/>
        <v>2036.8948207244234</v>
      </c>
      <c r="H305" s="1">
        <f t="shared" ca="1" si="18"/>
        <v>0.19467598401265634</v>
      </c>
    </row>
    <row r="306" spans="5:8" x14ac:dyDescent="0.3">
      <c r="E306" s="1">
        <f t="shared" si="19"/>
        <v>302</v>
      </c>
      <c r="F306" s="1">
        <f t="shared" ca="1" si="16"/>
        <v>1.0612785188957032</v>
      </c>
      <c r="G306" s="1">
        <f t="shared" ca="1" si="17"/>
        <v>1987.7431941763698</v>
      </c>
      <c r="H306" s="1">
        <f t="shared" ca="1" si="18"/>
        <v>0.18997832305996079</v>
      </c>
    </row>
    <row r="307" spans="5:8" x14ac:dyDescent="0.3">
      <c r="E307" s="1">
        <f t="shared" si="19"/>
        <v>303</v>
      </c>
      <c r="F307" s="1">
        <f t="shared" ca="1" si="16"/>
        <v>1.3527627145368324</v>
      </c>
      <c r="G307" s="1">
        <f t="shared" ca="1" si="17"/>
        <v>1351.2510174695092</v>
      </c>
      <c r="H307" s="1">
        <f t="shared" ca="1" si="18"/>
        <v>0.12914565779121753</v>
      </c>
    </row>
    <row r="308" spans="5:8" x14ac:dyDescent="0.3">
      <c r="E308" s="1">
        <f t="shared" si="19"/>
        <v>304</v>
      </c>
      <c r="F308" s="1">
        <f t="shared" ca="1" si="16"/>
        <v>1.2541056464736502</v>
      </c>
      <c r="G308" s="1">
        <f t="shared" ca="1" si="17"/>
        <v>1566.6810577189754</v>
      </c>
      <c r="H308" s="1">
        <f t="shared" ca="1" si="18"/>
        <v>0.14973535866567669</v>
      </c>
    </row>
    <row r="309" spans="5:8" x14ac:dyDescent="0.3">
      <c r="E309" s="1">
        <f t="shared" si="19"/>
        <v>305</v>
      </c>
      <c r="F309" s="1">
        <f t="shared" ca="1" si="16"/>
        <v>1.2426282234335666</v>
      </c>
      <c r="G309" s="1">
        <f t="shared" ca="1" si="17"/>
        <v>1591.7434456048779</v>
      </c>
      <c r="H309" s="1">
        <f t="shared" ca="1" si="18"/>
        <v>0.15213069345358674</v>
      </c>
    </row>
    <row r="310" spans="5:8" x14ac:dyDescent="0.3">
      <c r="E310" s="1">
        <f t="shared" si="19"/>
        <v>306</v>
      </c>
      <c r="F310" s="1">
        <f t="shared" ca="1" si="16"/>
        <v>1.1581903470588435</v>
      </c>
      <c r="G310" s="1">
        <f t="shared" ca="1" si="17"/>
        <v>1776.1241034036327</v>
      </c>
      <c r="H310" s="1">
        <f t="shared" ca="1" si="18"/>
        <v>0.16975285323555697</v>
      </c>
    </row>
    <row r="311" spans="5:8" x14ac:dyDescent="0.3">
      <c r="E311" s="1">
        <f t="shared" si="19"/>
        <v>307</v>
      </c>
      <c r="F311" s="1">
        <f t="shared" ca="1" si="16"/>
        <v>1.3120789334757852</v>
      </c>
      <c r="G311" s="1">
        <f t="shared" ca="1" si="17"/>
        <v>1440.0891388889384</v>
      </c>
      <c r="H311" s="1">
        <f t="shared" ca="1" si="18"/>
        <v>0.13763635084478049</v>
      </c>
    </row>
    <row r="312" spans="5:8" x14ac:dyDescent="0.3">
      <c r="E312" s="1">
        <f t="shared" si="19"/>
        <v>308</v>
      </c>
      <c r="F312" s="1">
        <f t="shared" ca="1" si="16"/>
        <v>1.041222562587889</v>
      </c>
      <c r="G312" s="1">
        <f t="shared" ca="1" si="17"/>
        <v>2031.5378817690207</v>
      </c>
      <c r="H312" s="1">
        <f t="shared" ca="1" si="18"/>
        <v>0.19416399519918004</v>
      </c>
    </row>
    <row r="313" spans="5:8" x14ac:dyDescent="0.3">
      <c r="E313" s="1">
        <f t="shared" si="19"/>
        <v>309</v>
      </c>
      <c r="F313" s="1">
        <f t="shared" ca="1" si="16"/>
        <v>1.2300309717063971</v>
      </c>
      <c r="G313" s="1">
        <f t="shared" ca="1" si="17"/>
        <v>1619.2511194076185</v>
      </c>
      <c r="H313" s="1">
        <f t="shared" ca="1" si="18"/>
        <v>0.15475973615670635</v>
      </c>
    </row>
    <row r="314" spans="5:8" x14ac:dyDescent="0.3">
      <c r="E314" s="1">
        <f t="shared" si="19"/>
        <v>310</v>
      </c>
      <c r="F314" s="1">
        <f t="shared" ca="1" si="16"/>
        <v>1.1201733898083832</v>
      </c>
      <c r="G314" s="1">
        <f t="shared" ca="1" si="17"/>
        <v>1859.1388816796691</v>
      </c>
      <c r="H314" s="1">
        <f t="shared" ca="1" si="18"/>
        <v>0.1776869809499827</v>
      </c>
    </row>
    <row r="315" spans="5:8" x14ac:dyDescent="0.3">
      <c r="E315" s="1">
        <f t="shared" si="19"/>
        <v>311</v>
      </c>
      <c r="F315" s="1">
        <f t="shared" ca="1" si="16"/>
        <v>1.2825850793285478</v>
      </c>
      <c r="G315" s="1">
        <f t="shared" ca="1" si="17"/>
        <v>1504.4926561511998</v>
      </c>
      <c r="H315" s="1">
        <f t="shared" ca="1" si="18"/>
        <v>0.14379170946680683</v>
      </c>
    </row>
    <row r="316" spans="5:8" x14ac:dyDescent="0.3">
      <c r="E316" s="1">
        <f t="shared" si="19"/>
        <v>312</v>
      </c>
      <c r="F316" s="1">
        <f t="shared" ca="1" si="16"/>
        <v>1.123462793923321</v>
      </c>
      <c r="G316" s="1">
        <f t="shared" ca="1" si="17"/>
        <v>1851.9560566191878</v>
      </c>
      <c r="H316" s="1">
        <f t="shared" ca="1" si="18"/>
        <v>0.17700048328578685</v>
      </c>
    </row>
    <row r="317" spans="5:8" x14ac:dyDescent="0.3">
      <c r="E317" s="1">
        <f t="shared" si="19"/>
        <v>313</v>
      </c>
      <c r="F317" s="1">
        <f t="shared" ca="1" si="16"/>
        <v>0.90071249593985259</v>
      </c>
      <c r="G317" s="1">
        <f t="shared" ca="1" si="17"/>
        <v>2338.3591760533391</v>
      </c>
      <c r="H317" s="1">
        <f t="shared" ca="1" si="18"/>
        <v>0.22348840447800239</v>
      </c>
    </row>
    <row r="318" spans="5:8" x14ac:dyDescent="0.3">
      <c r="E318" s="1">
        <f t="shared" si="19"/>
        <v>314</v>
      </c>
      <c r="F318" s="1">
        <f t="shared" ca="1" si="16"/>
        <v>1.0833320603015166</v>
      </c>
      <c r="G318" s="1">
        <f t="shared" ca="1" si="17"/>
        <v>1939.5865298241006</v>
      </c>
      <c r="H318" s="1">
        <f t="shared" ca="1" si="18"/>
        <v>0.18537575550263793</v>
      </c>
    </row>
    <row r="319" spans="5:8" x14ac:dyDescent="0.3">
      <c r="E319" s="1">
        <f t="shared" si="19"/>
        <v>315</v>
      </c>
      <c r="F319" s="1">
        <f t="shared" ca="1" si="16"/>
        <v>1.0303043800834859</v>
      </c>
      <c r="G319" s="1">
        <f t="shared" ca="1" si="17"/>
        <v>2055.3790980401982</v>
      </c>
      <c r="H319" s="1">
        <f t="shared" ca="1" si="18"/>
        <v>0.19644261665298654</v>
      </c>
    </row>
    <row r="320" spans="5:8" x14ac:dyDescent="0.3">
      <c r="E320" s="1">
        <f t="shared" si="19"/>
        <v>316</v>
      </c>
      <c r="F320" s="1">
        <f t="shared" ca="1" si="16"/>
        <v>1.0550073915545719</v>
      </c>
      <c r="G320" s="1">
        <f t="shared" ca="1" si="17"/>
        <v>2001.4369846166478</v>
      </c>
      <c r="H320" s="1">
        <f t="shared" ca="1" si="18"/>
        <v>0.1912871054780319</v>
      </c>
    </row>
    <row r="321" spans="5:8" x14ac:dyDescent="0.3">
      <c r="E321" s="1">
        <f t="shared" si="19"/>
        <v>317</v>
      </c>
      <c r="F321" s="1">
        <f t="shared" ca="1" si="16"/>
        <v>1.2398834701620458</v>
      </c>
      <c r="G321" s="1">
        <f t="shared" ca="1" si="17"/>
        <v>1597.7369574674026</v>
      </c>
      <c r="H321" s="1">
        <f t="shared" ca="1" si="18"/>
        <v>0.15270352264813175</v>
      </c>
    </row>
    <row r="322" spans="5:8" x14ac:dyDescent="0.3">
      <c r="E322" s="1">
        <f t="shared" si="19"/>
        <v>318</v>
      </c>
      <c r="F322" s="1">
        <f t="shared" ca="1" si="16"/>
        <v>0.94940373237787501</v>
      </c>
      <c r="G322" s="1">
        <f t="shared" ca="1" si="17"/>
        <v>2232.0357748863626</v>
      </c>
      <c r="H322" s="1">
        <f t="shared" ca="1" si="18"/>
        <v>0.21332655785973073</v>
      </c>
    </row>
    <row r="323" spans="5:8" x14ac:dyDescent="0.3">
      <c r="E323" s="1">
        <f t="shared" si="19"/>
        <v>319</v>
      </c>
      <c r="F323" s="1">
        <f t="shared" ca="1" si="16"/>
        <v>1.2597766003268653</v>
      </c>
      <c r="G323" s="1">
        <f t="shared" ca="1" si="17"/>
        <v>1554.2978211112486</v>
      </c>
      <c r="H323" s="1">
        <f t="shared" ca="1" si="18"/>
        <v>0.14855183227671304</v>
      </c>
    </row>
    <row r="324" spans="5:8" x14ac:dyDescent="0.3">
      <c r="E324" s="1">
        <f t="shared" si="19"/>
        <v>320</v>
      </c>
      <c r="F324" s="1">
        <f t="shared" ca="1" si="16"/>
        <v>1.042168862623478</v>
      </c>
      <c r="G324" s="1">
        <f t="shared" ca="1" si="17"/>
        <v>2029.4715173538077</v>
      </c>
      <c r="H324" s="1">
        <f t="shared" ca="1" si="18"/>
        <v>0.19396650266212442</v>
      </c>
    </row>
    <row r="325" spans="5:8" x14ac:dyDescent="0.3">
      <c r="E325" s="1">
        <f t="shared" si="19"/>
        <v>321</v>
      </c>
      <c r="F325" s="1">
        <f t="shared" ref="F325:F388" ca="1" si="20">_xlfn.NORM.INV(RAND(), $C$9, $C$9 * $C$10)</f>
        <v>1.0925707287562338</v>
      </c>
      <c r="G325" s="1">
        <f t="shared" ref="G325:G388" ca="1" si="21">$C$7 - ($C$6 + $C$8 * $C$11) - (($C$6 + $C$8 * $C$11) * (1 - $C$12) * (F325 - $C$13))</f>
        <v>1919.4127424196688</v>
      </c>
      <c r="H325" s="1">
        <f t="shared" ref="H325:H388" ca="1" si="22">G325 / $C$7</f>
        <v>0.18344764813339087</v>
      </c>
    </row>
    <row r="326" spans="5:8" x14ac:dyDescent="0.3">
      <c r="E326" s="1">
        <f t="shared" ref="E326:E389" si="23">ROW()-4</f>
        <v>322</v>
      </c>
      <c r="F326" s="1">
        <f t="shared" ca="1" si="20"/>
        <v>0.90564341364931733</v>
      </c>
      <c r="G326" s="1">
        <f t="shared" ca="1" si="21"/>
        <v>2327.5919008700093</v>
      </c>
      <c r="H326" s="1">
        <f t="shared" ca="1" si="22"/>
        <v>0.22245932341297997</v>
      </c>
    </row>
    <row r="327" spans="5:8" x14ac:dyDescent="0.3">
      <c r="E327" s="1">
        <f t="shared" si="23"/>
        <v>323</v>
      </c>
      <c r="F327" s="1">
        <f t="shared" ca="1" si="20"/>
        <v>1.5050396040099221</v>
      </c>
      <c r="G327" s="1">
        <f t="shared" ca="1" si="21"/>
        <v>1018.7353946938338</v>
      </c>
      <c r="H327" s="1">
        <f t="shared" ca="1" si="22"/>
        <v>9.7365516075105976E-2</v>
      </c>
    </row>
    <row r="328" spans="5:8" x14ac:dyDescent="0.3">
      <c r="E328" s="1">
        <f t="shared" si="23"/>
        <v>324</v>
      </c>
      <c r="F328" s="1">
        <f t="shared" ca="1" si="20"/>
        <v>1.0291711337195304</v>
      </c>
      <c r="G328" s="1">
        <f t="shared" ca="1" si="21"/>
        <v>2057.8536831316906</v>
      </c>
      <c r="H328" s="1">
        <f t="shared" ca="1" si="22"/>
        <v>0.1966791248333834</v>
      </c>
    </row>
    <row r="329" spans="5:8" x14ac:dyDescent="0.3">
      <c r="E329" s="1">
        <f t="shared" si="23"/>
        <v>325</v>
      </c>
      <c r="F329" s="1">
        <f t="shared" ca="1" si="20"/>
        <v>1.0216669876034512</v>
      </c>
      <c r="G329" s="1">
        <f t="shared" ca="1" si="21"/>
        <v>2074.2399241944136</v>
      </c>
      <c r="H329" s="1">
        <f t="shared" ca="1" si="22"/>
        <v>0.19824523790446463</v>
      </c>
    </row>
    <row r="330" spans="5:8" x14ac:dyDescent="0.3">
      <c r="E330" s="1">
        <f t="shared" si="23"/>
        <v>326</v>
      </c>
      <c r="F330" s="1">
        <f t="shared" ca="1" si="20"/>
        <v>1.2191555210211766</v>
      </c>
      <c r="G330" s="1">
        <f t="shared" ca="1" si="21"/>
        <v>1642.9990254101331</v>
      </c>
      <c r="H330" s="1">
        <f t="shared" ca="1" si="22"/>
        <v>0.15702943949251008</v>
      </c>
    </row>
    <row r="331" spans="5:8" x14ac:dyDescent="0.3">
      <c r="E331" s="1">
        <f t="shared" si="23"/>
        <v>327</v>
      </c>
      <c r="F331" s="1">
        <f t="shared" ca="1" si="20"/>
        <v>1.1857137055177969</v>
      </c>
      <c r="G331" s="1">
        <f t="shared" ca="1" si="21"/>
        <v>1716.0234097887007</v>
      </c>
      <c r="H331" s="1">
        <f t="shared" ca="1" si="22"/>
        <v>0.1640087364798529</v>
      </c>
    </row>
    <row r="332" spans="5:8" x14ac:dyDescent="0.3">
      <c r="E332" s="1">
        <f t="shared" si="23"/>
        <v>328</v>
      </c>
      <c r="F332" s="1">
        <f t="shared" ca="1" si="20"/>
        <v>1.0325820755913147</v>
      </c>
      <c r="G332" s="1">
        <f t="shared" ca="1" si="21"/>
        <v>2050.4054651869155</v>
      </c>
      <c r="H332" s="1">
        <f t="shared" ca="1" si="22"/>
        <v>0.19596726227534317</v>
      </c>
    </row>
    <row r="333" spans="5:8" x14ac:dyDescent="0.3">
      <c r="E333" s="1">
        <f t="shared" si="23"/>
        <v>329</v>
      </c>
      <c r="F333" s="1">
        <f t="shared" ca="1" si="20"/>
        <v>1.1844186832275805</v>
      </c>
      <c r="G333" s="1">
        <f t="shared" ca="1" si="21"/>
        <v>1718.8512528371743</v>
      </c>
      <c r="H333" s="1">
        <f t="shared" ca="1" si="22"/>
        <v>0.16427900724812905</v>
      </c>
    </row>
    <row r="334" spans="5:8" x14ac:dyDescent="0.3">
      <c r="E334" s="1">
        <f t="shared" si="23"/>
        <v>330</v>
      </c>
      <c r="F334" s="1">
        <f t="shared" ca="1" si="20"/>
        <v>1.3100920443645589</v>
      </c>
      <c r="G334" s="1">
        <f t="shared" ca="1" si="21"/>
        <v>1444.4277596244399</v>
      </c>
      <c r="H334" s="1">
        <f t="shared" ca="1" si="22"/>
        <v>0.13805101401361367</v>
      </c>
    </row>
    <row r="335" spans="5:8" x14ac:dyDescent="0.3">
      <c r="E335" s="1">
        <f t="shared" si="23"/>
        <v>331</v>
      </c>
      <c r="F335" s="1">
        <f t="shared" ca="1" si="20"/>
        <v>1.1649556329824353</v>
      </c>
      <c r="G335" s="1">
        <f t="shared" ca="1" si="21"/>
        <v>1761.3512559287296</v>
      </c>
      <c r="H335" s="1">
        <f t="shared" ca="1" si="22"/>
        <v>0.16834094006773676</v>
      </c>
    </row>
    <row r="336" spans="5:8" x14ac:dyDescent="0.3">
      <c r="E336" s="1">
        <f t="shared" si="23"/>
        <v>332</v>
      </c>
      <c r="F336" s="1">
        <f t="shared" ca="1" si="20"/>
        <v>1.140080651241443</v>
      </c>
      <c r="G336" s="1">
        <f t="shared" ca="1" si="21"/>
        <v>1815.668887932904</v>
      </c>
      <c r="H336" s="1">
        <f t="shared" ca="1" si="22"/>
        <v>0.17353234138706911</v>
      </c>
    </row>
    <row r="337" spans="5:8" x14ac:dyDescent="0.3">
      <c r="E337" s="1">
        <f t="shared" si="23"/>
        <v>333</v>
      </c>
      <c r="F337" s="1">
        <f t="shared" ca="1" si="20"/>
        <v>1.3721356131841642</v>
      </c>
      <c r="G337" s="1">
        <f t="shared" ca="1" si="21"/>
        <v>1308.9478716607293</v>
      </c>
      <c r="H337" s="1">
        <f t="shared" ca="1" si="22"/>
        <v>0.1251025395833632</v>
      </c>
    </row>
    <row r="338" spans="5:8" x14ac:dyDescent="0.3">
      <c r="E338" s="1">
        <f t="shared" si="23"/>
        <v>334</v>
      </c>
      <c r="F338" s="1">
        <f t="shared" ca="1" si="20"/>
        <v>1.2394228810657006</v>
      </c>
      <c r="G338" s="1">
        <f t="shared" ca="1" si="21"/>
        <v>1598.7427113329093</v>
      </c>
      <c r="H338" s="1">
        <f t="shared" ca="1" si="22"/>
        <v>0.15279964745607466</v>
      </c>
    </row>
    <row r="339" spans="5:8" x14ac:dyDescent="0.3">
      <c r="E339" s="1">
        <f t="shared" si="23"/>
        <v>335</v>
      </c>
      <c r="F339" s="1">
        <f t="shared" ca="1" si="20"/>
        <v>1.1375411949253105</v>
      </c>
      <c r="G339" s="1">
        <f t="shared" ca="1" si="21"/>
        <v>1821.2141082312187</v>
      </c>
      <c r="H339" s="1">
        <f t="shared" ca="1" si="22"/>
        <v>0.17406232516785039</v>
      </c>
    </row>
    <row r="340" spans="5:8" x14ac:dyDescent="0.3">
      <c r="E340" s="1">
        <f t="shared" si="23"/>
        <v>336</v>
      </c>
      <c r="F340" s="1">
        <f t="shared" ca="1" si="20"/>
        <v>1.475541464562472</v>
      </c>
      <c r="G340" s="1">
        <f t="shared" ca="1" si="21"/>
        <v>1083.1482694447718</v>
      </c>
      <c r="H340" s="1">
        <f t="shared" ca="1" si="22"/>
        <v>0.10352176903801699</v>
      </c>
    </row>
    <row r="341" spans="5:8" x14ac:dyDescent="0.3">
      <c r="E341" s="1">
        <f t="shared" si="23"/>
        <v>337</v>
      </c>
      <c r="F341" s="1">
        <f t="shared" ca="1" si="20"/>
        <v>1.0059354979882673</v>
      </c>
      <c r="G341" s="1">
        <f t="shared" ca="1" si="21"/>
        <v>2108.5915982053698</v>
      </c>
      <c r="H341" s="1">
        <f t="shared" ca="1" si="22"/>
        <v>0.20152839512619419</v>
      </c>
    </row>
    <row r="342" spans="5:8" x14ac:dyDescent="0.3">
      <c r="E342" s="1">
        <f t="shared" si="23"/>
        <v>338</v>
      </c>
      <c r="F342" s="1">
        <f t="shared" ca="1" si="20"/>
        <v>1.1834487194866197</v>
      </c>
      <c r="G342" s="1">
        <f t="shared" ca="1" si="21"/>
        <v>1720.96928991103</v>
      </c>
      <c r="H342" s="1">
        <f t="shared" ca="1" si="22"/>
        <v>0.16448143839348467</v>
      </c>
    </row>
    <row r="343" spans="5:8" x14ac:dyDescent="0.3">
      <c r="E343" s="1">
        <f t="shared" si="23"/>
        <v>339</v>
      </c>
      <c r="F343" s="1">
        <f t="shared" ca="1" si="20"/>
        <v>1.3534739961183475</v>
      </c>
      <c r="G343" s="1">
        <f t="shared" ca="1" si="21"/>
        <v>1349.6978452260732</v>
      </c>
      <c r="H343" s="1">
        <f t="shared" ca="1" si="22"/>
        <v>0.12899721353589536</v>
      </c>
    </row>
    <row r="344" spans="5:8" x14ac:dyDescent="0.3">
      <c r="E344" s="1">
        <f t="shared" si="23"/>
        <v>340</v>
      </c>
      <c r="F344" s="1">
        <f t="shared" ca="1" si="20"/>
        <v>1.2056945620299324</v>
      </c>
      <c r="G344" s="1">
        <f t="shared" ca="1" si="21"/>
        <v>1672.3927119873888</v>
      </c>
      <c r="H344" s="1">
        <f t="shared" ca="1" si="22"/>
        <v>0.15983873764574108</v>
      </c>
    </row>
    <row r="345" spans="5:8" x14ac:dyDescent="0.3">
      <c r="E345" s="1">
        <f t="shared" si="23"/>
        <v>341</v>
      </c>
      <c r="F345" s="1">
        <f t="shared" ca="1" si="20"/>
        <v>1.1112229862175516</v>
      </c>
      <c r="G345" s="1">
        <f t="shared" ca="1" si="21"/>
        <v>1878.6832067206988</v>
      </c>
      <c r="H345" s="1">
        <f t="shared" ca="1" si="22"/>
        <v>0.17955492752754457</v>
      </c>
    </row>
    <row r="346" spans="5:8" x14ac:dyDescent="0.3">
      <c r="E346" s="1">
        <f t="shared" si="23"/>
        <v>342</v>
      </c>
      <c r="F346" s="1">
        <f t="shared" ca="1" si="20"/>
        <v>1.0872305200709362</v>
      </c>
      <c r="G346" s="1">
        <f t="shared" ca="1" si="21"/>
        <v>1931.0737556101017</v>
      </c>
      <c r="H346" s="1">
        <f t="shared" ca="1" si="22"/>
        <v>0.18456214810380403</v>
      </c>
    </row>
    <row r="347" spans="5:8" x14ac:dyDescent="0.3">
      <c r="E347" s="1">
        <f t="shared" si="23"/>
        <v>343</v>
      </c>
      <c r="F347" s="1">
        <f t="shared" ca="1" si="20"/>
        <v>1.16965757290762</v>
      </c>
      <c r="G347" s="1">
        <f t="shared" ca="1" si="21"/>
        <v>1751.0839823595982</v>
      </c>
      <c r="H347" s="1">
        <f t="shared" ca="1" si="22"/>
        <v>0.16735964659845151</v>
      </c>
    </row>
    <row r="348" spans="5:8" x14ac:dyDescent="0.3">
      <c r="E348" s="1">
        <f t="shared" si="23"/>
        <v>344</v>
      </c>
      <c r="F348" s="1">
        <f t="shared" ca="1" si="20"/>
        <v>1.21360185807228</v>
      </c>
      <c r="G348" s="1">
        <f t="shared" ca="1" si="21"/>
        <v>1655.1261426669173</v>
      </c>
      <c r="H348" s="1">
        <f t="shared" ca="1" si="22"/>
        <v>0.15818848730449367</v>
      </c>
    </row>
    <row r="349" spans="5:8" x14ac:dyDescent="0.3">
      <c r="E349" s="1">
        <f t="shared" si="23"/>
        <v>345</v>
      </c>
      <c r="F349" s="1">
        <f t="shared" ca="1" si="20"/>
        <v>1.4698916389389203</v>
      </c>
      <c r="G349" s="1">
        <f t="shared" ca="1" si="21"/>
        <v>1095.4853699220002</v>
      </c>
      <c r="H349" s="1">
        <f t="shared" ca="1" si="22"/>
        <v>0.10470088597170986</v>
      </c>
    </row>
    <row r="350" spans="5:8" x14ac:dyDescent="0.3">
      <c r="E350" s="1">
        <f t="shared" si="23"/>
        <v>346</v>
      </c>
      <c r="F350" s="1">
        <f t="shared" ca="1" si="20"/>
        <v>1.1943243929939007</v>
      </c>
      <c r="G350" s="1">
        <f t="shared" ca="1" si="21"/>
        <v>1697.2208973486934</v>
      </c>
      <c r="H350" s="1">
        <f t="shared" ca="1" si="22"/>
        <v>0.16221168855478288</v>
      </c>
    </row>
    <row r="351" spans="5:8" x14ac:dyDescent="0.3">
      <c r="E351" s="1">
        <f t="shared" si="23"/>
        <v>347</v>
      </c>
      <c r="F351" s="1">
        <f t="shared" ca="1" si="20"/>
        <v>1.0537876018629362</v>
      </c>
      <c r="G351" s="1">
        <f t="shared" ca="1" si="21"/>
        <v>2004.1005478820457</v>
      </c>
      <c r="H351" s="1">
        <f t="shared" ca="1" si="22"/>
        <v>0.19154167522527438</v>
      </c>
    </row>
    <row r="352" spans="5:8" x14ac:dyDescent="0.3">
      <c r="E352" s="1">
        <f t="shared" si="23"/>
        <v>348</v>
      </c>
      <c r="F352" s="1">
        <f t="shared" ca="1" si="20"/>
        <v>1.2229425189634138</v>
      </c>
      <c r="G352" s="1">
        <f t="shared" ca="1" si="21"/>
        <v>1634.7296420285154</v>
      </c>
      <c r="H352" s="1">
        <f t="shared" ca="1" si="22"/>
        <v>0.15623909414398504</v>
      </c>
    </row>
    <row r="353" spans="5:8" x14ac:dyDescent="0.3">
      <c r="E353" s="1">
        <f t="shared" si="23"/>
        <v>349</v>
      </c>
      <c r="F353" s="1">
        <f t="shared" ca="1" si="20"/>
        <v>1.454084971259743</v>
      </c>
      <c r="G353" s="1">
        <f t="shared" ca="1" si="21"/>
        <v>1130.0012046329434</v>
      </c>
      <c r="H353" s="1">
        <f t="shared" ca="1" si="22"/>
        <v>0.10799973283312085</v>
      </c>
    </row>
    <row r="354" spans="5:8" x14ac:dyDescent="0.3">
      <c r="E354" s="1">
        <f t="shared" si="23"/>
        <v>350</v>
      </c>
      <c r="F354" s="1">
        <f t="shared" ca="1" si="20"/>
        <v>1.2472730612989882</v>
      </c>
      <c r="G354" s="1">
        <f t="shared" ca="1" si="21"/>
        <v>1581.6008615209969</v>
      </c>
      <c r="H354" s="1">
        <f t="shared" ca="1" si="22"/>
        <v>0.15116131716725575</v>
      </c>
    </row>
    <row r="355" spans="5:8" x14ac:dyDescent="0.3">
      <c r="E355" s="1">
        <f t="shared" si="23"/>
        <v>351</v>
      </c>
      <c r="F355" s="1">
        <f t="shared" ca="1" si="20"/>
        <v>1.2131161241771606</v>
      </c>
      <c r="G355" s="1">
        <f t="shared" ca="1" si="21"/>
        <v>1656.1868033436474</v>
      </c>
      <c r="H355" s="1">
        <f t="shared" ca="1" si="22"/>
        <v>0.15828985982449081</v>
      </c>
    </row>
    <row r="356" spans="5:8" x14ac:dyDescent="0.3">
      <c r="E356" s="1">
        <f t="shared" si="23"/>
        <v>352</v>
      </c>
      <c r="F356" s="1">
        <f t="shared" ca="1" si="20"/>
        <v>1.0453739272902074</v>
      </c>
      <c r="G356" s="1">
        <f t="shared" ca="1" si="21"/>
        <v>2022.4728580209207</v>
      </c>
      <c r="H356" s="1">
        <f t="shared" ca="1" si="22"/>
        <v>0.19329760661578141</v>
      </c>
    </row>
    <row r="357" spans="5:8" x14ac:dyDescent="0.3">
      <c r="E357" s="1">
        <f t="shared" si="23"/>
        <v>353</v>
      </c>
      <c r="F357" s="1">
        <f t="shared" ca="1" si="20"/>
        <v>1.0866317063924982</v>
      </c>
      <c r="G357" s="1">
        <f t="shared" ca="1" si="21"/>
        <v>1932.3813401286811</v>
      </c>
      <c r="H357" s="1">
        <f t="shared" ca="1" si="22"/>
        <v>0.18468712034107629</v>
      </c>
    </row>
    <row r="358" spans="5:8" x14ac:dyDescent="0.3">
      <c r="E358" s="1">
        <f t="shared" si="23"/>
        <v>354</v>
      </c>
      <c r="F358" s="1">
        <f t="shared" ca="1" si="20"/>
        <v>0.98776580628108157</v>
      </c>
      <c r="G358" s="1">
        <f t="shared" ca="1" si="21"/>
        <v>2148.2673912594732</v>
      </c>
      <c r="H358" s="1">
        <f t="shared" ca="1" si="22"/>
        <v>0.20532040440212876</v>
      </c>
    </row>
    <row r="359" spans="5:8" x14ac:dyDescent="0.3">
      <c r="E359" s="1">
        <f t="shared" si="23"/>
        <v>355</v>
      </c>
      <c r="F359" s="1">
        <f t="shared" ca="1" si="20"/>
        <v>1.040418825958644</v>
      </c>
      <c r="G359" s="1">
        <f t="shared" ca="1" si="21"/>
        <v>2033.2929411660559</v>
      </c>
      <c r="H359" s="1">
        <f t="shared" ca="1" si="22"/>
        <v>0.19433173479557067</v>
      </c>
    </row>
    <row r="360" spans="5:8" x14ac:dyDescent="0.3">
      <c r="E360" s="1">
        <f t="shared" si="23"/>
        <v>356</v>
      </c>
      <c r="F360" s="1">
        <f t="shared" ca="1" si="20"/>
        <v>1.2484975122709663</v>
      </c>
      <c r="G360" s="1">
        <f t="shared" ca="1" si="21"/>
        <v>1578.9271197673111</v>
      </c>
      <c r="H360" s="1">
        <f t="shared" ca="1" si="22"/>
        <v>0.15090577461218685</v>
      </c>
    </row>
    <row r="361" spans="5:8" x14ac:dyDescent="0.3">
      <c r="E361" s="1">
        <f t="shared" si="23"/>
        <v>357</v>
      </c>
      <c r="F361" s="1">
        <f t="shared" ca="1" si="20"/>
        <v>0.95721493823345749</v>
      </c>
      <c r="G361" s="1">
        <f t="shared" ca="1" si="21"/>
        <v>2214.979030499966</v>
      </c>
      <c r="H361" s="1">
        <f t="shared" ca="1" si="22"/>
        <v>0.21169636151199139</v>
      </c>
    </row>
    <row r="362" spans="5:8" x14ac:dyDescent="0.3">
      <c r="E362" s="1">
        <f t="shared" si="23"/>
        <v>358</v>
      </c>
      <c r="F362" s="1">
        <f t="shared" ca="1" si="20"/>
        <v>1.2770032348102287</v>
      </c>
      <c r="G362" s="1">
        <f t="shared" ca="1" si="21"/>
        <v>1516.6813113875141</v>
      </c>
      <c r="H362" s="1">
        <f t="shared" ca="1" si="22"/>
        <v>0.14495663876397918</v>
      </c>
    </row>
    <row r="363" spans="5:8" x14ac:dyDescent="0.3">
      <c r="E363" s="1">
        <f t="shared" si="23"/>
        <v>359</v>
      </c>
      <c r="F363" s="1">
        <f t="shared" ca="1" si="20"/>
        <v>1.1494535725751995</v>
      </c>
      <c r="G363" s="1">
        <f t="shared" ca="1" si="21"/>
        <v>1795.2019425854799</v>
      </c>
      <c r="H363" s="1">
        <f t="shared" ca="1" si="22"/>
        <v>0.17157621548174326</v>
      </c>
    </row>
    <row r="364" spans="5:8" x14ac:dyDescent="0.3">
      <c r="E364" s="1">
        <f t="shared" si="23"/>
        <v>360</v>
      </c>
      <c r="F364" s="1">
        <f t="shared" ca="1" si="20"/>
        <v>1.3767501603021353</v>
      </c>
      <c r="G364" s="1">
        <f t="shared" ca="1" si="21"/>
        <v>1298.8714312102497</v>
      </c>
      <c r="H364" s="1">
        <f t="shared" ca="1" si="22"/>
        <v>0.12413948496705053</v>
      </c>
    </row>
    <row r="365" spans="5:8" x14ac:dyDescent="0.3">
      <c r="E365" s="1">
        <f t="shared" si="23"/>
        <v>361</v>
      </c>
      <c r="F365" s="1">
        <f t="shared" ca="1" si="20"/>
        <v>1.152898152866199</v>
      </c>
      <c r="G365" s="1">
        <f t="shared" ca="1" si="21"/>
        <v>1787.680270947546</v>
      </c>
      <c r="H365" s="1">
        <f t="shared" ca="1" si="22"/>
        <v>0.17085733259557928</v>
      </c>
    </row>
    <row r="366" spans="5:8" x14ac:dyDescent="0.3">
      <c r="E366" s="1">
        <f t="shared" si="23"/>
        <v>362</v>
      </c>
      <c r="F366" s="1">
        <f t="shared" ca="1" si="20"/>
        <v>1.3365604505082931</v>
      </c>
      <c r="G366" s="1">
        <f t="shared" ca="1" si="21"/>
        <v>1386.6306862588283</v>
      </c>
      <c r="H366" s="1">
        <f t="shared" ca="1" si="22"/>
        <v>0.1325270654935323</v>
      </c>
    </row>
    <row r="367" spans="5:8" x14ac:dyDescent="0.3">
      <c r="E367" s="1">
        <f t="shared" si="23"/>
        <v>363</v>
      </c>
      <c r="F367" s="1">
        <f t="shared" ca="1" si="20"/>
        <v>1.092895380251947</v>
      </c>
      <c r="G367" s="1">
        <f t="shared" ca="1" si="21"/>
        <v>1918.7038252973421</v>
      </c>
      <c r="H367" s="1">
        <f t="shared" ca="1" si="22"/>
        <v>0.18337989346242398</v>
      </c>
    </row>
    <row r="368" spans="5:8" x14ac:dyDescent="0.3">
      <c r="E368" s="1">
        <f t="shared" si="23"/>
        <v>364</v>
      </c>
      <c r="F368" s="1">
        <f t="shared" ca="1" si="20"/>
        <v>1.0644789419279963</v>
      </c>
      <c r="G368" s="1">
        <f t="shared" ca="1" si="21"/>
        <v>1980.7546704324789</v>
      </c>
      <c r="H368" s="1">
        <f t="shared" ca="1" si="22"/>
        <v>0.18931039572134942</v>
      </c>
    </row>
    <row r="369" spans="5:8" x14ac:dyDescent="0.3">
      <c r="E369" s="1">
        <f t="shared" si="23"/>
        <v>365</v>
      </c>
      <c r="F369" s="1">
        <f t="shared" ca="1" si="20"/>
        <v>1.2658835272285782</v>
      </c>
      <c r="G369" s="1">
        <f t="shared" ca="1" si="21"/>
        <v>1540.9625828554958</v>
      </c>
      <c r="H369" s="1">
        <f t="shared" ca="1" si="22"/>
        <v>0.14727731844169892</v>
      </c>
    </row>
    <row r="370" spans="5:8" x14ac:dyDescent="0.3">
      <c r="E370" s="1">
        <f t="shared" si="23"/>
        <v>366</v>
      </c>
      <c r="F370" s="1">
        <f t="shared" ca="1" si="20"/>
        <v>1.0101133573212153</v>
      </c>
      <c r="G370" s="1">
        <f t="shared" ca="1" si="21"/>
        <v>2099.4687201194611</v>
      </c>
      <c r="H370" s="1">
        <f t="shared" ca="1" si="22"/>
        <v>0.20065647712123302</v>
      </c>
    </row>
    <row r="371" spans="5:8" x14ac:dyDescent="0.3">
      <c r="E371" s="1">
        <f t="shared" si="23"/>
        <v>367</v>
      </c>
      <c r="F371" s="1">
        <f t="shared" ca="1" si="20"/>
        <v>1.0254851936155525</v>
      </c>
      <c r="G371" s="1">
        <f t="shared" ca="1" si="21"/>
        <v>2065.9023940912393</v>
      </c>
      <c r="H371" s="1">
        <f t="shared" ca="1" si="22"/>
        <v>0.19744837944100538</v>
      </c>
    </row>
    <row r="372" spans="5:8" x14ac:dyDescent="0.3">
      <c r="E372" s="1">
        <f t="shared" si="23"/>
        <v>368</v>
      </c>
      <c r="F372" s="1">
        <f t="shared" ca="1" si="20"/>
        <v>1.179862435579528</v>
      </c>
      <c r="G372" s="1">
        <f t="shared" ca="1" si="21"/>
        <v>1728.800389107653</v>
      </c>
      <c r="H372" s="1">
        <f t="shared" ca="1" si="22"/>
        <v>0.16522989478234282</v>
      </c>
    </row>
    <row r="373" spans="5:8" x14ac:dyDescent="0.3">
      <c r="E373" s="1">
        <f t="shared" si="23"/>
        <v>369</v>
      </c>
      <c r="F373" s="1">
        <f t="shared" ca="1" si="20"/>
        <v>1.3150611412801847</v>
      </c>
      <c r="G373" s="1">
        <f t="shared" ca="1" si="21"/>
        <v>1433.5771153720566</v>
      </c>
      <c r="H373" s="1">
        <f t="shared" ca="1" si="22"/>
        <v>0.13701396495957724</v>
      </c>
    </row>
    <row r="374" spans="5:8" x14ac:dyDescent="0.3">
      <c r="E374" s="1">
        <f t="shared" si="23"/>
        <v>370</v>
      </c>
      <c r="F374" s="1">
        <f t="shared" ca="1" si="20"/>
        <v>1.0529153132496676</v>
      </c>
      <c r="G374" s="1">
        <f t="shared" ca="1" si="21"/>
        <v>2006.0052991051944</v>
      </c>
      <c r="H374" s="1">
        <f t="shared" ca="1" si="22"/>
        <v>0.19172372160041998</v>
      </c>
    </row>
    <row r="375" spans="5:8" x14ac:dyDescent="0.3">
      <c r="E375" s="1">
        <f t="shared" si="23"/>
        <v>371</v>
      </c>
      <c r="F375" s="1">
        <f t="shared" ca="1" si="20"/>
        <v>1.2968375898919529</v>
      </c>
      <c r="G375" s="1">
        <f t="shared" ca="1" si="21"/>
        <v>1473.3705177721843</v>
      </c>
      <c r="H375" s="1">
        <f t="shared" ca="1" si="22"/>
        <v>0.14081721473498846</v>
      </c>
    </row>
    <row r="376" spans="5:8" x14ac:dyDescent="0.3">
      <c r="E376" s="1">
        <f t="shared" si="23"/>
        <v>372</v>
      </c>
      <c r="F376" s="1">
        <f t="shared" ca="1" si="20"/>
        <v>1.2760521998447065</v>
      </c>
      <c r="G376" s="1">
        <f t="shared" ca="1" si="21"/>
        <v>1518.7580151141026</v>
      </c>
      <c r="H376" s="1">
        <f t="shared" ca="1" si="22"/>
        <v>0.14515511947950899</v>
      </c>
    </row>
    <row r="377" spans="5:8" x14ac:dyDescent="0.3">
      <c r="E377" s="1">
        <f t="shared" si="23"/>
        <v>373</v>
      </c>
      <c r="F377" s="1">
        <f t="shared" ca="1" si="20"/>
        <v>1.2089506202418996</v>
      </c>
      <c r="G377" s="1">
        <f t="shared" ca="1" si="21"/>
        <v>1665.2827018742819</v>
      </c>
      <c r="H377" s="1">
        <f t="shared" ca="1" si="22"/>
        <v>0.1591591992616154</v>
      </c>
    </row>
    <row r="378" spans="5:8" x14ac:dyDescent="0.3">
      <c r="E378" s="1">
        <f t="shared" si="23"/>
        <v>374</v>
      </c>
      <c r="F378" s="1">
        <f t="shared" ca="1" si="20"/>
        <v>1.0558712792706531</v>
      </c>
      <c r="G378" s="1">
        <f t="shared" ca="1" si="21"/>
        <v>1999.55057780262</v>
      </c>
      <c r="H378" s="1">
        <f t="shared" ca="1" si="22"/>
        <v>0.19110681236764024</v>
      </c>
    </row>
    <row r="379" spans="5:8" x14ac:dyDescent="0.3">
      <c r="E379" s="1">
        <f t="shared" si="23"/>
        <v>375</v>
      </c>
      <c r="F379" s="1">
        <f t="shared" ca="1" si="20"/>
        <v>1.2708158549109407</v>
      </c>
      <c r="G379" s="1">
        <f t="shared" ca="1" si="21"/>
        <v>1530.1922288200969</v>
      </c>
      <c r="H379" s="1">
        <f t="shared" ca="1" si="22"/>
        <v>0.14624794311575046</v>
      </c>
    </row>
    <row r="380" spans="5:8" x14ac:dyDescent="0.3">
      <c r="E380" s="1">
        <f t="shared" si="23"/>
        <v>376</v>
      </c>
      <c r="F380" s="1">
        <f t="shared" ca="1" si="20"/>
        <v>1.3288494333809557</v>
      </c>
      <c r="G380" s="1">
        <f t="shared" ca="1" si="21"/>
        <v>1403.4686560335103</v>
      </c>
      <c r="H380" s="1">
        <f t="shared" ca="1" si="22"/>
        <v>0.13413635248337097</v>
      </c>
    </row>
    <row r="381" spans="5:8" x14ac:dyDescent="0.3">
      <c r="E381" s="1">
        <f t="shared" si="23"/>
        <v>377</v>
      </c>
      <c r="F381" s="1">
        <f t="shared" ca="1" si="20"/>
        <v>1.0111340026361226</v>
      </c>
      <c r="G381" s="1">
        <f t="shared" ca="1" si="21"/>
        <v>2097.2400134936966</v>
      </c>
      <c r="H381" s="1">
        <f t="shared" ca="1" si="22"/>
        <v>0.20044346874641084</v>
      </c>
    </row>
    <row r="382" spans="5:8" x14ac:dyDescent="0.3">
      <c r="E382" s="1">
        <f t="shared" si="23"/>
        <v>378</v>
      </c>
      <c r="F382" s="1">
        <f t="shared" ca="1" si="20"/>
        <v>1.48581446961159</v>
      </c>
      <c r="G382" s="1">
        <f t="shared" ca="1" si="21"/>
        <v>1060.7158787943918</v>
      </c>
      <c r="H382" s="1">
        <f t="shared" ca="1" si="22"/>
        <v>0.10137779592797398</v>
      </c>
    </row>
    <row r="383" spans="5:8" x14ac:dyDescent="0.3">
      <c r="E383" s="1">
        <f t="shared" si="23"/>
        <v>379</v>
      </c>
      <c r="F383" s="1">
        <f t="shared" ca="1" si="20"/>
        <v>1.3792995628805591</v>
      </c>
      <c r="G383" s="1">
        <f t="shared" ca="1" si="21"/>
        <v>1293.304492004939</v>
      </c>
      <c r="H383" s="1">
        <f t="shared" ca="1" si="22"/>
        <v>0.12360742540427593</v>
      </c>
    </row>
    <row r="384" spans="5:8" x14ac:dyDescent="0.3">
      <c r="E384" s="1">
        <f t="shared" si="23"/>
        <v>380</v>
      </c>
      <c r="F384" s="1">
        <f t="shared" ca="1" si="20"/>
        <v>1.3958649962613243</v>
      </c>
      <c r="G384" s="1">
        <f t="shared" ca="1" si="21"/>
        <v>1257.1317975388656</v>
      </c>
      <c r="H384" s="1">
        <f t="shared" ca="1" si="22"/>
        <v>0.12015022436575223</v>
      </c>
    </row>
    <row r="385" spans="5:8" x14ac:dyDescent="0.3">
      <c r="E385" s="1">
        <f t="shared" si="23"/>
        <v>381</v>
      </c>
      <c r="F385" s="1">
        <f t="shared" ca="1" si="20"/>
        <v>0.98578498168338946</v>
      </c>
      <c r="G385" s="1">
        <f t="shared" ca="1" si="21"/>
        <v>2152.5927693716085</v>
      </c>
      <c r="H385" s="1">
        <f t="shared" ca="1" si="22"/>
        <v>0.20573380190878415</v>
      </c>
    </row>
    <row r="386" spans="5:8" x14ac:dyDescent="0.3">
      <c r="E386" s="1">
        <f t="shared" si="23"/>
        <v>382</v>
      </c>
      <c r="F386" s="1">
        <f t="shared" ca="1" si="20"/>
        <v>1.3647625687547134</v>
      </c>
      <c r="G386" s="1">
        <f t="shared" ca="1" si="21"/>
        <v>1325.0478358029889</v>
      </c>
      <c r="H386" s="1">
        <f t="shared" ca="1" si="22"/>
        <v>0.12664129177128824</v>
      </c>
    </row>
    <row r="387" spans="5:8" x14ac:dyDescent="0.3">
      <c r="E387" s="1">
        <f t="shared" si="23"/>
        <v>383</v>
      </c>
      <c r="F387" s="1">
        <f t="shared" ca="1" si="20"/>
        <v>1.2256199983006242</v>
      </c>
      <c r="G387" s="1">
        <f t="shared" ca="1" si="21"/>
        <v>1628.8830312107993</v>
      </c>
      <c r="H387" s="1">
        <f t="shared" ca="1" si="22"/>
        <v>0.15568030499959853</v>
      </c>
    </row>
    <row r="388" spans="5:8" x14ac:dyDescent="0.3">
      <c r="E388" s="1">
        <f t="shared" si="23"/>
        <v>384</v>
      </c>
      <c r="F388" s="1">
        <f t="shared" ca="1" si="20"/>
        <v>1.1225976848885484</v>
      </c>
      <c r="G388" s="1">
        <f t="shared" ca="1" si="21"/>
        <v>1853.8451303352433</v>
      </c>
      <c r="H388" s="1">
        <f t="shared" ca="1" si="22"/>
        <v>0.17718103128502755</v>
      </c>
    </row>
    <row r="389" spans="5:8" x14ac:dyDescent="0.3">
      <c r="E389" s="1">
        <f t="shared" si="23"/>
        <v>385</v>
      </c>
      <c r="F389" s="1">
        <f t="shared" ref="F389:F452" ca="1" si="24">_xlfn.NORM.INV(RAND(), $C$9, $C$9 * $C$10)</f>
        <v>1.297099872370433</v>
      </c>
      <c r="G389" s="1">
        <f t="shared" ref="G389:G452" ca="1" si="25">$C$7 - ($C$6 + $C$8 * $C$11) - (($C$6 + $C$8 * $C$11) * (1 - $C$12) * (F389 - $C$13))</f>
        <v>1472.7977911951132</v>
      </c>
      <c r="H389" s="1">
        <f t="shared" ref="H389:H452" ca="1" si="26">G389 / $C$7</f>
        <v>0.14076247645943929</v>
      </c>
    </row>
    <row r="390" spans="5:8" x14ac:dyDescent="0.3">
      <c r="E390" s="1">
        <f t="shared" ref="E390:E453" si="27">ROW()-4</f>
        <v>386</v>
      </c>
      <c r="F390" s="1">
        <f t="shared" ca="1" si="24"/>
        <v>0.92426954826855234</v>
      </c>
      <c r="G390" s="1">
        <f t="shared" ca="1" si="25"/>
        <v>2286.9194076620824</v>
      </c>
      <c r="H390" s="1">
        <f t="shared" ca="1" si="26"/>
        <v>0.21857205463653659</v>
      </c>
    </row>
    <row r="391" spans="5:8" x14ac:dyDescent="0.3">
      <c r="E391" s="1">
        <f t="shared" si="27"/>
        <v>387</v>
      </c>
      <c r="F391" s="1">
        <f t="shared" ca="1" si="24"/>
        <v>1.1512362939714518</v>
      </c>
      <c r="G391" s="1">
        <f t="shared" ca="1" si="25"/>
        <v>1791.3091475765884</v>
      </c>
      <c r="H391" s="1">
        <f t="shared" ca="1" si="26"/>
        <v>0.17120416205453393</v>
      </c>
    </row>
    <row r="392" spans="5:8" x14ac:dyDescent="0.3">
      <c r="E392" s="1">
        <f t="shared" si="27"/>
        <v>388</v>
      </c>
      <c r="F392" s="1">
        <f t="shared" ca="1" si="24"/>
        <v>1.0989156258516275</v>
      </c>
      <c r="G392" s="1">
        <f t="shared" ca="1" si="25"/>
        <v>1905.5578664997397</v>
      </c>
      <c r="H392" s="1">
        <f t="shared" ca="1" si="26"/>
        <v>0.18212346998946188</v>
      </c>
    </row>
    <row r="393" spans="5:8" x14ac:dyDescent="0.3">
      <c r="E393" s="1">
        <f t="shared" si="27"/>
        <v>389</v>
      </c>
      <c r="F393" s="1">
        <f t="shared" ca="1" si="24"/>
        <v>1.0196353213063858</v>
      </c>
      <c r="G393" s="1">
        <f t="shared" ca="1" si="25"/>
        <v>2078.6763215123433</v>
      </c>
      <c r="H393" s="1">
        <f t="shared" ca="1" si="26"/>
        <v>0.19866924605871578</v>
      </c>
    </row>
    <row r="394" spans="5:8" x14ac:dyDescent="0.3">
      <c r="E394" s="1">
        <f t="shared" si="27"/>
        <v>390</v>
      </c>
      <c r="F394" s="1">
        <f t="shared" ca="1" si="24"/>
        <v>1.0934017247338281</v>
      </c>
      <c r="G394" s="1">
        <f t="shared" ca="1" si="25"/>
        <v>1917.5981588280945</v>
      </c>
      <c r="H394" s="1">
        <f t="shared" ca="1" si="26"/>
        <v>0.18327421951907621</v>
      </c>
    </row>
    <row r="395" spans="5:8" x14ac:dyDescent="0.3">
      <c r="E395" s="1">
        <f t="shared" si="27"/>
        <v>391</v>
      </c>
      <c r="F395" s="1">
        <f t="shared" ca="1" si="24"/>
        <v>1.1563363139513021</v>
      </c>
      <c r="G395" s="1">
        <f t="shared" ca="1" si="25"/>
        <v>1780.1726164480879</v>
      </c>
      <c r="H395" s="1">
        <f t="shared" ca="1" si="26"/>
        <v>0.17013978939578397</v>
      </c>
    </row>
    <row r="396" spans="5:8" x14ac:dyDescent="0.3">
      <c r="E396" s="1">
        <f t="shared" si="27"/>
        <v>392</v>
      </c>
      <c r="F396" s="1">
        <f t="shared" ca="1" si="24"/>
        <v>1.211004014331486</v>
      </c>
      <c r="G396" s="1">
        <f t="shared" ca="1" si="25"/>
        <v>1660.7988592054089</v>
      </c>
      <c r="H396" s="1">
        <f t="shared" ca="1" si="26"/>
        <v>0.15873065652350271</v>
      </c>
    </row>
    <row r="397" spans="5:8" x14ac:dyDescent="0.3">
      <c r="E397" s="1">
        <f t="shared" si="27"/>
        <v>393</v>
      </c>
      <c r="F397" s="1">
        <f t="shared" ca="1" si="24"/>
        <v>1.2460598052164342</v>
      </c>
      <c r="G397" s="1">
        <f t="shared" ca="1" si="25"/>
        <v>1584.2501578342637</v>
      </c>
      <c r="H397" s="1">
        <f t="shared" ca="1" si="26"/>
        <v>0.15141452335221864</v>
      </c>
    </row>
    <row r="398" spans="5:8" x14ac:dyDescent="0.3">
      <c r="E398" s="1">
        <f t="shared" si="27"/>
        <v>394</v>
      </c>
      <c r="F398" s="1">
        <f t="shared" ca="1" si="24"/>
        <v>1.1154597542158846</v>
      </c>
      <c r="G398" s="1">
        <f t="shared" ca="1" si="25"/>
        <v>1869.4316942003388</v>
      </c>
      <c r="H398" s="1">
        <f t="shared" ca="1" si="26"/>
        <v>0.17867071530157114</v>
      </c>
    </row>
    <row r="399" spans="5:8" x14ac:dyDescent="0.3">
      <c r="E399" s="1">
        <f t="shared" si="27"/>
        <v>395</v>
      </c>
      <c r="F399" s="1">
        <f t="shared" ca="1" si="24"/>
        <v>1.1128472886765108</v>
      </c>
      <c r="G399" s="1">
        <f t="shared" ca="1" si="25"/>
        <v>1875.1363392637538</v>
      </c>
      <c r="H399" s="1">
        <f t="shared" ca="1" si="26"/>
        <v>0.17921593608561157</v>
      </c>
    </row>
    <row r="400" spans="5:8" x14ac:dyDescent="0.3">
      <c r="E400" s="1">
        <f t="shared" si="27"/>
        <v>396</v>
      </c>
      <c r="F400" s="1">
        <f t="shared" ca="1" si="24"/>
        <v>1.1666467429417984</v>
      </c>
      <c r="G400" s="1">
        <f t="shared" ca="1" si="25"/>
        <v>1757.6585059437155</v>
      </c>
      <c r="H400" s="1">
        <f t="shared" ca="1" si="26"/>
        <v>0.16798800592026336</v>
      </c>
    </row>
    <row r="401" spans="5:8" x14ac:dyDescent="0.3">
      <c r="E401" s="1">
        <f t="shared" si="27"/>
        <v>397</v>
      </c>
      <c r="F401" s="1">
        <f t="shared" ca="1" si="24"/>
        <v>1.1616894307985821</v>
      </c>
      <c r="G401" s="1">
        <f t="shared" ca="1" si="25"/>
        <v>1768.4834166724461</v>
      </c>
      <c r="H401" s="1">
        <f t="shared" ca="1" si="26"/>
        <v>0.16902259549578955</v>
      </c>
    </row>
    <row r="402" spans="5:8" x14ac:dyDescent="0.3">
      <c r="E402" s="1">
        <f t="shared" si="27"/>
        <v>398</v>
      </c>
      <c r="F402" s="1">
        <f t="shared" ca="1" si="24"/>
        <v>1.2329461111915869</v>
      </c>
      <c r="G402" s="1">
        <f t="shared" ca="1" si="25"/>
        <v>1612.8855479492709</v>
      </c>
      <c r="H402" s="1">
        <f t="shared" ca="1" si="26"/>
        <v>0.15415134740985098</v>
      </c>
    </row>
    <row r="403" spans="5:8" x14ac:dyDescent="0.3">
      <c r="E403" s="1">
        <f t="shared" si="27"/>
        <v>399</v>
      </c>
      <c r="F403" s="1">
        <f t="shared" ca="1" si="24"/>
        <v>1.2160407008438006</v>
      </c>
      <c r="G403" s="1">
        <f t="shared" ca="1" si="25"/>
        <v>1649.8006246199559</v>
      </c>
      <c r="H403" s="1">
        <f t="shared" ca="1" si="26"/>
        <v>0.1576795015406629</v>
      </c>
    </row>
    <row r="404" spans="5:8" x14ac:dyDescent="0.3">
      <c r="E404" s="1">
        <f t="shared" si="27"/>
        <v>400</v>
      </c>
      <c r="F404" s="1">
        <f t="shared" ca="1" si="24"/>
        <v>0.84130454835305402</v>
      </c>
      <c r="G404" s="1">
        <f t="shared" ca="1" si="25"/>
        <v>2468.0838556025624</v>
      </c>
      <c r="H404" s="1">
        <f t="shared" ca="1" si="26"/>
        <v>0.23588682553785362</v>
      </c>
    </row>
    <row r="405" spans="5:8" x14ac:dyDescent="0.3">
      <c r="E405" s="1">
        <f t="shared" si="27"/>
        <v>401</v>
      </c>
      <c r="F405" s="1">
        <f t="shared" ca="1" si="24"/>
        <v>1.1704757219220665</v>
      </c>
      <c r="G405" s="1">
        <f t="shared" ca="1" si="25"/>
        <v>1749.2974517179273</v>
      </c>
      <c r="H405" s="1">
        <f t="shared" ca="1" si="26"/>
        <v>0.16718889914153945</v>
      </c>
    </row>
    <row r="406" spans="5:8" x14ac:dyDescent="0.3">
      <c r="E406" s="1">
        <f t="shared" si="27"/>
        <v>402</v>
      </c>
      <c r="F406" s="1">
        <f t="shared" ca="1" si="24"/>
        <v>1.1208850855529355</v>
      </c>
      <c r="G406" s="1">
        <f t="shared" ca="1" si="25"/>
        <v>1857.5848050594709</v>
      </c>
      <c r="H406" s="1">
        <f t="shared" ca="1" si="26"/>
        <v>0.17753845025895737</v>
      </c>
    </row>
    <row r="407" spans="5:8" x14ac:dyDescent="0.3">
      <c r="E407" s="1">
        <f t="shared" si="27"/>
        <v>403</v>
      </c>
      <c r="F407" s="1">
        <f t="shared" ca="1" si="24"/>
        <v>1.3059657337457822</v>
      </c>
      <c r="G407" s="1">
        <f t="shared" ca="1" si="25"/>
        <v>1453.4380746493662</v>
      </c>
      <c r="H407" s="1">
        <f t="shared" ca="1" si="26"/>
        <v>0.13891217381720025</v>
      </c>
    </row>
    <row r="408" spans="5:8" x14ac:dyDescent="0.3">
      <c r="E408" s="1">
        <f t="shared" si="27"/>
        <v>404</v>
      </c>
      <c r="F408" s="1">
        <f t="shared" ca="1" si="24"/>
        <v>1.1324386732836782</v>
      </c>
      <c r="G408" s="1">
        <f t="shared" ca="1" si="25"/>
        <v>1832.356102050928</v>
      </c>
      <c r="H408" s="1">
        <f t="shared" ca="1" si="26"/>
        <v>0.17512721992267305</v>
      </c>
    </row>
    <row r="409" spans="5:8" x14ac:dyDescent="0.3">
      <c r="E409" s="1">
        <f t="shared" si="27"/>
        <v>405</v>
      </c>
      <c r="F409" s="1">
        <f t="shared" ca="1" si="24"/>
        <v>1.1000357060207238</v>
      </c>
      <c r="G409" s="1">
        <f t="shared" ca="1" si="25"/>
        <v>1903.112031440497</v>
      </c>
      <c r="H409" s="1">
        <f t="shared" ca="1" si="26"/>
        <v>0.18188970959003126</v>
      </c>
    </row>
    <row r="410" spans="5:8" x14ac:dyDescent="0.3">
      <c r="E410" s="1">
        <f t="shared" si="27"/>
        <v>406</v>
      </c>
      <c r="F410" s="1">
        <f t="shared" ca="1" si="24"/>
        <v>1.0243647721987537</v>
      </c>
      <c r="G410" s="1">
        <f t="shared" ca="1" si="25"/>
        <v>2068.3489743074965</v>
      </c>
      <c r="H410" s="1">
        <f t="shared" ca="1" si="26"/>
        <v>0.19768221105873043</v>
      </c>
    </row>
    <row r="411" spans="5:8" x14ac:dyDescent="0.3">
      <c r="E411" s="1">
        <f t="shared" si="27"/>
        <v>407</v>
      </c>
      <c r="F411" s="1">
        <f t="shared" ca="1" si="24"/>
        <v>1.3409591504246903</v>
      </c>
      <c r="G411" s="1">
        <f t="shared" ca="1" si="25"/>
        <v>1377.0255751538857</v>
      </c>
      <c r="H411" s="1">
        <f t="shared" ca="1" si="26"/>
        <v>0.13160905812423643</v>
      </c>
    </row>
    <row r="412" spans="5:8" x14ac:dyDescent="0.3">
      <c r="E412" s="1">
        <f t="shared" si="27"/>
        <v>408</v>
      </c>
      <c r="F412" s="1">
        <f t="shared" ca="1" si="24"/>
        <v>1.2550623697486525</v>
      </c>
      <c r="G412" s="1">
        <f t="shared" ca="1" si="25"/>
        <v>1564.5919328575985</v>
      </c>
      <c r="H412" s="1">
        <f t="shared" ca="1" si="26"/>
        <v>0.14953569080164375</v>
      </c>
    </row>
    <row r="413" spans="5:8" x14ac:dyDescent="0.3">
      <c r="E413" s="1">
        <f t="shared" si="27"/>
        <v>409</v>
      </c>
      <c r="F413" s="1">
        <f t="shared" ca="1" si="24"/>
        <v>1.0148713956880475</v>
      </c>
      <c r="G413" s="1">
        <f t="shared" ca="1" si="25"/>
        <v>2089.0789485906871</v>
      </c>
      <c r="H413" s="1">
        <f t="shared" ca="1" si="26"/>
        <v>0.19966347592379691</v>
      </c>
    </row>
    <row r="414" spans="5:8" x14ac:dyDescent="0.3">
      <c r="E414" s="1">
        <f t="shared" si="27"/>
        <v>410</v>
      </c>
      <c r="F414" s="1">
        <f t="shared" ca="1" si="24"/>
        <v>1.0126337396874747</v>
      </c>
      <c r="G414" s="1">
        <f t="shared" ca="1" si="25"/>
        <v>2093.9651501749377</v>
      </c>
      <c r="H414" s="1">
        <f t="shared" ca="1" si="26"/>
        <v>0.20013047406813894</v>
      </c>
    </row>
    <row r="415" spans="5:8" x14ac:dyDescent="0.3">
      <c r="E415" s="1">
        <f t="shared" si="27"/>
        <v>411</v>
      </c>
      <c r="F415" s="1">
        <f t="shared" ca="1" si="24"/>
        <v>1.1610361717086444</v>
      </c>
      <c r="G415" s="1">
        <f t="shared" ca="1" si="25"/>
        <v>1769.9098895527113</v>
      </c>
      <c r="H415" s="1">
        <f t="shared" ca="1" si="26"/>
        <v>0.16915893047431055</v>
      </c>
    </row>
    <row r="416" spans="5:8" x14ac:dyDescent="0.3">
      <c r="E416" s="1">
        <f t="shared" si="27"/>
        <v>412</v>
      </c>
      <c r="F416" s="1">
        <f t="shared" ca="1" si="24"/>
        <v>1.0916427588744566</v>
      </c>
      <c r="G416" s="1">
        <f t="shared" ca="1" si="25"/>
        <v>1921.4390806527645</v>
      </c>
      <c r="H416" s="1">
        <f t="shared" ca="1" si="26"/>
        <v>0.18364131517277688</v>
      </c>
    </row>
    <row r="417" spans="5:8" x14ac:dyDescent="0.3">
      <c r="E417" s="1">
        <f t="shared" si="27"/>
        <v>413</v>
      </c>
      <c r="F417" s="1">
        <f t="shared" ca="1" si="24"/>
        <v>1.5157939289309545</v>
      </c>
      <c r="G417" s="1">
        <f t="shared" ca="1" si="25"/>
        <v>995.25198193814424</v>
      </c>
      <c r="H417" s="1">
        <f t="shared" ca="1" si="26"/>
        <v>9.5121091650400863E-2</v>
      </c>
    </row>
    <row r="418" spans="5:8" x14ac:dyDescent="0.3">
      <c r="E418" s="1">
        <f t="shared" si="27"/>
        <v>414</v>
      </c>
      <c r="F418" s="1">
        <f t="shared" ca="1" si="24"/>
        <v>1.229528469815816</v>
      </c>
      <c r="G418" s="1">
        <f t="shared" ca="1" si="25"/>
        <v>1620.3483950984387</v>
      </c>
      <c r="H418" s="1">
        <f t="shared" ca="1" si="26"/>
        <v>0.15486460815238828</v>
      </c>
    </row>
    <row r="419" spans="5:8" x14ac:dyDescent="0.3">
      <c r="E419" s="1">
        <f t="shared" si="27"/>
        <v>415</v>
      </c>
      <c r="F419" s="1">
        <f t="shared" ca="1" si="24"/>
        <v>1.101416533869334</v>
      </c>
      <c r="G419" s="1">
        <f t="shared" ca="1" si="25"/>
        <v>1900.0968212295754</v>
      </c>
      <c r="H419" s="1">
        <f t="shared" ca="1" si="26"/>
        <v>0.18160153122714093</v>
      </c>
    </row>
    <row r="420" spans="5:8" x14ac:dyDescent="0.3">
      <c r="E420" s="1">
        <f t="shared" si="27"/>
        <v>416</v>
      </c>
      <c r="F420" s="1">
        <f t="shared" ca="1" si="24"/>
        <v>1.0457054158652632</v>
      </c>
      <c r="G420" s="1">
        <f t="shared" ca="1" si="25"/>
        <v>2021.7490112812145</v>
      </c>
      <c r="H420" s="1">
        <f t="shared" ca="1" si="26"/>
        <v>0.19322842504838139</v>
      </c>
    </row>
    <row r="421" spans="5:8" x14ac:dyDescent="0.3">
      <c r="E421" s="1">
        <f t="shared" si="27"/>
        <v>417</v>
      </c>
      <c r="F421" s="1">
        <f t="shared" ca="1" si="24"/>
        <v>1.3343553548077145</v>
      </c>
      <c r="G421" s="1">
        <f t="shared" ca="1" si="25"/>
        <v>1391.4457883580044</v>
      </c>
      <c r="H421" s="1">
        <f t="shared" ca="1" si="26"/>
        <v>0.13298726831291258</v>
      </c>
    </row>
    <row r="422" spans="5:8" x14ac:dyDescent="0.3">
      <c r="E422" s="1">
        <f t="shared" si="27"/>
        <v>418</v>
      </c>
      <c r="F422" s="1">
        <f t="shared" ca="1" si="24"/>
        <v>1.2772762714189723</v>
      </c>
      <c r="G422" s="1">
        <f t="shared" ca="1" si="25"/>
        <v>1516.0851018227465</v>
      </c>
      <c r="H422" s="1">
        <f t="shared" ca="1" si="26"/>
        <v>0.14489965610463026</v>
      </c>
    </row>
    <row r="423" spans="5:8" x14ac:dyDescent="0.3">
      <c r="E423" s="1">
        <f t="shared" si="27"/>
        <v>419</v>
      </c>
      <c r="F423" s="1">
        <f t="shared" ca="1" si="24"/>
        <v>1.111541087790898</v>
      </c>
      <c r="G423" s="1">
        <f t="shared" ca="1" si="25"/>
        <v>1877.9885921726002</v>
      </c>
      <c r="H423" s="1">
        <f t="shared" ca="1" si="26"/>
        <v>0.17948853982343499</v>
      </c>
    </row>
    <row r="424" spans="5:8" x14ac:dyDescent="0.3">
      <c r="E424" s="1">
        <f t="shared" si="27"/>
        <v>420</v>
      </c>
      <c r="F424" s="1">
        <f t="shared" ca="1" si="24"/>
        <v>1.0837090420367115</v>
      </c>
      <c r="G424" s="1">
        <f t="shared" ca="1" si="25"/>
        <v>1938.7633430825858</v>
      </c>
      <c r="H424" s="1">
        <f t="shared" ca="1" si="26"/>
        <v>0.18529707952619573</v>
      </c>
    </row>
    <row r="425" spans="5:8" x14ac:dyDescent="0.3">
      <c r="E425" s="1">
        <f t="shared" si="27"/>
        <v>421</v>
      </c>
      <c r="F425" s="1">
        <f t="shared" ca="1" si="24"/>
        <v>1.1713896605468668</v>
      </c>
      <c r="G425" s="1">
        <f t="shared" ca="1" si="25"/>
        <v>1747.3017524883478</v>
      </c>
      <c r="H425" s="1">
        <f t="shared" ca="1" si="26"/>
        <v>0.16699816042132731</v>
      </c>
    </row>
    <row r="426" spans="5:8" x14ac:dyDescent="0.3">
      <c r="E426" s="1">
        <f t="shared" si="27"/>
        <v>422</v>
      </c>
      <c r="F426" s="1">
        <f t="shared" ca="1" si="24"/>
        <v>1.4924626482505718</v>
      </c>
      <c r="G426" s="1">
        <f t="shared" ca="1" si="25"/>
        <v>1046.1987497138448</v>
      </c>
      <c r="H426" s="1">
        <f t="shared" ca="1" si="26"/>
        <v>9.9990323015755028E-2</v>
      </c>
    </row>
    <row r="427" spans="5:8" x14ac:dyDescent="0.3">
      <c r="E427" s="1">
        <f t="shared" si="27"/>
        <v>423</v>
      </c>
      <c r="F427" s="1">
        <f t="shared" ca="1" si="24"/>
        <v>1.0127780285683492</v>
      </c>
      <c r="G427" s="1">
        <f t="shared" ca="1" si="25"/>
        <v>2093.6500773674384</v>
      </c>
      <c r="H427" s="1">
        <f t="shared" ca="1" si="26"/>
        <v>0.20010036102145068</v>
      </c>
    </row>
    <row r="428" spans="5:8" x14ac:dyDescent="0.3">
      <c r="E428" s="1">
        <f t="shared" si="27"/>
        <v>424</v>
      </c>
      <c r="F428" s="1">
        <f t="shared" ca="1" si="24"/>
        <v>1.293446371307639</v>
      </c>
      <c r="G428" s="1">
        <f t="shared" ca="1" si="25"/>
        <v>1480.7756674533568</v>
      </c>
      <c r="H428" s="1">
        <f t="shared" ca="1" si="26"/>
        <v>0.14152496104877729</v>
      </c>
    </row>
    <row r="429" spans="5:8" x14ac:dyDescent="0.3">
      <c r="E429" s="1">
        <f t="shared" si="27"/>
        <v>425</v>
      </c>
      <c r="F429" s="1">
        <f t="shared" ca="1" si="24"/>
        <v>1.3174214563471061</v>
      </c>
      <c r="G429" s="1">
        <f t="shared" ca="1" si="25"/>
        <v>1428.4230723840503</v>
      </c>
      <c r="H429" s="1">
        <f t="shared" ca="1" si="26"/>
        <v>0.13652136790442992</v>
      </c>
    </row>
    <row r="430" spans="5:8" x14ac:dyDescent="0.3">
      <c r="E430" s="1">
        <f t="shared" si="27"/>
        <v>426</v>
      </c>
      <c r="F430" s="1">
        <f t="shared" ca="1" si="24"/>
        <v>1.2296577691860824</v>
      </c>
      <c r="G430" s="1">
        <f t="shared" ca="1" si="25"/>
        <v>1620.0660537610406</v>
      </c>
      <c r="H430" s="1">
        <f t="shared" ca="1" si="26"/>
        <v>0.15483762341212279</v>
      </c>
    </row>
    <row r="431" spans="5:8" x14ac:dyDescent="0.3">
      <c r="E431" s="1">
        <f t="shared" si="27"/>
        <v>427</v>
      </c>
      <c r="F431" s="1">
        <f t="shared" ca="1" si="24"/>
        <v>1.3354951189750168</v>
      </c>
      <c r="G431" s="1">
        <f t="shared" ca="1" si="25"/>
        <v>1388.9569708281788</v>
      </c>
      <c r="H431" s="1">
        <f t="shared" ca="1" si="26"/>
        <v>0.13274939986888834</v>
      </c>
    </row>
    <row r="432" spans="5:8" x14ac:dyDescent="0.3">
      <c r="E432" s="1">
        <f t="shared" si="27"/>
        <v>428</v>
      </c>
      <c r="F432" s="1">
        <f t="shared" ca="1" si="24"/>
        <v>1.0963325928220169</v>
      </c>
      <c r="G432" s="1">
        <f t="shared" ca="1" si="25"/>
        <v>1911.1982419990231</v>
      </c>
      <c r="H432" s="1">
        <f t="shared" ca="1" si="26"/>
        <v>0.18266254821743508</v>
      </c>
    </row>
    <row r="433" spans="5:8" x14ac:dyDescent="0.3">
      <c r="E433" s="1">
        <f t="shared" si="27"/>
        <v>429</v>
      </c>
      <c r="F433" s="1">
        <f t="shared" ca="1" si="24"/>
        <v>1.2307886030371773</v>
      </c>
      <c r="G433" s="1">
        <f t="shared" ca="1" si="25"/>
        <v>1617.5967366929435</v>
      </c>
      <c r="H433" s="1">
        <f t="shared" ca="1" si="26"/>
        <v>0.15460161872244516</v>
      </c>
    </row>
    <row r="434" spans="5:8" x14ac:dyDescent="0.3">
      <c r="E434" s="1">
        <f t="shared" si="27"/>
        <v>430</v>
      </c>
      <c r="F434" s="1">
        <f t="shared" ca="1" si="24"/>
        <v>1.0152972763562531</v>
      </c>
      <c r="G434" s="1">
        <f t="shared" ca="1" si="25"/>
        <v>2088.1489849165769</v>
      </c>
      <c r="H434" s="1">
        <f t="shared" ca="1" si="26"/>
        <v>0.19957459475452327</v>
      </c>
    </row>
    <row r="435" spans="5:8" x14ac:dyDescent="0.3">
      <c r="E435" s="1">
        <f t="shared" si="27"/>
        <v>431</v>
      </c>
      <c r="F435" s="1">
        <f t="shared" ca="1" si="24"/>
        <v>1.1764140916691925</v>
      </c>
      <c r="G435" s="1">
        <f t="shared" ca="1" si="25"/>
        <v>1736.3302790788593</v>
      </c>
      <c r="H435" s="1">
        <f t="shared" ca="1" si="26"/>
        <v>0.16594956313474715</v>
      </c>
    </row>
    <row r="436" spans="5:8" x14ac:dyDescent="0.3">
      <c r="E436" s="1">
        <f t="shared" si="27"/>
        <v>432</v>
      </c>
      <c r="F436" s="1">
        <f t="shared" ca="1" si="24"/>
        <v>1.0451268907110822</v>
      </c>
      <c r="G436" s="1">
        <f t="shared" ca="1" si="25"/>
        <v>2023.0122932710128</v>
      </c>
      <c r="H436" s="1">
        <f t="shared" ca="1" si="26"/>
        <v>0.19334916307665229</v>
      </c>
    </row>
    <row r="437" spans="5:8" x14ac:dyDescent="0.3">
      <c r="E437" s="1">
        <f t="shared" si="27"/>
        <v>433</v>
      </c>
      <c r="F437" s="1">
        <f t="shared" ca="1" si="24"/>
        <v>1.4453328696726893</v>
      </c>
      <c r="G437" s="1">
        <f t="shared" ca="1" si="25"/>
        <v>1149.1125124609739</v>
      </c>
      <c r="H437" s="1">
        <f t="shared" ca="1" si="26"/>
        <v>0.10982629384124762</v>
      </c>
    </row>
    <row r="438" spans="5:8" x14ac:dyDescent="0.3">
      <c r="E438" s="1">
        <f t="shared" si="27"/>
        <v>434</v>
      </c>
      <c r="F438" s="1">
        <f t="shared" ca="1" si="24"/>
        <v>1.2549615872314968</v>
      </c>
      <c r="G438" s="1">
        <f t="shared" ca="1" si="25"/>
        <v>1564.8120040816227</v>
      </c>
      <c r="H438" s="1">
        <f t="shared" ca="1" si="26"/>
        <v>0.1495567240831141</v>
      </c>
    </row>
    <row r="439" spans="5:8" x14ac:dyDescent="0.3">
      <c r="E439" s="1">
        <f t="shared" si="27"/>
        <v>435</v>
      </c>
      <c r="F439" s="1">
        <f t="shared" ca="1" si="24"/>
        <v>1.0502211814617866</v>
      </c>
      <c r="G439" s="1">
        <f t="shared" ca="1" si="25"/>
        <v>2011.8882726305062</v>
      </c>
      <c r="H439" s="1">
        <f t="shared" ca="1" si="26"/>
        <v>0.19228598610632766</v>
      </c>
    </row>
    <row r="440" spans="5:8" x14ac:dyDescent="0.3">
      <c r="E440" s="1">
        <f t="shared" si="27"/>
        <v>436</v>
      </c>
      <c r="F440" s="1">
        <f t="shared" ca="1" si="24"/>
        <v>1.15316729722644</v>
      </c>
      <c r="G440" s="1">
        <f t="shared" ca="1" si="25"/>
        <v>1787.0925605939149</v>
      </c>
      <c r="H440" s="1">
        <f t="shared" ca="1" si="26"/>
        <v>0.17080116224733966</v>
      </c>
    </row>
    <row r="441" spans="5:8" x14ac:dyDescent="0.3">
      <c r="E441" s="1">
        <f t="shared" si="27"/>
        <v>437</v>
      </c>
      <c r="F441" s="1">
        <f t="shared" ca="1" si="24"/>
        <v>1.2395993572408603</v>
      </c>
      <c r="G441" s="1">
        <f t="shared" ca="1" si="25"/>
        <v>1598.3573535449261</v>
      </c>
      <c r="H441" s="1">
        <f t="shared" ca="1" si="26"/>
        <v>0.15276281693060559</v>
      </c>
    </row>
    <row r="442" spans="5:8" x14ac:dyDescent="0.3">
      <c r="E442" s="1">
        <f t="shared" si="27"/>
        <v>438</v>
      </c>
      <c r="F442" s="1">
        <f t="shared" ca="1" si="24"/>
        <v>1.1963779759961177</v>
      </c>
      <c r="G442" s="1">
        <f t="shared" ca="1" si="25"/>
        <v>1692.7366421654774</v>
      </c>
      <c r="H442" s="1">
        <f t="shared" ca="1" si="26"/>
        <v>0.16178310639066018</v>
      </c>
    </row>
    <row r="443" spans="5:8" x14ac:dyDescent="0.3">
      <c r="E443" s="1">
        <f t="shared" si="27"/>
        <v>439</v>
      </c>
      <c r="F443" s="1">
        <f t="shared" ca="1" si="24"/>
        <v>1.1863751694264875</v>
      </c>
      <c r="G443" s="1">
        <f t="shared" ca="1" si="25"/>
        <v>1714.5790206610861</v>
      </c>
      <c r="H443" s="1">
        <f t="shared" ca="1" si="26"/>
        <v>0.16387068915808908</v>
      </c>
    </row>
    <row r="444" spans="5:8" x14ac:dyDescent="0.3">
      <c r="E444" s="1">
        <f t="shared" si="27"/>
        <v>440</v>
      </c>
      <c r="F444" s="1">
        <f t="shared" ca="1" si="24"/>
        <v>1.0652102985438423</v>
      </c>
      <c r="G444" s="1">
        <f t="shared" ca="1" si="25"/>
        <v>1979.1576618422023</v>
      </c>
      <c r="H444" s="1">
        <f t="shared" ca="1" si="26"/>
        <v>0.18915776181231025</v>
      </c>
    </row>
    <row r="445" spans="5:8" x14ac:dyDescent="0.3">
      <c r="E445" s="1">
        <f t="shared" si="27"/>
        <v>441</v>
      </c>
      <c r="F445" s="1">
        <f t="shared" ca="1" si="24"/>
        <v>1.2408501464173967</v>
      </c>
      <c r="G445" s="1">
        <f t="shared" ca="1" si="25"/>
        <v>1595.6260990293122</v>
      </c>
      <c r="H445" s="1">
        <f t="shared" ca="1" si="26"/>
        <v>0.15250177760004896</v>
      </c>
    </row>
    <row r="446" spans="5:8" x14ac:dyDescent="0.3">
      <c r="E446" s="1">
        <f t="shared" si="27"/>
        <v>442</v>
      </c>
      <c r="F446" s="1">
        <f t="shared" ca="1" si="24"/>
        <v>1.307258093144346</v>
      </c>
      <c r="G446" s="1">
        <f t="shared" ca="1" si="25"/>
        <v>1450.6160463576773</v>
      </c>
      <c r="H446" s="1">
        <f t="shared" ca="1" si="26"/>
        <v>0.138642458793623</v>
      </c>
    </row>
    <row r="447" spans="5:8" x14ac:dyDescent="0.3">
      <c r="E447" s="1">
        <f t="shared" si="27"/>
        <v>443</v>
      </c>
      <c r="F447" s="1">
        <f t="shared" ca="1" si="24"/>
        <v>1.2211599020474955</v>
      </c>
      <c r="G447" s="1">
        <f t="shared" ca="1" si="25"/>
        <v>1638.6222088915376</v>
      </c>
      <c r="H447" s="1">
        <f t="shared" ca="1" si="26"/>
        <v>0.15661112576617964</v>
      </c>
    </row>
    <row r="448" spans="5:8" x14ac:dyDescent="0.3">
      <c r="E448" s="1">
        <f t="shared" si="27"/>
        <v>444</v>
      </c>
      <c r="F448" s="1">
        <f t="shared" ca="1" si="24"/>
        <v>1.0227123303191326</v>
      </c>
      <c r="G448" s="1">
        <f t="shared" ca="1" si="25"/>
        <v>2071.957287706884</v>
      </c>
      <c r="H448" s="1">
        <f t="shared" ca="1" si="26"/>
        <v>0.19802707518941834</v>
      </c>
    </row>
    <row r="449" spans="5:8" x14ac:dyDescent="0.3">
      <c r="E449" s="1">
        <f t="shared" si="27"/>
        <v>445</v>
      </c>
      <c r="F449" s="1">
        <f t="shared" ca="1" si="24"/>
        <v>1.6400933324707581</v>
      </c>
      <c r="G449" s="1">
        <f t="shared" ca="1" si="25"/>
        <v>723.82869688354083</v>
      </c>
      <c r="H449" s="1">
        <f t="shared" ca="1" si="26"/>
        <v>6.9179842959336796E-2</v>
      </c>
    </row>
    <row r="450" spans="5:8" x14ac:dyDescent="0.3">
      <c r="E450" s="1">
        <f t="shared" si="27"/>
        <v>446</v>
      </c>
      <c r="F450" s="1">
        <f t="shared" ca="1" si="24"/>
        <v>1.3401514772516916</v>
      </c>
      <c r="G450" s="1">
        <f t="shared" ca="1" si="25"/>
        <v>1378.7892304862748</v>
      </c>
      <c r="H450" s="1">
        <f t="shared" ca="1" si="26"/>
        <v>0.13177761927614209</v>
      </c>
    </row>
    <row r="451" spans="5:8" x14ac:dyDescent="0.3">
      <c r="E451" s="1">
        <f t="shared" si="27"/>
        <v>447</v>
      </c>
      <c r="F451" s="1">
        <f t="shared" ca="1" si="24"/>
        <v>0.93572602879132094</v>
      </c>
      <c r="G451" s="1">
        <f t="shared" ca="1" si="25"/>
        <v>2261.9027503805519</v>
      </c>
      <c r="H451" s="1">
        <f t="shared" ca="1" si="26"/>
        <v>0.21618109054578533</v>
      </c>
    </row>
    <row r="452" spans="5:8" x14ac:dyDescent="0.3">
      <c r="E452" s="1">
        <f t="shared" si="27"/>
        <v>448</v>
      </c>
      <c r="F452" s="1">
        <f t="shared" ca="1" si="24"/>
        <v>0.94239768817144354</v>
      </c>
      <c r="G452" s="1">
        <f t="shared" ca="1" si="25"/>
        <v>2247.3343481666316</v>
      </c>
      <c r="H452" s="1">
        <f t="shared" ca="1" si="26"/>
        <v>0.21478871720984724</v>
      </c>
    </row>
    <row r="453" spans="5:8" x14ac:dyDescent="0.3">
      <c r="E453" s="1">
        <f t="shared" si="27"/>
        <v>449</v>
      </c>
      <c r="F453" s="1">
        <f t="shared" ref="F453:F516" ca="1" si="28">_xlfn.NORM.INV(RAND(), $C$9, $C$9 * $C$10)</f>
        <v>1.2243979734575636</v>
      </c>
      <c r="G453" s="1">
        <f t="shared" ref="G453:G516" ca="1" si="29">$C$7 - ($C$6 + $C$8 * $C$11) - (($C$6 + $C$8 * $C$11) * (1 - $C$12) * (F453 - $C$13))</f>
        <v>1631.5514752087274</v>
      </c>
      <c r="H453" s="1">
        <f t="shared" ref="H453:H516" ca="1" si="30">G453 / $C$7</f>
        <v>0.15593534122228112</v>
      </c>
    </row>
    <row r="454" spans="5:8" x14ac:dyDescent="0.3">
      <c r="E454" s="1">
        <f t="shared" ref="E454:E517" si="31">ROW()-4</f>
        <v>450</v>
      </c>
      <c r="F454" s="1">
        <f t="shared" ca="1" si="28"/>
        <v>1.0023251182871784</v>
      </c>
      <c r="G454" s="1">
        <f t="shared" ca="1" si="29"/>
        <v>2116.4753135801598</v>
      </c>
      <c r="H454" s="1">
        <f t="shared" ca="1" si="30"/>
        <v>0.2022818803001204</v>
      </c>
    </row>
    <row r="455" spans="5:8" x14ac:dyDescent="0.3">
      <c r="E455" s="1">
        <f t="shared" si="31"/>
        <v>451</v>
      </c>
      <c r="F455" s="1">
        <f t="shared" ca="1" si="28"/>
        <v>1.3033350975778533</v>
      </c>
      <c r="G455" s="1">
        <f t="shared" ca="1" si="29"/>
        <v>1459.1823975515599</v>
      </c>
      <c r="H455" s="1">
        <f t="shared" ca="1" si="30"/>
        <v>0.1394611868060365</v>
      </c>
    </row>
    <row r="456" spans="5:8" x14ac:dyDescent="0.3">
      <c r="E456" s="1">
        <f t="shared" si="31"/>
        <v>452</v>
      </c>
      <c r="F456" s="1">
        <f t="shared" ca="1" si="28"/>
        <v>1.0160136075148516</v>
      </c>
      <c r="G456" s="1">
        <f t="shared" ca="1" si="29"/>
        <v>2086.584786290382</v>
      </c>
      <c r="H456" s="1">
        <f t="shared" ca="1" si="30"/>
        <v>0.19942509665395985</v>
      </c>
    </row>
    <row r="457" spans="5:8" x14ac:dyDescent="0.3">
      <c r="E457" s="1">
        <f t="shared" si="31"/>
        <v>453</v>
      </c>
      <c r="F457" s="1">
        <f t="shared" ca="1" si="28"/>
        <v>1.3154659281032344</v>
      </c>
      <c r="G457" s="1">
        <f t="shared" ca="1" si="29"/>
        <v>1432.6932127455748</v>
      </c>
      <c r="H457" s="1">
        <f t="shared" ca="1" si="30"/>
        <v>0.13692948606953786</v>
      </c>
    </row>
    <row r="458" spans="5:8" x14ac:dyDescent="0.3">
      <c r="E458" s="1">
        <f t="shared" si="31"/>
        <v>454</v>
      </c>
      <c r="F458" s="1">
        <f t="shared" ca="1" si="28"/>
        <v>1.2508432982214801</v>
      </c>
      <c r="G458" s="1">
        <f t="shared" ca="1" si="29"/>
        <v>1573.8048029211204</v>
      </c>
      <c r="H458" s="1">
        <f t="shared" ca="1" si="30"/>
        <v>0.1504162097793291</v>
      </c>
    </row>
    <row r="459" spans="5:8" x14ac:dyDescent="0.3">
      <c r="E459" s="1">
        <f t="shared" si="31"/>
        <v>455</v>
      </c>
      <c r="F459" s="1">
        <f t="shared" ca="1" si="28"/>
        <v>1.098463166231568</v>
      </c>
      <c r="G459" s="1">
        <f t="shared" ca="1" si="29"/>
        <v>1906.5458686375921</v>
      </c>
      <c r="H459" s="1">
        <f t="shared" ca="1" si="30"/>
        <v>0.1822178981781126</v>
      </c>
    </row>
    <row r="460" spans="5:8" x14ac:dyDescent="0.3">
      <c r="E460" s="1">
        <f t="shared" si="31"/>
        <v>456</v>
      </c>
      <c r="F460" s="1">
        <f t="shared" ca="1" si="28"/>
        <v>1.1899781236876792</v>
      </c>
      <c r="G460" s="1">
        <f t="shared" ca="1" si="29"/>
        <v>1706.7115196624914</v>
      </c>
      <c r="H460" s="1">
        <f t="shared" ca="1" si="30"/>
        <v>0.16311875367126935</v>
      </c>
    </row>
    <row r="461" spans="5:8" x14ac:dyDescent="0.3">
      <c r="E461" s="1">
        <f t="shared" si="31"/>
        <v>457</v>
      </c>
      <c r="F461" s="1">
        <f t="shared" ca="1" si="28"/>
        <v>1.130718258848505</v>
      </c>
      <c r="G461" s="1">
        <f t="shared" ca="1" si="29"/>
        <v>1836.1128420219331</v>
      </c>
      <c r="H461" s="1">
        <f t="shared" ca="1" si="30"/>
        <v>0.17548626990556562</v>
      </c>
    </row>
    <row r="462" spans="5:8" x14ac:dyDescent="0.3">
      <c r="E462" s="1">
        <f t="shared" si="31"/>
        <v>458</v>
      </c>
      <c r="F462" s="1">
        <f t="shared" ca="1" si="28"/>
        <v>1.1934392630866966</v>
      </c>
      <c r="G462" s="1">
        <f t="shared" ca="1" si="29"/>
        <v>1699.153689142312</v>
      </c>
      <c r="H462" s="1">
        <f t="shared" ca="1" si="30"/>
        <v>0.1623964149041682</v>
      </c>
    </row>
    <row r="463" spans="5:8" x14ac:dyDescent="0.3">
      <c r="E463" s="1">
        <f t="shared" si="31"/>
        <v>459</v>
      </c>
      <c r="F463" s="1">
        <f t="shared" ca="1" si="28"/>
        <v>1.220372443547932</v>
      </c>
      <c r="G463" s="1">
        <f t="shared" ca="1" si="29"/>
        <v>1640.3417229576469</v>
      </c>
      <c r="H463" s="1">
        <f t="shared" ca="1" si="30"/>
        <v>0.15677546812172866</v>
      </c>
    </row>
    <row r="464" spans="5:8" x14ac:dyDescent="0.3">
      <c r="E464" s="1">
        <f t="shared" si="31"/>
        <v>460</v>
      </c>
      <c r="F464" s="1">
        <f t="shared" ca="1" si="28"/>
        <v>1.1418548690427044</v>
      </c>
      <c r="G464" s="1">
        <f t="shared" ca="1" si="29"/>
        <v>1811.7946615866244</v>
      </c>
      <c r="H464" s="1">
        <f t="shared" ca="1" si="30"/>
        <v>0.17316206265761488</v>
      </c>
    </row>
    <row r="465" spans="5:8" x14ac:dyDescent="0.3">
      <c r="E465" s="1">
        <f t="shared" si="31"/>
        <v>461</v>
      </c>
      <c r="F465" s="1">
        <f t="shared" ca="1" si="28"/>
        <v>1.2139026465295453</v>
      </c>
      <c r="G465" s="1">
        <f t="shared" ca="1" si="29"/>
        <v>1654.4693334719216</v>
      </c>
      <c r="H465" s="1">
        <f t="shared" ca="1" si="30"/>
        <v>0.15812571284258067</v>
      </c>
    </row>
    <row r="466" spans="5:8" x14ac:dyDescent="0.3">
      <c r="E466" s="1">
        <f t="shared" si="31"/>
        <v>462</v>
      </c>
      <c r="F466" s="1">
        <f t="shared" ca="1" si="28"/>
        <v>1.2828562744170648</v>
      </c>
      <c r="G466" s="1">
        <f t="shared" ca="1" si="29"/>
        <v>1503.9004677760367</v>
      </c>
      <c r="H466" s="1">
        <f t="shared" ca="1" si="30"/>
        <v>0.14373511113218357</v>
      </c>
    </row>
    <row r="467" spans="5:8" x14ac:dyDescent="0.3">
      <c r="E467" s="1">
        <f t="shared" si="31"/>
        <v>463</v>
      </c>
      <c r="F467" s="1">
        <f t="shared" ca="1" si="28"/>
        <v>1.2556211977314231</v>
      </c>
      <c r="G467" s="1">
        <f t="shared" ca="1" si="29"/>
        <v>1563.3716621037211</v>
      </c>
      <c r="H467" s="1">
        <f t="shared" ca="1" si="30"/>
        <v>0.14941906356721027</v>
      </c>
    </row>
    <row r="468" spans="5:8" x14ac:dyDescent="0.3">
      <c r="E468" s="1">
        <f t="shared" si="31"/>
        <v>464</v>
      </c>
      <c r="F468" s="1">
        <f t="shared" ca="1" si="28"/>
        <v>1.2443168931448987</v>
      </c>
      <c r="G468" s="1">
        <f t="shared" ca="1" si="29"/>
        <v>1588.0560242064705</v>
      </c>
      <c r="H468" s="1">
        <f t="shared" ca="1" si="30"/>
        <v>0.15177826858515439</v>
      </c>
    </row>
    <row r="469" spans="5:8" x14ac:dyDescent="0.3">
      <c r="E469" s="1">
        <f t="shared" si="31"/>
        <v>465</v>
      </c>
      <c r="F469" s="1">
        <f t="shared" ca="1" si="28"/>
        <v>1.2829357697742252</v>
      </c>
      <c r="G469" s="1">
        <f t="shared" ca="1" si="29"/>
        <v>1503.7268797267575</v>
      </c>
      <c r="H469" s="1">
        <f t="shared" ca="1" si="30"/>
        <v>0.14371852047469727</v>
      </c>
    </row>
    <row r="470" spans="5:8" x14ac:dyDescent="0.3">
      <c r="E470" s="1">
        <f t="shared" si="31"/>
        <v>466</v>
      </c>
      <c r="F470" s="1">
        <f t="shared" ca="1" si="28"/>
        <v>1.4598716939234841</v>
      </c>
      <c r="G470" s="1">
        <f t="shared" ca="1" si="29"/>
        <v>1117.3651723563316</v>
      </c>
      <c r="H470" s="1">
        <f t="shared" ca="1" si="30"/>
        <v>0.10679204552770062</v>
      </c>
    </row>
    <row r="471" spans="5:8" x14ac:dyDescent="0.3">
      <c r="E471" s="1">
        <f t="shared" si="31"/>
        <v>467</v>
      </c>
      <c r="F471" s="1">
        <f t="shared" ca="1" si="28"/>
        <v>1.1646417442652743</v>
      </c>
      <c r="G471" s="1">
        <f t="shared" ca="1" si="29"/>
        <v>1762.0366711787401</v>
      </c>
      <c r="H471" s="1">
        <f t="shared" ca="1" si="30"/>
        <v>0.16840644855000861</v>
      </c>
    </row>
    <row r="472" spans="5:8" x14ac:dyDescent="0.3">
      <c r="E472" s="1">
        <f t="shared" si="31"/>
        <v>468</v>
      </c>
      <c r="F472" s="1">
        <f t="shared" ca="1" si="28"/>
        <v>1.1416724114272667</v>
      </c>
      <c r="G472" s="1">
        <f t="shared" ca="1" si="29"/>
        <v>1812.1930805971347</v>
      </c>
      <c r="H472" s="1">
        <f t="shared" ca="1" si="30"/>
        <v>0.17320014150789781</v>
      </c>
    </row>
    <row r="473" spans="5:8" x14ac:dyDescent="0.3">
      <c r="E473" s="1">
        <f t="shared" si="31"/>
        <v>469</v>
      </c>
      <c r="F473" s="1">
        <f t="shared" ca="1" si="28"/>
        <v>1.3717261074152907</v>
      </c>
      <c r="G473" s="1">
        <f t="shared" ca="1" si="29"/>
        <v>1309.8420786952859</v>
      </c>
      <c r="H473" s="1">
        <f t="shared" ca="1" si="30"/>
        <v>0.12518800331599789</v>
      </c>
    </row>
    <row r="474" spans="5:8" x14ac:dyDescent="0.3">
      <c r="E474" s="1">
        <f t="shared" si="31"/>
        <v>470</v>
      </c>
      <c r="F474" s="1">
        <f t="shared" ca="1" si="28"/>
        <v>1.1842628019405224</v>
      </c>
      <c r="G474" s="1">
        <f t="shared" ca="1" si="29"/>
        <v>1719.1916391126267</v>
      </c>
      <c r="H474" s="1">
        <f t="shared" ca="1" si="30"/>
        <v>0.16431153962655326</v>
      </c>
    </row>
    <row r="475" spans="5:8" x14ac:dyDescent="0.3">
      <c r="E475" s="1">
        <f t="shared" si="31"/>
        <v>471</v>
      </c>
      <c r="F475" s="1">
        <f t="shared" ca="1" si="28"/>
        <v>1.2701439744267793</v>
      </c>
      <c r="G475" s="1">
        <f t="shared" ca="1" si="29"/>
        <v>1531.659363842324</v>
      </c>
      <c r="H475" s="1">
        <f t="shared" ca="1" si="30"/>
        <v>0.14638816437372876</v>
      </c>
    </row>
    <row r="476" spans="5:8" x14ac:dyDescent="0.3">
      <c r="E476" s="1">
        <f t="shared" si="31"/>
        <v>472</v>
      </c>
      <c r="F476" s="1">
        <f t="shared" ca="1" si="28"/>
        <v>1.283298142471337</v>
      </c>
      <c r="G476" s="1">
        <f t="shared" ca="1" si="29"/>
        <v>1502.9355936460265</v>
      </c>
      <c r="H476" s="1">
        <f t="shared" ca="1" si="30"/>
        <v>0.14364289340017458</v>
      </c>
    </row>
    <row r="477" spans="5:8" x14ac:dyDescent="0.3">
      <c r="E477" s="1">
        <f t="shared" si="31"/>
        <v>473</v>
      </c>
      <c r="F477" s="1">
        <f t="shared" ca="1" si="28"/>
        <v>1.0208857823663207</v>
      </c>
      <c r="G477" s="1">
        <f t="shared" ca="1" si="29"/>
        <v>2075.9457834803429</v>
      </c>
      <c r="H477" s="1">
        <f t="shared" ca="1" si="30"/>
        <v>0.19840827520599666</v>
      </c>
    </row>
    <row r="478" spans="5:8" x14ac:dyDescent="0.3">
      <c r="E478" s="1">
        <f t="shared" si="31"/>
        <v>474</v>
      </c>
      <c r="F478" s="1">
        <f t="shared" ca="1" si="28"/>
        <v>1.3339718753066774</v>
      </c>
      <c r="G478" s="1">
        <f t="shared" ca="1" si="29"/>
        <v>1392.2831637834565</v>
      </c>
      <c r="H478" s="1">
        <f t="shared" ca="1" si="30"/>
        <v>0.13306730037116091</v>
      </c>
    </row>
    <row r="479" spans="5:8" x14ac:dyDescent="0.3">
      <c r="E479" s="1">
        <f t="shared" si="31"/>
        <v>475</v>
      </c>
      <c r="F479" s="1">
        <f t="shared" ca="1" si="28"/>
        <v>1.0849862607432825</v>
      </c>
      <c r="G479" s="1">
        <f t="shared" ca="1" si="29"/>
        <v>1935.9743763844494</v>
      </c>
      <c r="H479" s="1">
        <f t="shared" ca="1" si="30"/>
        <v>0.18503052436055142</v>
      </c>
    </row>
    <row r="480" spans="5:8" x14ac:dyDescent="0.3">
      <c r="E480" s="1">
        <f t="shared" si="31"/>
        <v>476</v>
      </c>
      <c r="F480" s="1">
        <f t="shared" ca="1" si="28"/>
        <v>1.285765982078162</v>
      </c>
      <c r="G480" s="1">
        <f t="shared" ca="1" si="29"/>
        <v>1497.5467573845735</v>
      </c>
      <c r="H480" s="1">
        <f t="shared" ca="1" si="30"/>
        <v>0.14312785600540701</v>
      </c>
    </row>
    <row r="481" spans="5:8" x14ac:dyDescent="0.3">
      <c r="E481" s="1">
        <f t="shared" si="31"/>
        <v>477</v>
      </c>
      <c r="F481" s="1">
        <f t="shared" ca="1" si="28"/>
        <v>1.2176664892399496</v>
      </c>
      <c r="G481" s="1">
        <f t="shared" ca="1" si="29"/>
        <v>1646.250512433415</v>
      </c>
      <c r="H481" s="1">
        <f t="shared" ca="1" si="30"/>
        <v>0.15734019998407867</v>
      </c>
    </row>
    <row r="482" spans="5:8" x14ac:dyDescent="0.3">
      <c r="E482" s="1">
        <f t="shared" si="31"/>
        <v>478</v>
      </c>
      <c r="F482" s="1">
        <f t="shared" ca="1" si="28"/>
        <v>0.93475661320653081</v>
      </c>
      <c r="G482" s="1">
        <f t="shared" ca="1" si="29"/>
        <v>2264.0195904868888</v>
      </c>
      <c r="H482" s="1">
        <f t="shared" ca="1" si="30"/>
        <v>0.21638340729111047</v>
      </c>
    </row>
    <row r="483" spans="5:8" x14ac:dyDescent="0.3">
      <c r="E483" s="1">
        <f t="shared" si="31"/>
        <v>479</v>
      </c>
      <c r="F483" s="1">
        <f t="shared" ca="1" si="28"/>
        <v>1.2288568743387724</v>
      </c>
      <c r="G483" s="1">
        <f t="shared" ca="1" si="29"/>
        <v>1621.8149077719979</v>
      </c>
      <c r="H483" s="1">
        <f t="shared" ca="1" si="30"/>
        <v>0.15500476992946555</v>
      </c>
    </row>
    <row r="484" spans="5:8" x14ac:dyDescent="0.3">
      <c r="E484" s="1">
        <f t="shared" si="31"/>
        <v>480</v>
      </c>
      <c r="F484" s="1">
        <f t="shared" ca="1" si="28"/>
        <v>1.1890770538899931</v>
      </c>
      <c r="G484" s="1">
        <f t="shared" ca="1" si="29"/>
        <v>1708.6791181994638</v>
      </c>
      <c r="H484" s="1">
        <f t="shared" ca="1" si="30"/>
        <v>0.16330680667107558</v>
      </c>
    </row>
    <row r="485" spans="5:8" x14ac:dyDescent="0.3">
      <c r="E485" s="1">
        <f t="shared" si="31"/>
        <v>481</v>
      </c>
      <c r="F485" s="1">
        <f t="shared" ca="1" si="28"/>
        <v>1.0722037858258977</v>
      </c>
      <c r="G485" s="1">
        <f t="shared" ca="1" si="29"/>
        <v>1963.8865081759241</v>
      </c>
      <c r="H485" s="1">
        <f t="shared" ca="1" si="30"/>
        <v>0.18769822308859066</v>
      </c>
    </row>
    <row r="486" spans="5:8" x14ac:dyDescent="0.3">
      <c r="E486" s="1">
        <f t="shared" si="31"/>
        <v>482</v>
      </c>
      <c r="F486" s="1">
        <f t="shared" ca="1" si="28"/>
        <v>1.1154769942812004</v>
      </c>
      <c r="G486" s="1">
        <f t="shared" ca="1" si="29"/>
        <v>1869.3940483627136</v>
      </c>
      <c r="H486" s="1">
        <f t="shared" ca="1" si="30"/>
        <v>0.17866711730504767</v>
      </c>
    </row>
    <row r="487" spans="5:8" x14ac:dyDescent="0.3">
      <c r="E487" s="1">
        <f t="shared" si="31"/>
        <v>483</v>
      </c>
      <c r="F487" s="1">
        <f t="shared" ca="1" si="28"/>
        <v>0.9998820189472688</v>
      </c>
      <c r="G487" s="1">
        <f t="shared" ca="1" si="29"/>
        <v>2121.8101263762701</v>
      </c>
      <c r="H487" s="1">
        <f t="shared" ca="1" si="30"/>
        <v>0.20279175440851285</v>
      </c>
    </row>
    <row r="488" spans="5:8" x14ac:dyDescent="0.3">
      <c r="E488" s="1">
        <f t="shared" si="31"/>
        <v>484</v>
      </c>
      <c r="F488" s="1">
        <f t="shared" ca="1" si="28"/>
        <v>1.0720830338587579</v>
      </c>
      <c r="G488" s="1">
        <f t="shared" ca="1" si="29"/>
        <v>1964.1501851901696</v>
      </c>
      <c r="H488" s="1">
        <f t="shared" ca="1" si="30"/>
        <v>0.18772342398835606</v>
      </c>
    </row>
    <row r="489" spans="5:8" x14ac:dyDescent="0.3">
      <c r="E489" s="1">
        <f t="shared" si="31"/>
        <v>485</v>
      </c>
      <c r="F489" s="1">
        <f t="shared" ca="1" si="28"/>
        <v>1.2513169503883688</v>
      </c>
      <c r="G489" s="1">
        <f t="shared" ca="1" si="29"/>
        <v>1572.7705242081981</v>
      </c>
      <c r="H489" s="1">
        <f t="shared" ca="1" si="30"/>
        <v>0.15031735871243412</v>
      </c>
    </row>
    <row r="490" spans="5:8" x14ac:dyDescent="0.3">
      <c r="E490" s="1">
        <f t="shared" si="31"/>
        <v>486</v>
      </c>
      <c r="F490" s="1">
        <f t="shared" ca="1" si="28"/>
        <v>1.1318522239282787</v>
      </c>
      <c r="G490" s="1">
        <f t="shared" ca="1" si="29"/>
        <v>1833.6366875246124</v>
      </c>
      <c r="H490" s="1">
        <f t="shared" ca="1" si="30"/>
        <v>0.17524961172939046</v>
      </c>
    </row>
    <row r="491" spans="5:8" x14ac:dyDescent="0.3">
      <c r="E491" s="1">
        <f t="shared" si="31"/>
        <v>487</v>
      </c>
      <c r="F491" s="1">
        <f t="shared" ca="1" si="28"/>
        <v>1.2018620051501019</v>
      </c>
      <c r="G491" s="1">
        <f t="shared" ca="1" si="29"/>
        <v>1680.7615790041086</v>
      </c>
      <c r="H491" s="1">
        <f t="shared" ca="1" si="30"/>
        <v>0.16063859113104353</v>
      </c>
    </row>
    <row r="492" spans="5:8" x14ac:dyDescent="0.3">
      <c r="E492" s="1">
        <f t="shared" si="31"/>
        <v>488</v>
      </c>
      <c r="F492" s="1">
        <f t="shared" ca="1" si="28"/>
        <v>1.2371121113267451</v>
      </c>
      <c r="G492" s="1">
        <f t="shared" ca="1" si="29"/>
        <v>1603.788565904136</v>
      </c>
      <c r="H492" s="1">
        <f t="shared" ca="1" si="30"/>
        <v>0.15328190441595488</v>
      </c>
    </row>
    <row r="493" spans="5:8" x14ac:dyDescent="0.3">
      <c r="E493" s="1">
        <f t="shared" si="31"/>
        <v>489</v>
      </c>
      <c r="F493" s="1">
        <f t="shared" ca="1" si="28"/>
        <v>1.1325643973943669</v>
      </c>
      <c r="G493" s="1">
        <f t="shared" ca="1" si="29"/>
        <v>1832.0815677397254</v>
      </c>
      <c r="H493" s="1">
        <f t="shared" ca="1" si="30"/>
        <v>0.17510098133802213</v>
      </c>
    </row>
    <row r="494" spans="5:8" x14ac:dyDescent="0.3">
      <c r="E494" s="1">
        <f t="shared" si="31"/>
        <v>490</v>
      </c>
      <c r="F494" s="1">
        <f t="shared" ca="1" si="28"/>
        <v>1.114786096848515</v>
      </c>
      <c r="G494" s="1">
        <f t="shared" ca="1" si="29"/>
        <v>1870.9027092691613</v>
      </c>
      <c r="H494" s="1">
        <f t="shared" ca="1" si="30"/>
        <v>0.17881130739454854</v>
      </c>
    </row>
    <row r="495" spans="5:8" x14ac:dyDescent="0.3">
      <c r="E495" s="1">
        <f t="shared" si="31"/>
        <v>491</v>
      </c>
      <c r="F495" s="1">
        <f t="shared" ca="1" si="28"/>
        <v>1.0583329275741165</v>
      </c>
      <c r="G495" s="1">
        <f t="shared" ca="1" si="29"/>
        <v>1994.1752610259698</v>
      </c>
      <c r="H495" s="1">
        <f t="shared" ca="1" si="30"/>
        <v>0.19059306709604987</v>
      </c>
    </row>
    <row r="496" spans="5:8" x14ac:dyDescent="0.3">
      <c r="E496" s="1">
        <f t="shared" si="31"/>
        <v>492</v>
      </c>
      <c r="F496" s="1">
        <f t="shared" ca="1" si="28"/>
        <v>1.2925829707919465</v>
      </c>
      <c r="G496" s="1">
        <f t="shared" ca="1" si="29"/>
        <v>1482.6610104044357</v>
      </c>
      <c r="H496" s="1">
        <f t="shared" ca="1" si="30"/>
        <v>0.14170515248059215</v>
      </c>
    </row>
    <row r="497" spans="5:8" x14ac:dyDescent="0.3">
      <c r="E497" s="1">
        <f t="shared" si="31"/>
        <v>493</v>
      </c>
      <c r="F497" s="1">
        <f t="shared" ca="1" si="28"/>
        <v>1.4240439730553147</v>
      </c>
      <c r="G497" s="1">
        <f t="shared" ca="1" si="29"/>
        <v>1195.5994793370883</v>
      </c>
      <c r="H497" s="1">
        <f t="shared" ca="1" si="30"/>
        <v>0.1142692802577739</v>
      </c>
    </row>
    <row r="498" spans="5:8" x14ac:dyDescent="0.3">
      <c r="E498" s="1">
        <f t="shared" si="31"/>
        <v>494</v>
      </c>
      <c r="F498" s="1">
        <f t="shared" ca="1" si="28"/>
        <v>1.0508359618534013</v>
      </c>
      <c r="G498" s="1">
        <f t="shared" ca="1" si="29"/>
        <v>2010.5458227978663</v>
      </c>
      <c r="H498" s="1">
        <f t="shared" ca="1" si="30"/>
        <v>0.19215768162074609</v>
      </c>
    </row>
    <row r="499" spans="5:8" x14ac:dyDescent="0.3">
      <c r="E499" s="1">
        <f t="shared" si="31"/>
        <v>495</v>
      </c>
      <c r="F499" s="1">
        <f t="shared" ca="1" si="28"/>
        <v>0.9891530149677713</v>
      </c>
      <c r="G499" s="1">
        <f t="shared" ca="1" si="29"/>
        <v>2145.2382476910002</v>
      </c>
      <c r="H499" s="1">
        <f t="shared" ca="1" si="30"/>
        <v>0.20503089436022176</v>
      </c>
    </row>
    <row r="500" spans="5:8" x14ac:dyDescent="0.3">
      <c r="E500" s="1">
        <f t="shared" si="31"/>
        <v>496</v>
      </c>
      <c r="F500" s="1">
        <f t="shared" ca="1" si="28"/>
        <v>1.1295763879171736</v>
      </c>
      <c r="G500" s="1">
        <f t="shared" ca="1" si="29"/>
        <v>1838.6062599343616</v>
      </c>
      <c r="H500" s="1">
        <f t="shared" ca="1" si="30"/>
        <v>0.17572457803061853</v>
      </c>
    </row>
    <row r="501" spans="5:8" x14ac:dyDescent="0.3">
      <c r="E501" s="1">
        <f t="shared" si="31"/>
        <v>497</v>
      </c>
      <c r="F501" s="1">
        <f t="shared" ca="1" si="28"/>
        <v>1.3102634311484935</v>
      </c>
      <c r="G501" s="1">
        <f t="shared" ca="1" si="29"/>
        <v>1444.0535151583706</v>
      </c>
      <c r="H501" s="1">
        <f t="shared" ca="1" si="30"/>
        <v>0.13801524564258535</v>
      </c>
    </row>
    <row r="502" spans="5:8" x14ac:dyDescent="0.3">
      <c r="E502" s="1">
        <f t="shared" si="31"/>
        <v>498</v>
      </c>
      <c r="F502" s="1">
        <f t="shared" ca="1" si="28"/>
        <v>1.0973842416047055</v>
      </c>
      <c r="G502" s="1">
        <f t="shared" ca="1" si="29"/>
        <v>1908.9018354259249</v>
      </c>
      <c r="H502" s="1">
        <f t="shared" ca="1" si="30"/>
        <v>0.18244306942807273</v>
      </c>
    </row>
    <row r="503" spans="5:8" x14ac:dyDescent="0.3">
      <c r="E503" s="1">
        <f t="shared" si="31"/>
        <v>499</v>
      </c>
      <c r="F503" s="1">
        <f t="shared" ca="1" si="28"/>
        <v>1.1371605498313566</v>
      </c>
      <c r="G503" s="1">
        <f t="shared" ca="1" si="29"/>
        <v>1822.0452943745038</v>
      </c>
      <c r="H503" s="1">
        <f t="shared" ca="1" si="30"/>
        <v>0.17414176568618023</v>
      </c>
    </row>
    <row r="504" spans="5:8" x14ac:dyDescent="0.3">
      <c r="E504" s="1">
        <f t="shared" si="31"/>
        <v>500</v>
      </c>
      <c r="F504" s="1">
        <f t="shared" ca="1" si="28"/>
        <v>1.1776406201575556</v>
      </c>
      <c r="G504" s="1">
        <f t="shared" ca="1" si="29"/>
        <v>1733.6520008084576</v>
      </c>
      <c r="H504" s="1">
        <f t="shared" ca="1" si="30"/>
        <v>0.16569358700262427</v>
      </c>
    </row>
    <row r="505" spans="5:8" x14ac:dyDescent="0.3">
      <c r="E505" s="1">
        <f t="shared" si="31"/>
        <v>501</v>
      </c>
      <c r="F505" s="1">
        <f t="shared" ca="1" si="28"/>
        <v>1.1853417712511529</v>
      </c>
      <c r="G505" s="1">
        <f t="shared" ca="1" si="29"/>
        <v>1716.835574751701</v>
      </c>
      <c r="H505" s="1">
        <f t="shared" ca="1" si="30"/>
        <v>0.16408635905110397</v>
      </c>
    </row>
    <row r="506" spans="5:8" x14ac:dyDescent="0.3">
      <c r="E506" s="1">
        <f t="shared" si="31"/>
        <v>502</v>
      </c>
      <c r="F506" s="1">
        <f t="shared" ca="1" si="28"/>
        <v>1.0748011397809154</v>
      </c>
      <c r="G506" s="1">
        <f t="shared" ca="1" si="29"/>
        <v>1958.2148611458983</v>
      </c>
      <c r="H506" s="1">
        <f t="shared" ca="1" si="30"/>
        <v>0.18715615608772804</v>
      </c>
    </row>
    <row r="507" spans="5:8" x14ac:dyDescent="0.3">
      <c r="E507" s="1">
        <f t="shared" si="31"/>
        <v>503</v>
      </c>
      <c r="F507" s="1">
        <f t="shared" ca="1" si="28"/>
        <v>1.0974924864988438</v>
      </c>
      <c r="G507" s="1">
        <f t="shared" ca="1" si="29"/>
        <v>1908.6654691689621</v>
      </c>
      <c r="H507" s="1">
        <f t="shared" ca="1" si="30"/>
        <v>0.18242047875073708</v>
      </c>
    </row>
    <row r="508" spans="5:8" x14ac:dyDescent="0.3">
      <c r="E508" s="1">
        <f t="shared" si="31"/>
        <v>504</v>
      </c>
      <c r="F508" s="1">
        <f t="shared" ca="1" si="28"/>
        <v>1.1162780882282868</v>
      </c>
      <c r="G508" s="1">
        <f t="shared" ca="1" si="29"/>
        <v>1867.6447595925072</v>
      </c>
      <c r="H508" s="1">
        <f t="shared" ca="1" si="30"/>
        <v>0.17849992923564056</v>
      </c>
    </row>
    <row r="509" spans="5:8" x14ac:dyDescent="0.3">
      <c r="E509" s="1">
        <f t="shared" si="31"/>
        <v>505</v>
      </c>
      <c r="F509" s="1">
        <f t="shared" ca="1" si="28"/>
        <v>1.2390953130420725</v>
      </c>
      <c r="G509" s="1">
        <f t="shared" ca="1" si="29"/>
        <v>1599.4579970585041</v>
      </c>
      <c r="H509" s="1">
        <f t="shared" ca="1" si="30"/>
        <v>0.15286801080555329</v>
      </c>
    </row>
    <row r="510" spans="5:8" x14ac:dyDescent="0.3">
      <c r="E510" s="1">
        <f t="shared" si="31"/>
        <v>506</v>
      </c>
      <c r="F510" s="1">
        <f t="shared" ca="1" si="28"/>
        <v>1.1335360900891387</v>
      </c>
      <c r="G510" s="1">
        <f t="shared" ca="1" si="29"/>
        <v>1829.9597552791045</v>
      </c>
      <c r="H510" s="1">
        <f t="shared" ca="1" si="30"/>
        <v>0.17489818936051843</v>
      </c>
    </row>
    <row r="511" spans="5:8" x14ac:dyDescent="0.3">
      <c r="E511" s="1">
        <f t="shared" si="31"/>
        <v>507</v>
      </c>
      <c r="F511" s="1">
        <f t="shared" ca="1" si="28"/>
        <v>1.2319382387859537</v>
      </c>
      <c r="G511" s="1">
        <f t="shared" ca="1" si="29"/>
        <v>1615.0863633310219</v>
      </c>
      <c r="H511" s="1">
        <f t="shared" ca="1" si="30"/>
        <v>0.15436169008229206</v>
      </c>
    </row>
    <row r="512" spans="5:8" x14ac:dyDescent="0.3">
      <c r="E512" s="1">
        <f t="shared" si="31"/>
        <v>508</v>
      </c>
      <c r="F512" s="1">
        <f t="shared" ca="1" si="28"/>
        <v>0.92578996273812997</v>
      </c>
      <c r="G512" s="1">
        <f t="shared" ca="1" si="29"/>
        <v>2283.5993926159508</v>
      </c>
      <c r="H512" s="1">
        <f t="shared" ca="1" si="30"/>
        <v>0.21825474458720737</v>
      </c>
    </row>
    <row r="513" spans="5:8" x14ac:dyDescent="0.3">
      <c r="E513" s="1">
        <f t="shared" si="31"/>
        <v>509</v>
      </c>
      <c r="F513" s="1">
        <f t="shared" ca="1" si="28"/>
        <v>1.395314686000974</v>
      </c>
      <c r="G513" s="1">
        <f t="shared" ca="1" si="29"/>
        <v>1258.333468781123</v>
      </c>
      <c r="H513" s="1">
        <f t="shared" ca="1" si="30"/>
        <v>0.12026507395404024</v>
      </c>
    </row>
    <row r="514" spans="5:8" x14ac:dyDescent="0.3">
      <c r="E514" s="1">
        <f t="shared" si="31"/>
        <v>510</v>
      </c>
      <c r="F514" s="1">
        <f t="shared" ca="1" si="28"/>
        <v>1.1371336649253605</v>
      </c>
      <c r="G514" s="1">
        <f t="shared" ca="1" si="29"/>
        <v>1822.1040009273595</v>
      </c>
      <c r="H514" s="1">
        <f t="shared" ca="1" si="30"/>
        <v>0.17414737655809609</v>
      </c>
    </row>
    <row r="515" spans="5:8" x14ac:dyDescent="0.3">
      <c r="E515" s="1">
        <f t="shared" si="31"/>
        <v>511</v>
      </c>
      <c r="F515" s="1">
        <f t="shared" ca="1" si="28"/>
        <v>1.134854980465668</v>
      </c>
      <c r="G515" s="1">
        <f t="shared" ca="1" si="29"/>
        <v>1827.0797932806556</v>
      </c>
      <c r="H515" s="1">
        <f t="shared" ca="1" si="30"/>
        <v>0.17462293732970044</v>
      </c>
    </row>
    <row r="516" spans="5:8" x14ac:dyDescent="0.3">
      <c r="E516" s="1">
        <f t="shared" si="31"/>
        <v>512</v>
      </c>
      <c r="F516" s="1">
        <f t="shared" ca="1" si="28"/>
        <v>1.0842786547432075</v>
      </c>
      <c r="G516" s="1">
        <f t="shared" ca="1" si="29"/>
        <v>1937.5195225363634</v>
      </c>
      <c r="H516" s="1">
        <f t="shared" ca="1" si="30"/>
        <v>0.18517820152311606</v>
      </c>
    </row>
    <row r="517" spans="5:8" x14ac:dyDescent="0.3">
      <c r="E517" s="1">
        <f t="shared" si="31"/>
        <v>513</v>
      </c>
      <c r="F517" s="1">
        <f t="shared" ref="F517:F580" ca="1" si="32">_xlfn.NORM.INV(RAND(), $C$9, $C$9 * $C$10)</f>
        <v>0.919021865613315</v>
      </c>
      <c r="G517" s="1">
        <f t="shared" ref="G517:G580" ca="1" si="33">$C$7 - ($C$6 + $C$8 * $C$11) - (($C$6 + $C$8 * $C$11) * (1 - $C$12) * (F517 - $C$13))</f>
        <v>2298.3783787001248</v>
      </c>
      <c r="H517" s="1">
        <f t="shared" ref="H517:H580" ca="1" si="34">G517 / $C$7</f>
        <v>0.21966724445188998</v>
      </c>
    </row>
    <row r="518" spans="5:8" x14ac:dyDescent="0.3">
      <c r="E518" s="1">
        <f t="shared" ref="E518:E581" si="35">ROW()-4</f>
        <v>514</v>
      </c>
      <c r="F518" s="1">
        <f t="shared" ca="1" si="32"/>
        <v>1.197439528024242</v>
      </c>
      <c r="G518" s="1">
        <f t="shared" ca="1" si="33"/>
        <v>1690.4186106180643</v>
      </c>
      <c r="H518" s="1">
        <f t="shared" ca="1" si="34"/>
        <v>0.16156156079690953</v>
      </c>
    </row>
    <row r="519" spans="5:8" x14ac:dyDescent="0.3">
      <c r="E519" s="1">
        <f t="shared" si="35"/>
        <v>515</v>
      </c>
      <c r="F519" s="1">
        <f t="shared" ca="1" si="32"/>
        <v>1.3379047633068779</v>
      </c>
      <c r="G519" s="1">
        <f t="shared" ca="1" si="33"/>
        <v>1383.6952112240185</v>
      </c>
      <c r="H519" s="1">
        <f t="shared" ca="1" si="34"/>
        <v>0.1322465078107635</v>
      </c>
    </row>
    <row r="520" spans="5:8" x14ac:dyDescent="0.3">
      <c r="E520" s="1">
        <f t="shared" si="35"/>
        <v>516</v>
      </c>
      <c r="F520" s="1">
        <f t="shared" ca="1" si="32"/>
        <v>1.1946359238243158</v>
      </c>
      <c r="G520" s="1">
        <f t="shared" ca="1" si="33"/>
        <v>1696.5406308391282</v>
      </c>
      <c r="H520" s="1">
        <f t="shared" ca="1" si="34"/>
        <v>0.16214667216277628</v>
      </c>
    </row>
    <row r="521" spans="5:8" x14ac:dyDescent="0.3">
      <c r="E521" s="1">
        <f t="shared" si="35"/>
        <v>517</v>
      </c>
      <c r="F521" s="1">
        <f t="shared" ca="1" si="32"/>
        <v>1.1811533090274628</v>
      </c>
      <c r="G521" s="1">
        <f t="shared" ca="1" si="33"/>
        <v>1725.9816055749063</v>
      </c>
      <c r="H521" s="1">
        <f t="shared" ca="1" si="34"/>
        <v>0.16496048987622158</v>
      </c>
    </row>
    <row r="522" spans="5:8" x14ac:dyDescent="0.3">
      <c r="E522" s="1">
        <f t="shared" si="35"/>
        <v>518</v>
      </c>
      <c r="F522" s="1">
        <f t="shared" ca="1" si="32"/>
        <v>1.2377620794517565</v>
      </c>
      <c r="G522" s="1">
        <f t="shared" ca="1" si="33"/>
        <v>1602.369279257158</v>
      </c>
      <c r="H522" s="1">
        <f t="shared" ca="1" si="34"/>
        <v>0.15314625626083897</v>
      </c>
    </row>
    <row r="523" spans="5:8" x14ac:dyDescent="0.3">
      <c r="E523" s="1">
        <f t="shared" si="35"/>
        <v>519</v>
      </c>
      <c r="F523" s="1">
        <f t="shared" ca="1" si="32"/>
        <v>1.3804752991404299</v>
      </c>
      <c r="G523" s="1">
        <f t="shared" ca="1" si="33"/>
        <v>1290.7371249144787</v>
      </c>
      <c r="H523" s="1">
        <f t="shared" ca="1" si="34"/>
        <v>0.12336204959519055</v>
      </c>
    </row>
    <row r="524" spans="5:8" x14ac:dyDescent="0.3">
      <c r="E524" s="1">
        <f t="shared" si="35"/>
        <v>520</v>
      </c>
      <c r="F524" s="1">
        <f t="shared" ca="1" si="32"/>
        <v>1.3004299461937809</v>
      </c>
      <c r="G524" s="1">
        <f t="shared" ca="1" si="33"/>
        <v>1465.5261587426048</v>
      </c>
      <c r="H524" s="1">
        <f t="shared" ca="1" si="34"/>
        <v>0.14006749103914792</v>
      </c>
    </row>
    <row r="525" spans="5:8" x14ac:dyDescent="0.3">
      <c r="E525" s="1">
        <f t="shared" si="35"/>
        <v>521</v>
      </c>
      <c r="F525" s="1">
        <f t="shared" ca="1" si="32"/>
        <v>1.288637010634119</v>
      </c>
      <c r="G525" s="1">
        <f t="shared" ca="1" si="33"/>
        <v>1491.277507654072</v>
      </c>
      <c r="H525" s="1">
        <f t="shared" ca="1" si="34"/>
        <v>0.14252867319641327</v>
      </c>
    </row>
    <row r="526" spans="5:8" x14ac:dyDescent="0.3">
      <c r="E526" s="1">
        <f t="shared" si="35"/>
        <v>522</v>
      </c>
      <c r="F526" s="1">
        <f t="shared" ca="1" si="32"/>
        <v>1.2522434289522786</v>
      </c>
      <c r="G526" s="1">
        <f t="shared" ca="1" si="33"/>
        <v>1570.7474424540806</v>
      </c>
      <c r="H526" s="1">
        <f t="shared" ca="1" si="34"/>
        <v>0.15012400291064518</v>
      </c>
    </row>
    <row r="527" spans="5:8" x14ac:dyDescent="0.3">
      <c r="E527" s="1">
        <f t="shared" si="35"/>
        <v>523</v>
      </c>
      <c r="F527" s="1">
        <f t="shared" ca="1" si="32"/>
        <v>1.2210303309162953</v>
      </c>
      <c r="G527" s="1">
        <f t="shared" ca="1" si="33"/>
        <v>1638.9051436529046</v>
      </c>
      <c r="H527" s="1">
        <f t="shared" ca="1" si="34"/>
        <v>0.15663816722287152</v>
      </c>
    </row>
    <row r="528" spans="5:8" x14ac:dyDescent="0.3">
      <c r="E528" s="1">
        <f t="shared" si="35"/>
        <v>524</v>
      </c>
      <c r="F528" s="1">
        <f t="shared" ca="1" si="32"/>
        <v>1.4512477717507519</v>
      </c>
      <c r="G528" s="1">
        <f t="shared" ca="1" si="33"/>
        <v>1136.1965844107642</v>
      </c>
      <c r="H528" s="1">
        <f t="shared" ca="1" si="34"/>
        <v>0.10859185553003577</v>
      </c>
    </row>
    <row r="529" spans="5:8" x14ac:dyDescent="0.3">
      <c r="E529" s="1">
        <f t="shared" si="35"/>
        <v>525</v>
      </c>
      <c r="F529" s="1">
        <f t="shared" ca="1" si="32"/>
        <v>0.95182039179492928</v>
      </c>
      <c r="G529" s="1">
        <f t="shared" ca="1" si="33"/>
        <v>2226.7586969667973</v>
      </c>
      <c r="H529" s="1">
        <f t="shared" ca="1" si="34"/>
        <v>0.21282220175540451</v>
      </c>
    </row>
    <row r="530" spans="5:8" x14ac:dyDescent="0.3">
      <c r="E530" s="1">
        <f t="shared" si="35"/>
        <v>526</v>
      </c>
      <c r="F530" s="1">
        <f t="shared" ca="1" si="32"/>
        <v>0.96900107308967431</v>
      </c>
      <c r="G530" s="1">
        <f t="shared" ca="1" si="33"/>
        <v>2189.2425317745597</v>
      </c>
      <c r="H530" s="1">
        <f t="shared" ca="1" si="34"/>
        <v>0.20923659865952018</v>
      </c>
    </row>
    <row r="531" spans="5:8" x14ac:dyDescent="0.3">
      <c r="E531" s="1">
        <f t="shared" si="35"/>
        <v>527</v>
      </c>
      <c r="F531" s="1">
        <f t="shared" ca="1" si="32"/>
        <v>1.337230907141215</v>
      </c>
      <c r="G531" s="1">
        <f t="shared" ca="1" si="33"/>
        <v>1385.1666603937642</v>
      </c>
      <c r="H531" s="1">
        <f t="shared" ca="1" si="34"/>
        <v>0.13238714139288582</v>
      </c>
    </row>
    <row r="532" spans="5:8" x14ac:dyDescent="0.3">
      <c r="E532" s="1">
        <f t="shared" si="35"/>
        <v>528</v>
      </c>
      <c r="F532" s="1">
        <f t="shared" ca="1" si="32"/>
        <v>1.2538543646800033</v>
      </c>
      <c r="G532" s="1">
        <f t="shared" ca="1" si="33"/>
        <v>1567.2297629256277</v>
      </c>
      <c r="H532" s="1">
        <f t="shared" ca="1" si="34"/>
        <v>0.14978780110156051</v>
      </c>
    </row>
    <row r="533" spans="5:8" x14ac:dyDescent="0.3">
      <c r="E533" s="1">
        <f t="shared" si="35"/>
        <v>529</v>
      </c>
      <c r="F533" s="1">
        <f t="shared" ca="1" si="32"/>
        <v>0.9772740834423369</v>
      </c>
      <c r="G533" s="1">
        <f t="shared" ca="1" si="33"/>
        <v>2171.1773795432268</v>
      </c>
      <c r="H533" s="1">
        <f t="shared" ca="1" si="34"/>
        <v>0.2075100238500647</v>
      </c>
    </row>
    <row r="534" spans="5:8" x14ac:dyDescent="0.3">
      <c r="E534" s="1">
        <f t="shared" si="35"/>
        <v>530</v>
      </c>
      <c r="F534" s="1">
        <f t="shared" ca="1" si="32"/>
        <v>1.2103494351200295</v>
      </c>
      <c r="G534" s="1">
        <f t="shared" ca="1" si="33"/>
        <v>1662.2282147360256</v>
      </c>
      <c r="H534" s="1">
        <f t="shared" ca="1" si="34"/>
        <v>0.15886726701099357</v>
      </c>
    </row>
    <row r="535" spans="5:8" x14ac:dyDescent="0.3">
      <c r="E535" s="1">
        <f t="shared" si="35"/>
        <v>531</v>
      </c>
      <c r="F535" s="1">
        <f t="shared" ca="1" si="32"/>
        <v>1.221286250592325</v>
      </c>
      <c r="G535" s="1">
        <f t="shared" ca="1" si="33"/>
        <v>1638.3463110503342</v>
      </c>
      <c r="H535" s="1">
        <f t="shared" ca="1" si="34"/>
        <v>0.15658475686230852</v>
      </c>
    </row>
    <row r="536" spans="5:8" x14ac:dyDescent="0.3">
      <c r="E536" s="1">
        <f t="shared" si="35"/>
        <v>532</v>
      </c>
      <c r="F536" s="1">
        <f t="shared" ca="1" si="32"/>
        <v>1.0767371946874948</v>
      </c>
      <c r="G536" s="1">
        <f t="shared" ca="1" si="33"/>
        <v>1953.987243250519</v>
      </c>
      <c r="H536" s="1">
        <f t="shared" ca="1" si="34"/>
        <v>0.18675210200234341</v>
      </c>
    </row>
    <row r="537" spans="5:8" x14ac:dyDescent="0.3">
      <c r="E537" s="1">
        <f t="shared" si="35"/>
        <v>533</v>
      </c>
      <c r="F537" s="1">
        <f t="shared" ca="1" si="32"/>
        <v>1.1518759007797807</v>
      </c>
      <c r="G537" s="1">
        <f t="shared" ca="1" si="33"/>
        <v>1789.9124861597511</v>
      </c>
      <c r="H537" s="1">
        <f t="shared" ca="1" si="34"/>
        <v>0.17107067630313974</v>
      </c>
    </row>
    <row r="538" spans="5:8" x14ac:dyDescent="0.3">
      <c r="E538" s="1">
        <f t="shared" si="35"/>
        <v>534</v>
      </c>
      <c r="F538" s="1">
        <f t="shared" ca="1" si="32"/>
        <v>1.0852121684452645</v>
      </c>
      <c r="G538" s="1">
        <f t="shared" ca="1" si="33"/>
        <v>1935.4810786787093</v>
      </c>
      <c r="H538" s="1">
        <f t="shared" ca="1" si="34"/>
        <v>0.1849833774900802</v>
      </c>
    </row>
    <row r="539" spans="5:8" x14ac:dyDescent="0.3">
      <c r="E539" s="1">
        <f t="shared" si="35"/>
        <v>535</v>
      </c>
      <c r="F539" s="1">
        <f t="shared" ca="1" si="32"/>
        <v>1.4315762498156546</v>
      </c>
      <c r="G539" s="1">
        <f t="shared" ca="1" si="33"/>
        <v>1179.1518114962912</v>
      </c>
      <c r="H539" s="1">
        <f t="shared" ca="1" si="34"/>
        <v>0.11269729632957003</v>
      </c>
    </row>
    <row r="540" spans="5:8" x14ac:dyDescent="0.3">
      <c r="E540" s="1">
        <f t="shared" si="35"/>
        <v>536</v>
      </c>
      <c r="F540" s="1">
        <f t="shared" ca="1" si="32"/>
        <v>1.110038785961764</v>
      </c>
      <c r="G540" s="1">
        <f t="shared" ca="1" si="33"/>
        <v>1881.2690560042429</v>
      </c>
      <c r="H540" s="1">
        <f t="shared" ca="1" si="34"/>
        <v>0.17980206977007004</v>
      </c>
    </row>
    <row r="541" spans="5:8" x14ac:dyDescent="0.3">
      <c r="E541" s="1">
        <f t="shared" si="35"/>
        <v>537</v>
      </c>
      <c r="F541" s="1">
        <f t="shared" ca="1" si="32"/>
        <v>1.3889350220624317</v>
      </c>
      <c r="G541" s="1">
        <f t="shared" ca="1" si="33"/>
        <v>1272.2642624489224</v>
      </c>
      <c r="H541" s="1">
        <f t="shared" ca="1" si="34"/>
        <v>0.12159650792783355</v>
      </c>
    </row>
    <row r="542" spans="5:8" x14ac:dyDescent="0.3">
      <c r="E542" s="1">
        <f t="shared" si="35"/>
        <v>538</v>
      </c>
      <c r="F542" s="1">
        <f t="shared" ca="1" si="32"/>
        <v>1.0858814607247338</v>
      </c>
      <c r="G542" s="1">
        <f t="shared" ca="1" si="33"/>
        <v>1934.0195953249531</v>
      </c>
      <c r="H542" s="1">
        <f t="shared" ca="1" si="34"/>
        <v>0.18484369638965431</v>
      </c>
    </row>
    <row r="543" spans="5:8" x14ac:dyDescent="0.3">
      <c r="E543" s="1">
        <f t="shared" si="35"/>
        <v>539</v>
      </c>
      <c r="F543" s="1">
        <f t="shared" ca="1" si="32"/>
        <v>1.1101420293121305</v>
      </c>
      <c r="G543" s="1">
        <f t="shared" ca="1" si="33"/>
        <v>1881.043611243299</v>
      </c>
      <c r="H543" s="1">
        <f t="shared" ca="1" si="34"/>
        <v>0.17978052291343774</v>
      </c>
    </row>
    <row r="544" spans="5:8" x14ac:dyDescent="0.3">
      <c r="E544" s="1">
        <f t="shared" si="35"/>
        <v>540</v>
      </c>
      <c r="F544" s="1">
        <f t="shared" ca="1" si="32"/>
        <v>1.2471690111896163</v>
      </c>
      <c r="G544" s="1">
        <f t="shared" ca="1" si="33"/>
        <v>1581.8280679410739</v>
      </c>
      <c r="H544" s="1">
        <f t="shared" ca="1" si="34"/>
        <v>0.15118303239425346</v>
      </c>
    </row>
    <row r="545" spans="5:8" x14ac:dyDescent="0.3">
      <c r="E545" s="1">
        <f t="shared" si="35"/>
        <v>541</v>
      </c>
      <c r="F545" s="1">
        <f t="shared" ca="1" si="32"/>
        <v>1.5341684866363579</v>
      </c>
      <c r="G545" s="1">
        <f t="shared" ca="1" si="33"/>
        <v>955.12883836868298</v>
      </c>
      <c r="H545" s="1">
        <f t="shared" ca="1" si="34"/>
        <v>9.1286326901336423E-2</v>
      </c>
    </row>
    <row r="546" spans="5:8" x14ac:dyDescent="0.3">
      <c r="E546" s="1">
        <f t="shared" si="35"/>
        <v>542</v>
      </c>
      <c r="F546" s="1">
        <f t="shared" ca="1" si="32"/>
        <v>1.2552761279591622</v>
      </c>
      <c r="G546" s="1">
        <f t="shared" ca="1" si="33"/>
        <v>1564.1251650851743</v>
      </c>
      <c r="H546" s="1">
        <f t="shared" ca="1" si="34"/>
        <v>0.14949107952644311</v>
      </c>
    </row>
    <row r="547" spans="5:8" x14ac:dyDescent="0.3">
      <c r="E547" s="1">
        <f t="shared" si="35"/>
        <v>543</v>
      </c>
      <c r="F547" s="1">
        <f t="shared" ca="1" si="32"/>
        <v>1.0556527976823997</v>
      </c>
      <c r="G547" s="1">
        <f t="shared" ca="1" si="33"/>
        <v>2000.0276596607698</v>
      </c>
      <c r="H547" s="1">
        <f t="shared" ca="1" si="34"/>
        <v>0.19115240941037653</v>
      </c>
    </row>
    <row r="548" spans="5:8" x14ac:dyDescent="0.3">
      <c r="E548" s="1">
        <f t="shared" si="35"/>
        <v>544</v>
      </c>
      <c r="F548" s="1">
        <f t="shared" ca="1" si="32"/>
        <v>1.1990118067836424</v>
      </c>
      <c r="G548" s="1">
        <f t="shared" ca="1" si="33"/>
        <v>1686.9853434120687</v>
      </c>
      <c r="H548" s="1">
        <f t="shared" ca="1" si="34"/>
        <v>0.16123342668566076</v>
      </c>
    </row>
    <row r="549" spans="5:8" x14ac:dyDescent="0.3">
      <c r="E549" s="1">
        <f t="shared" si="35"/>
        <v>545</v>
      </c>
      <c r="F549" s="1">
        <f t="shared" ca="1" si="32"/>
        <v>1.1138850713334421</v>
      </c>
      <c r="G549" s="1">
        <f t="shared" ca="1" si="33"/>
        <v>1872.8702111095124</v>
      </c>
      <c r="H549" s="1">
        <f t="shared" ca="1" si="34"/>
        <v>0.1789993511525865</v>
      </c>
    </row>
    <row r="550" spans="5:8" x14ac:dyDescent="0.3">
      <c r="E550" s="1">
        <f t="shared" si="35"/>
        <v>546</v>
      </c>
      <c r="F550" s="1">
        <f t="shared" ca="1" si="32"/>
        <v>1.1182814174644915</v>
      </c>
      <c r="G550" s="1">
        <f t="shared" ca="1" si="33"/>
        <v>1863.2702397890996</v>
      </c>
      <c r="H550" s="1">
        <f t="shared" ca="1" si="34"/>
        <v>0.17808183501759531</v>
      </c>
    </row>
    <row r="551" spans="5:8" x14ac:dyDescent="0.3">
      <c r="E551" s="1">
        <f t="shared" si="35"/>
        <v>547</v>
      </c>
      <c r="F551" s="1">
        <f t="shared" ca="1" si="32"/>
        <v>1.4182443961561131</v>
      </c>
      <c r="G551" s="1">
        <f t="shared" ca="1" si="33"/>
        <v>1208.2635804436075</v>
      </c>
      <c r="H551" s="1">
        <f t="shared" ca="1" si="34"/>
        <v>0.11547965023832624</v>
      </c>
    </row>
    <row r="552" spans="5:8" x14ac:dyDescent="0.3">
      <c r="E552" s="1">
        <f t="shared" si="35"/>
        <v>548</v>
      </c>
      <c r="F552" s="1">
        <f t="shared" ca="1" si="32"/>
        <v>1.1776205811261435</v>
      </c>
      <c r="G552" s="1">
        <f t="shared" ca="1" si="33"/>
        <v>1733.6957585384246</v>
      </c>
      <c r="H552" s="1">
        <f t="shared" ca="1" si="34"/>
        <v>0.16569776914254272</v>
      </c>
    </row>
    <row r="553" spans="5:8" x14ac:dyDescent="0.3">
      <c r="E553" s="1">
        <f t="shared" si="35"/>
        <v>549</v>
      </c>
      <c r="F553" s="1">
        <f t="shared" ca="1" si="32"/>
        <v>1.2502385450787163</v>
      </c>
      <c r="G553" s="1">
        <f t="shared" ca="1" si="33"/>
        <v>1575.1253570024878</v>
      </c>
      <c r="H553" s="1">
        <f t="shared" ca="1" si="34"/>
        <v>0.15054242158104633</v>
      </c>
    </row>
    <row r="554" spans="5:8" x14ac:dyDescent="0.3">
      <c r="E554" s="1">
        <f t="shared" si="35"/>
        <v>550</v>
      </c>
      <c r="F554" s="1">
        <f t="shared" ca="1" si="32"/>
        <v>1.269004858711922</v>
      </c>
      <c r="G554" s="1">
        <f t="shared" ca="1" si="33"/>
        <v>1534.146765395179</v>
      </c>
      <c r="H554" s="1">
        <f t="shared" ca="1" si="34"/>
        <v>0.14662589748591981</v>
      </c>
    </row>
    <row r="555" spans="5:8" x14ac:dyDescent="0.3">
      <c r="E555" s="1">
        <f t="shared" si="35"/>
        <v>551</v>
      </c>
      <c r="F555" s="1">
        <f t="shared" ca="1" si="32"/>
        <v>1.2443529366252855</v>
      </c>
      <c r="G555" s="1">
        <f t="shared" ca="1" si="33"/>
        <v>1587.9773187616108</v>
      </c>
      <c r="H555" s="1">
        <f t="shared" ca="1" si="34"/>
        <v>0.15177074632147672</v>
      </c>
    </row>
    <row r="556" spans="5:8" x14ac:dyDescent="0.3">
      <c r="E556" s="1">
        <f t="shared" si="35"/>
        <v>552</v>
      </c>
      <c r="F556" s="1">
        <f t="shared" ca="1" si="32"/>
        <v>1.1904666903008776</v>
      </c>
      <c r="G556" s="1">
        <f t="shared" ca="1" si="33"/>
        <v>1705.644673391746</v>
      </c>
      <c r="H556" s="1">
        <f t="shared" ca="1" si="34"/>
        <v>0.16301678996384841</v>
      </c>
    </row>
    <row r="557" spans="5:8" x14ac:dyDescent="0.3">
      <c r="E557" s="1">
        <f t="shared" si="35"/>
        <v>553</v>
      </c>
      <c r="F557" s="1">
        <f t="shared" ca="1" si="32"/>
        <v>1.0352038450846353</v>
      </c>
      <c r="G557" s="1">
        <f t="shared" ca="1" si="33"/>
        <v>2044.6805037770632</v>
      </c>
      <c r="H557" s="1">
        <f t="shared" ca="1" si="34"/>
        <v>0.19542009975887062</v>
      </c>
    </row>
    <row r="558" spans="5:8" x14ac:dyDescent="0.3">
      <c r="E558" s="1">
        <f t="shared" si="35"/>
        <v>554</v>
      </c>
      <c r="F558" s="1">
        <f t="shared" ca="1" si="32"/>
        <v>1.1800982070292128</v>
      </c>
      <c r="G558" s="1">
        <f t="shared" ca="1" si="33"/>
        <v>1728.2855526758351</v>
      </c>
      <c r="H558" s="1">
        <f t="shared" ca="1" si="34"/>
        <v>0.16518068935064847</v>
      </c>
    </row>
    <row r="559" spans="5:8" x14ac:dyDescent="0.3">
      <c r="E559" s="1">
        <f t="shared" si="35"/>
        <v>555</v>
      </c>
      <c r="F559" s="1">
        <f t="shared" ca="1" si="32"/>
        <v>1.2104926619369278</v>
      </c>
      <c r="G559" s="1">
        <f t="shared" ca="1" si="33"/>
        <v>1661.9154610779758</v>
      </c>
      <c r="H559" s="1">
        <f t="shared" ca="1" si="34"/>
        <v>0.15883737561674241</v>
      </c>
    </row>
    <row r="560" spans="5:8" x14ac:dyDescent="0.3">
      <c r="E560" s="1">
        <f t="shared" si="35"/>
        <v>556</v>
      </c>
      <c r="F560" s="1">
        <f t="shared" ca="1" si="32"/>
        <v>1.2870033396709664</v>
      </c>
      <c r="G560" s="1">
        <f t="shared" ca="1" si="33"/>
        <v>1494.8448324109859</v>
      </c>
      <c r="H560" s="1">
        <f t="shared" ca="1" si="34"/>
        <v>0.14286961984239566</v>
      </c>
    </row>
    <row r="561" spans="5:8" x14ac:dyDescent="0.3">
      <c r="E561" s="1">
        <f t="shared" si="35"/>
        <v>557</v>
      </c>
      <c r="F561" s="1">
        <f t="shared" ca="1" si="32"/>
        <v>1.0658990468604619</v>
      </c>
      <c r="G561" s="1">
        <f t="shared" ca="1" si="33"/>
        <v>1977.6536937993237</v>
      </c>
      <c r="H561" s="1">
        <f t="shared" ca="1" si="34"/>
        <v>0.18901402024269556</v>
      </c>
    </row>
    <row r="562" spans="5:8" x14ac:dyDescent="0.3">
      <c r="E562" s="1">
        <f t="shared" si="35"/>
        <v>558</v>
      </c>
      <c r="F562" s="1">
        <f t="shared" ca="1" si="32"/>
        <v>1.2246969694938656</v>
      </c>
      <c r="G562" s="1">
        <f t="shared" ca="1" si="33"/>
        <v>1630.8985799889574</v>
      </c>
      <c r="H562" s="1">
        <f t="shared" ca="1" si="34"/>
        <v>0.15587294083809208</v>
      </c>
    </row>
    <row r="563" spans="5:8" x14ac:dyDescent="0.3">
      <c r="E563" s="1">
        <f t="shared" si="35"/>
        <v>559</v>
      </c>
      <c r="F563" s="1">
        <f t="shared" ca="1" si="32"/>
        <v>1.2570520196732506</v>
      </c>
      <c r="G563" s="1">
        <f t="shared" ca="1" si="33"/>
        <v>1560.2472835409978</v>
      </c>
      <c r="H563" s="1">
        <f t="shared" ca="1" si="34"/>
        <v>0.14912045145187783</v>
      </c>
    </row>
    <row r="564" spans="5:8" x14ac:dyDescent="0.3">
      <c r="E564" s="1">
        <f t="shared" si="35"/>
        <v>560</v>
      </c>
      <c r="F564" s="1">
        <f t="shared" ca="1" si="32"/>
        <v>1.3564872626810953</v>
      </c>
      <c r="G564" s="1">
        <f t="shared" ca="1" si="33"/>
        <v>1343.1180010279932</v>
      </c>
      <c r="H564" s="1">
        <f t="shared" ca="1" si="34"/>
        <v>0.12836834569702696</v>
      </c>
    </row>
    <row r="565" spans="5:8" x14ac:dyDescent="0.3">
      <c r="E565" s="1">
        <f t="shared" si="35"/>
        <v>561</v>
      </c>
      <c r="F565" s="1">
        <f t="shared" ca="1" si="32"/>
        <v>1.112811490721622</v>
      </c>
      <c r="G565" s="1">
        <f t="shared" ca="1" si="33"/>
        <v>1875.2145085729981</v>
      </c>
      <c r="H565" s="1">
        <f t="shared" ca="1" si="34"/>
        <v>0.17922340710819057</v>
      </c>
    </row>
    <row r="566" spans="5:8" x14ac:dyDescent="0.3">
      <c r="E566" s="1">
        <f t="shared" si="35"/>
        <v>562</v>
      </c>
      <c r="F566" s="1">
        <f t="shared" ca="1" si="32"/>
        <v>0.9411165040989693</v>
      </c>
      <c r="G566" s="1">
        <f t="shared" ca="1" si="33"/>
        <v>2250.1319737368881</v>
      </c>
      <c r="H566" s="1">
        <f t="shared" ca="1" si="34"/>
        <v>0.21505609994618063</v>
      </c>
    </row>
    <row r="567" spans="5:8" x14ac:dyDescent="0.3">
      <c r="E567" s="1">
        <f t="shared" si="35"/>
        <v>563</v>
      </c>
      <c r="F567" s="1">
        <f t="shared" ca="1" si="32"/>
        <v>1.0600172628480058</v>
      </c>
      <c r="G567" s="1">
        <f t="shared" ca="1" si="33"/>
        <v>1990.4973044135231</v>
      </c>
      <c r="H567" s="1">
        <f t="shared" ca="1" si="34"/>
        <v>0.19024154682342762</v>
      </c>
    </row>
    <row r="568" spans="5:8" x14ac:dyDescent="0.3">
      <c r="E568" s="1">
        <f t="shared" si="35"/>
        <v>564</v>
      </c>
      <c r="F568" s="1">
        <f t="shared" ca="1" si="32"/>
        <v>1.009774563261117</v>
      </c>
      <c r="G568" s="1">
        <f t="shared" ca="1" si="33"/>
        <v>2100.2085192989434</v>
      </c>
      <c r="H568" s="1">
        <f t="shared" ca="1" si="34"/>
        <v>0.20072718334119694</v>
      </c>
    </row>
    <row r="569" spans="5:8" x14ac:dyDescent="0.3">
      <c r="E569" s="1">
        <f t="shared" si="35"/>
        <v>565</v>
      </c>
      <c r="F569" s="1">
        <f t="shared" ca="1" si="32"/>
        <v>1.3268252178570399</v>
      </c>
      <c r="G569" s="1">
        <f t="shared" ca="1" si="33"/>
        <v>1407.8887836569211</v>
      </c>
      <c r="H569" s="1">
        <f t="shared" ca="1" si="34"/>
        <v>0.13455880566347331</v>
      </c>
    </row>
    <row r="570" spans="5:8" x14ac:dyDescent="0.3">
      <c r="E570" s="1">
        <f t="shared" si="35"/>
        <v>566</v>
      </c>
      <c r="F570" s="1">
        <f t="shared" ca="1" si="32"/>
        <v>0.98371220071013477</v>
      </c>
      <c r="G570" s="1">
        <f t="shared" ca="1" si="33"/>
        <v>2157.1189457243318</v>
      </c>
      <c r="H570" s="1">
        <f t="shared" ca="1" si="34"/>
        <v>0.20616639068377443</v>
      </c>
    </row>
    <row r="571" spans="5:8" x14ac:dyDescent="0.3">
      <c r="E571" s="1">
        <f t="shared" si="35"/>
        <v>567</v>
      </c>
      <c r="F571" s="1">
        <f t="shared" ca="1" si="32"/>
        <v>1.2548333279119022</v>
      </c>
      <c r="G571" s="1">
        <f t="shared" ca="1" si="33"/>
        <v>1565.0920743383724</v>
      </c>
      <c r="H571" s="1">
        <f t="shared" ca="1" si="34"/>
        <v>0.14958349176511254</v>
      </c>
    </row>
    <row r="572" spans="5:8" x14ac:dyDescent="0.3">
      <c r="E572" s="1">
        <f t="shared" si="35"/>
        <v>568</v>
      </c>
      <c r="F572" s="1">
        <f t="shared" ca="1" si="32"/>
        <v>1.2460502525241046</v>
      </c>
      <c r="G572" s="1">
        <f t="shared" ca="1" si="33"/>
        <v>1584.271017332052</v>
      </c>
      <c r="H572" s="1">
        <f t="shared" ca="1" si="34"/>
        <v>0.15141651699627756</v>
      </c>
    </row>
    <row r="573" spans="5:8" x14ac:dyDescent="0.3">
      <c r="E573" s="1">
        <f t="shared" si="35"/>
        <v>569</v>
      </c>
      <c r="F573" s="1">
        <f t="shared" ca="1" si="32"/>
        <v>1.1213490810241111</v>
      </c>
      <c r="G573" s="1">
        <f t="shared" ca="1" si="33"/>
        <v>1856.5716129487253</v>
      </c>
      <c r="H573" s="1">
        <f t="shared" ca="1" si="34"/>
        <v>0.1774416145415966</v>
      </c>
    </row>
    <row r="574" spans="5:8" x14ac:dyDescent="0.3">
      <c r="E574" s="1">
        <f t="shared" si="35"/>
        <v>570</v>
      </c>
      <c r="F574" s="1">
        <f t="shared" ca="1" si="32"/>
        <v>1.0157845014204083</v>
      </c>
      <c r="G574" s="1">
        <f t="shared" ca="1" si="33"/>
        <v>2087.0850680858607</v>
      </c>
      <c r="H574" s="1">
        <f t="shared" ca="1" si="34"/>
        <v>0.19947291102799014</v>
      </c>
    </row>
    <row r="575" spans="5:8" x14ac:dyDescent="0.3">
      <c r="E575" s="1">
        <f t="shared" si="35"/>
        <v>571</v>
      </c>
      <c r="F575" s="1">
        <f t="shared" ca="1" si="32"/>
        <v>0.98275334765336175</v>
      </c>
      <c r="G575" s="1">
        <f t="shared" ca="1" si="33"/>
        <v>2159.2127212304276</v>
      </c>
      <c r="H575" s="1">
        <f t="shared" ca="1" si="34"/>
        <v>0.2063665030326319</v>
      </c>
    </row>
    <row r="576" spans="5:8" x14ac:dyDescent="0.3">
      <c r="E576" s="1">
        <f t="shared" si="35"/>
        <v>572</v>
      </c>
      <c r="F576" s="1">
        <f t="shared" ca="1" si="32"/>
        <v>0.84577754150684104</v>
      </c>
      <c r="G576" s="1">
        <f t="shared" ca="1" si="33"/>
        <v>2458.3165159271239</v>
      </c>
      <c r="H576" s="1">
        <f t="shared" ca="1" si="34"/>
        <v>0.23495331319192619</v>
      </c>
    </row>
    <row r="577" spans="5:8" x14ac:dyDescent="0.3">
      <c r="E577" s="1">
        <f t="shared" si="35"/>
        <v>573</v>
      </c>
      <c r="F577" s="1">
        <f t="shared" ca="1" si="32"/>
        <v>1.2084960424192606</v>
      </c>
      <c r="G577" s="1">
        <f t="shared" ca="1" si="33"/>
        <v>1666.2753293722419</v>
      </c>
      <c r="H577" s="1">
        <f t="shared" ca="1" si="34"/>
        <v>0.15925406951851687</v>
      </c>
    </row>
    <row r="578" spans="5:8" x14ac:dyDescent="0.3">
      <c r="E578" s="1">
        <f t="shared" si="35"/>
        <v>574</v>
      </c>
      <c r="F578" s="1">
        <f t="shared" ca="1" si="32"/>
        <v>1.1121543049524039</v>
      </c>
      <c r="G578" s="1">
        <f t="shared" ca="1" si="33"/>
        <v>1876.649555848307</v>
      </c>
      <c r="H578" s="1">
        <f t="shared" ca="1" si="34"/>
        <v>0.17936056158351402</v>
      </c>
    </row>
    <row r="579" spans="5:8" x14ac:dyDescent="0.3">
      <c r="E579" s="1">
        <f t="shared" si="35"/>
        <v>575</v>
      </c>
      <c r="F579" s="1">
        <f t="shared" ca="1" si="32"/>
        <v>1.0602138054066741</v>
      </c>
      <c r="G579" s="1">
        <f t="shared" ca="1" si="33"/>
        <v>1990.0681291688511</v>
      </c>
      <c r="H579" s="1">
        <f t="shared" ca="1" si="34"/>
        <v>0.19020052844966559</v>
      </c>
    </row>
    <row r="580" spans="5:8" x14ac:dyDescent="0.3">
      <c r="E580" s="1">
        <f t="shared" si="35"/>
        <v>576</v>
      </c>
      <c r="F580" s="1">
        <f t="shared" ca="1" si="32"/>
        <v>1.0115914918595377</v>
      </c>
      <c r="G580" s="1">
        <f t="shared" ca="1" si="33"/>
        <v>2096.241028588217</v>
      </c>
      <c r="H580" s="1">
        <f t="shared" ca="1" si="34"/>
        <v>0.20034799088103</v>
      </c>
    </row>
    <row r="581" spans="5:8" x14ac:dyDescent="0.3">
      <c r="E581" s="1">
        <f t="shared" si="35"/>
        <v>577</v>
      </c>
      <c r="F581" s="1">
        <f t="shared" ref="F581:F644" ca="1" si="36">_xlfn.NORM.INV(RAND(), $C$9, $C$9 * $C$10)</f>
        <v>0.84543265704279325</v>
      </c>
      <c r="G581" s="1">
        <f t="shared" ref="G581:G644" ca="1" si="37">$C$7 - ($C$6 + $C$8 * $C$11) - (($C$6 + $C$8 * $C$11) * (1 - $C$12) * (F581 - $C$13))</f>
        <v>2459.0696142649304</v>
      </c>
      <c r="H581" s="1">
        <f t="shared" ref="H581:H644" ca="1" si="38">G581 / $C$7</f>
        <v>0.23502529047738988</v>
      </c>
    </row>
    <row r="582" spans="5:8" x14ac:dyDescent="0.3">
      <c r="E582" s="1">
        <f t="shared" ref="E582:E645" si="39">ROW()-4</f>
        <v>578</v>
      </c>
      <c r="F582" s="1">
        <f t="shared" ca="1" si="36"/>
        <v>1.2529947501388585</v>
      </c>
      <c r="G582" s="1">
        <f t="shared" ca="1" si="37"/>
        <v>1569.106838728035</v>
      </c>
      <c r="H582" s="1">
        <f t="shared" ca="1" si="38"/>
        <v>0.14996720240160899</v>
      </c>
    </row>
    <row r="583" spans="5:8" x14ac:dyDescent="0.3">
      <c r="E583" s="1">
        <f t="shared" si="39"/>
        <v>579</v>
      </c>
      <c r="F583" s="1">
        <f t="shared" ca="1" si="36"/>
        <v>1.0633696365937237</v>
      </c>
      <c r="G583" s="1">
        <f t="shared" ca="1" si="37"/>
        <v>1983.1769772930299</v>
      </c>
      <c r="H583" s="1">
        <f t="shared" ca="1" si="38"/>
        <v>0.18954190741594476</v>
      </c>
    </row>
    <row r="584" spans="5:8" x14ac:dyDescent="0.3">
      <c r="E584" s="1">
        <f t="shared" si="39"/>
        <v>580</v>
      </c>
      <c r="F584" s="1">
        <f t="shared" ca="1" si="36"/>
        <v>1.5603695152638355</v>
      </c>
      <c r="G584" s="1">
        <f t="shared" ca="1" si="37"/>
        <v>897.91561723200709</v>
      </c>
      <c r="H584" s="1">
        <f t="shared" ca="1" si="38"/>
        <v>8.5818179989678597E-2</v>
      </c>
    </row>
    <row r="585" spans="5:8" x14ac:dyDescent="0.3">
      <c r="E585" s="1">
        <f t="shared" si="39"/>
        <v>581</v>
      </c>
      <c r="F585" s="1">
        <f t="shared" ca="1" si="36"/>
        <v>1.1048731829488136</v>
      </c>
      <c r="G585" s="1">
        <f t="shared" ca="1" si="37"/>
        <v>1892.5487958833967</v>
      </c>
      <c r="H585" s="1">
        <f t="shared" ca="1" si="38"/>
        <v>0.18088012958839689</v>
      </c>
    </row>
    <row r="586" spans="5:8" x14ac:dyDescent="0.3">
      <c r="E586" s="1">
        <f t="shared" si="39"/>
        <v>582</v>
      </c>
      <c r="F586" s="1">
        <f t="shared" ca="1" si="36"/>
        <v>1.1686366021239203</v>
      </c>
      <c r="G586" s="1">
        <f t="shared" ca="1" si="37"/>
        <v>1753.3133996871545</v>
      </c>
      <c r="H586" s="1">
        <f t="shared" ca="1" si="38"/>
        <v>0.16757272289851424</v>
      </c>
    </row>
    <row r="587" spans="5:8" x14ac:dyDescent="0.3">
      <c r="E587" s="1">
        <f t="shared" si="39"/>
        <v>583</v>
      </c>
      <c r="F587" s="1">
        <f t="shared" ca="1" si="36"/>
        <v>1.212844469292363</v>
      </c>
      <c r="G587" s="1">
        <f t="shared" ca="1" si="37"/>
        <v>1656.7799957414636</v>
      </c>
      <c r="H587" s="1">
        <f t="shared" ca="1" si="38"/>
        <v>0.1583465541184616</v>
      </c>
    </row>
    <row r="588" spans="5:8" x14ac:dyDescent="0.3">
      <c r="E588" s="1">
        <f t="shared" si="39"/>
        <v>584</v>
      </c>
      <c r="F588" s="1">
        <f t="shared" ca="1" si="36"/>
        <v>1.3727985159625229</v>
      </c>
      <c r="G588" s="1">
        <f t="shared" ca="1" si="37"/>
        <v>1307.5003405813359</v>
      </c>
      <c r="H588" s="1">
        <f t="shared" ca="1" si="38"/>
        <v>0.12496419196992602</v>
      </c>
    </row>
    <row r="589" spans="5:8" x14ac:dyDescent="0.3">
      <c r="E589" s="1">
        <f t="shared" si="39"/>
        <v>585</v>
      </c>
      <c r="F589" s="1">
        <f t="shared" ca="1" si="36"/>
        <v>1.4641032994188463</v>
      </c>
      <c r="G589" s="1">
        <f t="shared" ca="1" si="37"/>
        <v>1108.1249328065214</v>
      </c>
      <c r="H589" s="1">
        <f t="shared" ca="1" si="38"/>
        <v>0.10590891071456766</v>
      </c>
    </row>
    <row r="590" spans="5:8" x14ac:dyDescent="0.3">
      <c r="E590" s="1">
        <f t="shared" si="39"/>
        <v>586</v>
      </c>
      <c r="F590" s="1">
        <f t="shared" ca="1" si="36"/>
        <v>0.86505425994724217</v>
      </c>
      <c r="G590" s="1">
        <f t="shared" ca="1" si="37"/>
        <v>2416.2233916227033</v>
      </c>
      <c r="H590" s="1">
        <f t="shared" ca="1" si="38"/>
        <v>0.23093026776476186</v>
      </c>
    </row>
    <row r="591" spans="5:8" x14ac:dyDescent="0.3">
      <c r="E591" s="1">
        <f t="shared" si="39"/>
        <v>587</v>
      </c>
      <c r="F591" s="1">
        <f t="shared" ca="1" si="36"/>
        <v>1.1389533495118138</v>
      </c>
      <c r="G591" s="1">
        <f t="shared" ca="1" si="37"/>
        <v>1818.1304921722653</v>
      </c>
      <c r="H591" s="1">
        <f t="shared" ca="1" si="38"/>
        <v>0.17376760892404333</v>
      </c>
    </row>
    <row r="592" spans="5:8" x14ac:dyDescent="0.3">
      <c r="E592" s="1">
        <f t="shared" si="39"/>
        <v>588</v>
      </c>
      <c r="F592" s="1">
        <f t="shared" ca="1" si="36"/>
        <v>1.0680535516579448</v>
      </c>
      <c r="G592" s="1">
        <f t="shared" ca="1" si="37"/>
        <v>1972.9490632609202</v>
      </c>
      <c r="H592" s="1">
        <f t="shared" ca="1" si="38"/>
        <v>0.18856437572980217</v>
      </c>
    </row>
    <row r="593" spans="5:8" x14ac:dyDescent="0.3">
      <c r="E593" s="1">
        <f t="shared" si="39"/>
        <v>589</v>
      </c>
      <c r="F593" s="1">
        <f t="shared" ca="1" si="36"/>
        <v>0.95164423082812655</v>
      </c>
      <c r="G593" s="1">
        <f t="shared" ca="1" si="37"/>
        <v>2227.1433664579322</v>
      </c>
      <c r="H593" s="1">
        <f t="shared" ca="1" si="38"/>
        <v>0.21285896649698291</v>
      </c>
    </row>
    <row r="594" spans="5:8" x14ac:dyDescent="0.3">
      <c r="E594" s="1">
        <f t="shared" si="39"/>
        <v>590</v>
      </c>
      <c r="F594" s="1">
        <f t="shared" ca="1" si="36"/>
        <v>1.4042536520642503</v>
      </c>
      <c r="G594" s="1">
        <f t="shared" ca="1" si="37"/>
        <v>1238.8141190112012</v>
      </c>
      <c r="H594" s="1">
        <f t="shared" ca="1" si="38"/>
        <v>0.11839951438509043</v>
      </c>
    </row>
    <row r="595" spans="5:8" x14ac:dyDescent="0.3">
      <c r="E595" s="1">
        <f t="shared" si="39"/>
        <v>591</v>
      </c>
      <c r="F595" s="1">
        <f t="shared" ca="1" si="36"/>
        <v>1.404144324802834</v>
      </c>
      <c r="G595" s="1">
        <f t="shared" ca="1" si="37"/>
        <v>1239.0528487524114</v>
      </c>
      <c r="H595" s="1">
        <f t="shared" ca="1" si="38"/>
        <v>0.1184223309521563</v>
      </c>
    </row>
    <row r="596" spans="5:8" x14ac:dyDescent="0.3">
      <c r="E596" s="1">
        <f t="shared" si="39"/>
        <v>592</v>
      </c>
      <c r="F596" s="1">
        <f t="shared" ca="1" si="36"/>
        <v>1.3174330382268646</v>
      </c>
      <c r="G596" s="1">
        <f t="shared" ca="1" si="37"/>
        <v>1428.3977819018626</v>
      </c>
      <c r="H596" s="1">
        <f t="shared" ca="1" si="38"/>
        <v>0.13651895076955584</v>
      </c>
    </row>
    <row r="597" spans="5:8" x14ac:dyDescent="0.3">
      <c r="E597" s="1">
        <f t="shared" si="39"/>
        <v>593</v>
      </c>
      <c r="F597" s="1">
        <f t="shared" ca="1" si="36"/>
        <v>1.1994565417783811</v>
      </c>
      <c r="G597" s="1">
        <f t="shared" ca="1" si="37"/>
        <v>1686.0142089591823</v>
      </c>
      <c r="H597" s="1">
        <f t="shared" ca="1" si="38"/>
        <v>0.16114061062402582</v>
      </c>
    </row>
    <row r="598" spans="5:8" x14ac:dyDescent="0.3">
      <c r="E598" s="1">
        <f t="shared" si="39"/>
        <v>594</v>
      </c>
      <c r="F598" s="1">
        <f t="shared" ca="1" si="36"/>
        <v>1.2266559755973976</v>
      </c>
      <c r="G598" s="1">
        <f t="shared" ca="1" si="37"/>
        <v>1626.6208452861326</v>
      </c>
      <c r="H598" s="1">
        <f t="shared" ca="1" si="38"/>
        <v>0.1554640968447035</v>
      </c>
    </row>
    <row r="599" spans="5:8" x14ac:dyDescent="0.3">
      <c r="E599" s="1">
        <f t="shared" si="39"/>
        <v>595</v>
      </c>
      <c r="F599" s="1">
        <f t="shared" ca="1" si="36"/>
        <v>1.1112658117344387</v>
      </c>
      <c r="G599" s="1">
        <f t="shared" ca="1" si="37"/>
        <v>1878.5896918513861</v>
      </c>
      <c r="H599" s="1">
        <f t="shared" ca="1" si="38"/>
        <v>0.17954598985485865</v>
      </c>
    </row>
    <row r="600" spans="5:8" x14ac:dyDescent="0.3">
      <c r="E600" s="1">
        <f t="shared" si="39"/>
        <v>596</v>
      </c>
      <c r="F600" s="1">
        <f t="shared" ca="1" si="36"/>
        <v>1.1791631999013181</v>
      </c>
      <c r="G600" s="1">
        <f t="shared" ca="1" si="37"/>
        <v>1730.3272576154841</v>
      </c>
      <c r="H600" s="1">
        <f t="shared" ca="1" si="38"/>
        <v>0.1653758250612142</v>
      </c>
    </row>
    <row r="601" spans="5:8" x14ac:dyDescent="0.3">
      <c r="E601" s="1">
        <f t="shared" si="39"/>
        <v>597</v>
      </c>
      <c r="F601" s="1">
        <f t="shared" ca="1" si="36"/>
        <v>1.4041892988774187</v>
      </c>
      <c r="G601" s="1">
        <f t="shared" ca="1" si="37"/>
        <v>1238.9546422387964</v>
      </c>
      <c r="H601" s="1">
        <f t="shared" ca="1" si="38"/>
        <v>0.11841294487611549</v>
      </c>
    </row>
    <row r="602" spans="5:8" x14ac:dyDescent="0.3">
      <c r="E602" s="1">
        <f t="shared" si="39"/>
        <v>598</v>
      </c>
      <c r="F602" s="1">
        <f t="shared" ca="1" si="36"/>
        <v>1.1701125179712646</v>
      </c>
      <c r="G602" s="1">
        <f t="shared" ca="1" si="37"/>
        <v>1750.0905529449972</v>
      </c>
      <c r="H602" s="1">
        <f t="shared" ca="1" si="38"/>
        <v>0.16726469969846097</v>
      </c>
    </row>
    <row r="603" spans="5:8" x14ac:dyDescent="0.3">
      <c r="E603" s="1">
        <f t="shared" si="39"/>
        <v>599</v>
      </c>
      <c r="F603" s="1">
        <f t="shared" ca="1" si="36"/>
        <v>1.0849834796913607</v>
      </c>
      <c r="G603" s="1">
        <f t="shared" ca="1" si="37"/>
        <v>1935.9804491589525</v>
      </c>
      <c r="H603" s="1">
        <f t="shared" ca="1" si="38"/>
        <v>0.18503110476526355</v>
      </c>
    </row>
    <row r="604" spans="5:8" x14ac:dyDescent="0.3">
      <c r="E604" s="1">
        <f t="shared" si="39"/>
        <v>600</v>
      </c>
      <c r="F604" s="1">
        <f t="shared" ca="1" si="36"/>
        <v>1.0408434297846898</v>
      </c>
      <c r="G604" s="1">
        <f t="shared" ca="1" si="37"/>
        <v>2032.3657656364066</v>
      </c>
      <c r="H604" s="1">
        <f t="shared" ca="1" si="38"/>
        <v>0.19424312010287745</v>
      </c>
    </row>
    <row r="605" spans="5:8" x14ac:dyDescent="0.3">
      <c r="E605" s="1">
        <f t="shared" si="39"/>
        <v>601</v>
      </c>
      <c r="F605" s="1">
        <f t="shared" ca="1" si="36"/>
        <v>1.322802347606665</v>
      </c>
      <c r="G605" s="1">
        <f t="shared" ca="1" si="37"/>
        <v>1416.6732237073959</v>
      </c>
      <c r="H605" s="1">
        <f t="shared" ca="1" si="38"/>
        <v>0.13539837749282194</v>
      </c>
    </row>
    <row r="606" spans="5:8" x14ac:dyDescent="0.3">
      <c r="E606" s="1">
        <f t="shared" si="39"/>
        <v>602</v>
      </c>
      <c r="F606" s="1">
        <f t="shared" ca="1" si="36"/>
        <v>1.2599358253239106</v>
      </c>
      <c r="G606" s="1">
        <f t="shared" ca="1" si="37"/>
        <v>1553.9501334270756</v>
      </c>
      <c r="H606" s="1">
        <f t="shared" ca="1" si="38"/>
        <v>0.14851860206700521</v>
      </c>
    </row>
    <row r="607" spans="5:8" x14ac:dyDescent="0.3">
      <c r="E607" s="1">
        <f t="shared" si="39"/>
        <v>603</v>
      </c>
      <c r="F607" s="1">
        <f t="shared" ca="1" si="36"/>
        <v>1.0522864496853606</v>
      </c>
      <c r="G607" s="1">
        <f t="shared" ca="1" si="37"/>
        <v>2007.3785013058045</v>
      </c>
      <c r="H607" s="1">
        <f t="shared" ca="1" si="38"/>
        <v>0.19185496523996984</v>
      </c>
    </row>
    <row r="608" spans="5:8" x14ac:dyDescent="0.3">
      <c r="E608" s="1">
        <f t="shared" si="39"/>
        <v>604</v>
      </c>
      <c r="F608" s="1">
        <f t="shared" ca="1" si="36"/>
        <v>1.0631244616600422</v>
      </c>
      <c r="G608" s="1">
        <f t="shared" ca="1" si="37"/>
        <v>1983.7123474075904</v>
      </c>
      <c r="H608" s="1">
        <f t="shared" ca="1" si="38"/>
        <v>0.18959307535196315</v>
      </c>
    </row>
    <row r="609" spans="5:8" x14ac:dyDescent="0.3">
      <c r="E609" s="1">
        <f t="shared" si="39"/>
        <v>605</v>
      </c>
      <c r="F609" s="1">
        <f t="shared" ca="1" si="36"/>
        <v>1.183914418695555</v>
      </c>
      <c r="G609" s="1">
        <f t="shared" ca="1" si="37"/>
        <v>1719.9523774759184</v>
      </c>
      <c r="H609" s="1">
        <f t="shared" ca="1" si="38"/>
        <v>0.16438424710655819</v>
      </c>
    </row>
    <row r="610" spans="5:8" x14ac:dyDescent="0.3">
      <c r="E610" s="1">
        <f t="shared" si="39"/>
        <v>606</v>
      </c>
      <c r="F610" s="1">
        <f t="shared" ca="1" si="36"/>
        <v>1.3740833370841543</v>
      </c>
      <c r="G610" s="1">
        <f t="shared" ca="1" si="37"/>
        <v>1304.6947730596135</v>
      </c>
      <c r="H610" s="1">
        <f t="shared" ca="1" si="38"/>
        <v>0.12469605018251108</v>
      </c>
    </row>
    <row r="611" spans="5:8" x14ac:dyDescent="0.3">
      <c r="E611" s="1">
        <f t="shared" si="39"/>
        <v>607</v>
      </c>
      <c r="F611" s="1">
        <f t="shared" ca="1" si="36"/>
        <v>1.2021052622199777</v>
      </c>
      <c r="G611" s="1">
        <f t="shared" ca="1" si="37"/>
        <v>1680.2303967849011</v>
      </c>
      <c r="H611" s="1">
        <f t="shared" ca="1" si="38"/>
        <v>0.1605878234526332</v>
      </c>
    </row>
    <row r="612" spans="5:8" x14ac:dyDescent="0.3">
      <c r="E612" s="1">
        <f t="shared" si="39"/>
        <v>608</v>
      </c>
      <c r="F612" s="1">
        <f t="shared" ca="1" si="36"/>
        <v>1.0223032313093194</v>
      </c>
      <c r="G612" s="1">
        <f t="shared" ca="1" si="37"/>
        <v>2072.8506065321872</v>
      </c>
      <c r="H612" s="1">
        <f t="shared" ca="1" si="38"/>
        <v>0.19811245403155761</v>
      </c>
    </row>
    <row r="613" spans="5:8" x14ac:dyDescent="0.3">
      <c r="E613" s="1">
        <f t="shared" si="39"/>
        <v>609</v>
      </c>
      <c r="F613" s="1">
        <f t="shared" ca="1" si="36"/>
        <v>1.1298251162755315</v>
      </c>
      <c r="G613" s="1">
        <f t="shared" ca="1" si="37"/>
        <v>1838.0631304728424</v>
      </c>
      <c r="H613" s="1">
        <f t="shared" ca="1" si="38"/>
        <v>0.175672668495923</v>
      </c>
    </row>
    <row r="614" spans="5:8" x14ac:dyDescent="0.3">
      <c r="E614" s="1">
        <f t="shared" si="39"/>
        <v>610</v>
      </c>
      <c r="F614" s="1">
        <f t="shared" ca="1" si="36"/>
        <v>1.0956506319228436</v>
      </c>
      <c r="G614" s="1">
        <f t="shared" ca="1" si="37"/>
        <v>1912.6873888674804</v>
      </c>
      <c r="H614" s="1">
        <f t="shared" ca="1" si="38"/>
        <v>0.18280487325503969</v>
      </c>
    </row>
    <row r="615" spans="5:8" x14ac:dyDescent="0.3">
      <c r="E615" s="1">
        <f t="shared" si="39"/>
        <v>611</v>
      </c>
      <c r="F615" s="1">
        <f t="shared" ca="1" si="36"/>
        <v>1.1884022446896332</v>
      </c>
      <c r="G615" s="1">
        <f t="shared" ca="1" si="37"/>
        <v>1710.1526484395997</v>
      </c>
      <c r="H615" s="1">
        <f t="shared" ca="1" si="38"/>
        <v>0.16344763915125679</v>
      </c>
    </row>
    <row r="616" spans="5:8" x14ac:dyDescent="0.3">
      <c r="E616" s="1">
        <f t="shared" si="39"/>
        <v>612</v>
      </c>
      <c r="F616" s="1">
        <f t="shared" ca="1" si="36"/>
        <v>1.2192806377518999</v>
      </c>
      <c r="G616" s="1">
        <f t="shared" ca="1" si="37"/>
        <v>1642.7258173890075</v>
      </c>
      <c r="H616" s="1">
        <f t="shared" ca="1" si="38"/>
        <v>0.157003327667878</v>
      </c>
    </row>
    <row r="617" spans="5:8" x14ac:dyDescent="0.3">
      <c r="E617" s="1">
        <f t="shared" si="39"/>
        <v>613</v>
      </c>
      <c r="F617" s="1">
        <f t="shared" ca="1" si="36"/>
        <v>1.2438379170768856</v>
      </c>
      <c r="G617" s="1">
        <f t="shared" ca="1" si="37"/>
        <v>1589.1019283229855</v>
      </c>
      <c r="H617" s="1">
        <f t="shared" ca="1" si="38"/>
        <v>0.15187823074863668</v>
      </c>
    </row>
    <row r="618" spans="5:8" x14ac:dyDescent="0.3">
      <c r="E618" s="1">
        <f t="shared" si="39"/>
        <v>614</v>
      </c>
      <c r="F618" s="1">
        <f t="shared" ca="1" si="36"/>
        <v>1.2201577408703563</v>
      </c>
      <c r="G618" s="1">
        <f t="shared" ca="1" si="37"/>
        <v>1640.8105530919679</v>
      </c>
      <c r="H618" s="1">
        <f t="shared" ca="1" si="38"/>
        <v>0.15682027650692612</v>
      </c>
    </row>
    <row r="619" spans="5:8" x14ac:dyDescent="0.3">
      <c r="E619" s="1">
        <f t="shared" si="39"/>
        <v>615</v>
      </c>
      <c r="F619" s="1">
        <f t="shared" ca="1" si="36"/>
        <v>1.2720215990061547</v>
      </c>
      <c r="G619" s="1">
        <f t="shared" ca="1" si="37"/>
        <v>1527.5593358701851</v>
      </c>
      <c r="H619" s="1">
        <f t="shared" ca="1" si="38"/>
        <v>0.14599630468031971</v>
      </c>
    </row>
    <row r="620" spans="5:8" x14ac:dyDescent="0.3">
      <c r="E620" s="1">
        <f t="shared" si="39"/>
        <v>616</v>
      </c>
      <c r="F620" s="1">
        <f t="shared" ca="1" si="36"/>
        <v>0.98719303885107323</v>
      </c>
      <c r="G620" s="1">
        <f t="shared" ca="1" si="37"/>
        <v>2149.5181005388249</v>
      </c>
      <c r="H620" s="1">
        <f t="shared" ca="1" si="38"/>
        <v>0.20543994079507072</v>
      </c>
    </row>
    <row r="621" spans="5:8" x14ac:dyDescent="0.3">
      <c r="E621" s="1">
        <f t="shared" si="39"/>
        <v>617</v>
      </c>
      <c r="F621" s="1">
        <f t="shared" ca="1" si="36"/>
        <v>1.140280804462463</v>
      </c>
      <c r="G621" s="1">
        <f t="shared" ca="1" si="37"/>
        <v>1815.231828355654</v>
      </c>
      <c r="H621" s="1">
        <f t="shared" ca="1" si="38"/>
        <v>0.17349056946914404</v>
      </c>
    </row>
    <row r="622" spans="5:8" x14ac:dyDescent="0.3">
      <c r="E622" s="1">
        <f t="shared" si="39"/>
        <v>618</v>
      </c>
      <c r="F622" s="1">
        <f t="shared" ca="1" si="36"/>
        <v>1.2089298928110037</v>
      </c>
      <c r="G622" s="1">
        <f t="shared" ca="1" si="37"/>
        <v>1665.327962810572</v>
      </c>
      <c r="H622" s="1">
        <f t="shared" ca="1" si="38"/>
        <v>0.15916352507030221</v>
      </c>
    </row>
    <row r="623" spans="5:8" x14ac:dyDescent="0.3">
      <c r="E623" s="1">
        <f t="shared" si="39"/>
        <v>619</v>
      </c>
      <c r="F623" s="1">
        <f t="shared" ca="1" si="36"/>
        <v>1.1071915291756902</v>
      </c>
      <c r="G623" s="1">
        <f t="shared" ca="1" si="37"/>
        <v>1887.4863971037335</v>
      </c>
      <c r="H623" s="1">
        <f t="shared" ca="1" si="38"/>
        <v>0.18039629141773234</v>
      </c>
    </row>
    <row r="624" spans="5:8" x14ac:dyDescent="0.3">
      <c r="E624" s="1">
        <f t="shared" si="39"/>
        <v>620</v>
      </c>
      <c r="F624" s="1">
        <f t="shared" ca="1" si="36"/>
        <v>1.0834559484529125</v>
      </c>
      <c r="G624" s="1">
        <f t="shared" ca="1" si="37"/>
        <v>1939.3160045595089</v>
      </c>
      <c r="H624" s="1">
        <f t="shared" ca="1" si="38"/>
        <v>0.18534990008214747</v>
      </c>
    </row>
    <row r="625" spans="5:8" x14ac:dyDescent="0.3">
      <c r="E625" s="1">
        <f t="shared" si="39"/>
        <v>621</v>
      </c>
      <c r="F625" s="1">
        <f t="shared" ca="1" si="36"/>
        <v>1.0244117003790489</v>
      </c>
      <c r="G625" s="1">
        <f t="shared" ca="1" si="37"/>
        <v>2068.2465007597993</v>
      </c>
      <c r="H625" s="1">
        <f t="shared" ca="1" si="38"/>
        <v>0.19767241716140679</v>
      </c>
    </row>
    <row r="626" spans="5:8" x14ac:dyDescent="0.3">
      <c r="E626" s="1">
        <f t="shared" si="39"/>
        <v>622</v>
      </c>
      <c r="F626" s="1">
        <f t="shared" ca="1" si="36"/>
        <v>1.0507913920943461</v>
      </c>
      <c r="G626" s="1">
        <f t="shared" ca="1" si="37"/>
        <v>2010.6431464379832</v>
      </c>
      <c r="H626" s="1">
        <f t="shared" ca="1" si="38"/>
        <v>0.19216698331625567</v>
      </c>
    </row>
    <row r="627" spans="5:8" x14ac:dyDescent="0.3">
      <c r="E627" s="1">
        <f t="shared" si="39"/>
        <v>623</v>
      </c>
      <c r="F627" s="1">
        <f t="shared" ca="1" si="36"/>
        <v>1.1444611247806962</v>
      </c>
      <c r="G627" s="1">
        <f t="shared" ca="1" si="37"/>
        <v>1806.1035764007522</v>
      </c>
      <c r="H627" s="1">
        <f t="shared" ca="1" si="38"/>
        <v>0.17261813785728303</v>
      </c>
    </row>
    <row r="628" spans="5:8" x14ac:dyDescent="0.3">
      <c r="E628" s="1">
        <f t="shared" si="39"/>
        <v>624</v>
      </c>
      <c r="F628" s="1">
        <f t="shared" ca="1" si="36"/>
        <v>1.2296530250725315</v>
      </c>
      <c r="G628" s="1">
        <f t="shared" ca="1" si="37"/>
        <v>1620.0764131259932</v>
      </c>
      <c r="H628" s="1">
        <f t="shared" ca="1" si="38"/>
        <v>0.15483861350721526</v>
      </c>
    </row>
    <row r="629" spans="5:8" x14ac:dyDescent="0.3">
      <c r="E629" s="1">
        <f t="shared" si="39"/>
        <v>625</v>
      </c>
      <c r="F629" s="1">
        <f t="shared" ca="1" si="36"/>
        <v>0.92750039880407531</v>
      </c>
      <c r="G629" s="1">
        <f t="shared" ca="1" si="37"/>
        <v>2279.8644416614507</v>
      </c>
      <c r="H629" s="1">
        <f t="shared" ca="1" si="38"/>
        <v>0.21789777708701621</v>
      </c>
    </row>
    <row r="630" spans="5:8" x14ac:dyDescent="0.3">
      <c r="E630" s="1">
        <f t="shared" si="39"/>
        <v>626</v>
      </c>
      <c r="F630" s="1">
        <f t="shared" ca="1" si="36"/>
        <v>0.79317152968573279</v>
      </c>
      <c r="G630" s="1">
        <f t="shared" ca="1" si="37"/>
        <v>2573.1883184899916</v>
      </c>
      <c r="H630" s="1">
        <f t="shared" ca="1" si="38"/>
        <v>0.24593217227276992</v>
      </c>
    </row>
    <row r="631" spans="5:8" x14ac:dyDescent="0.3">
      <c r="E631" s="1">
        <f t="shared" si="39"/>
        <v>627</v>
      </c>
      <c r="F631" s="1">
        <f t="shared" ca="1" si="36"/>
        <v>1.0913399829455941</v>
      </c>
      <c r="G631" s="1">
        <f t="shared" ca="1" si="37"/>
        <v>1922.100229740427</v>
      </c>
      <c r="H631" s="1">
        <f t="shared" ca="1" si="38"/>
        <v>0.1837045044194234</v>
      </c>
    </row>
    <row r="632" spans="5:8" x14ac:dyDescent="0.3">
      <c r="E632" s="1">
        <f t="shared" si="39"/>
        <v>628</v>
      </c>
      <c r="F632" s="1">
        <f t="shared" ca="1" si="36"/>
        <v>0.86433821097023511</v>
      </c>
      <c r="G632" s="1">
        <f t="shared" ca="1" si="37"/>
        <v>2417.7869740701203</v>
      </c>
      <c r="H632" s="1">
        <f t="shared" ca="1" si="38"/>
        <v>0.2310797069741107</v>
      </c>
    </row>
    <row r="633" spans="5:8" x14ac:dyDescent="0.3">
      <c r="E633" s="1">
        <f t="shared" si="39"/>
        <v>629</v>
      </c>
      <c r="F633" s="1">
        <f t="shared" ca="1" si="36"/>
        <v>1.0964796232015066</v>
      </c>
      <c r="G633" s="1">
        <f t="shared" ca="1" si="37"/>
        <v>1910.8771827866101</v>
      </c>
      <c r="H633" s="1">
        <f t="shared" ca="1" si="38"/>
        <v>0.18263186302079806</v>
      </c>
    </row>
    <row r="634" spans="5:8" x14ac:dyDescent="0.3">
      <c r="E634" s="1">
        <f t="shared" si="39"/>
        <v>630</v>
      </c>
      <c r="F634" s="1">
        <f t="shared" ca="1" si="36"/>
        <v>1.3585222737477216</v>
      </c>
      <c r="G634" s="1">
        <f t="shared" ca="1" si="37"/>
        <v>1338.6742999876312</v>
      </c>
      <c r="H634" s="1">
        <f t="shared" ca="1" si="38"/>
        <v>0.12794363949035947</v>
      </c>
    </row>
    <row r="635" spans="5:8" x14ac:dyDescent="0.3">
      <c r="E635" s="1">
        <f t="shared" si="39"/>
        <v>631</v>
      </c>
      <c r="F635" s="1">
        <f t="shared" ca="1" si="36"/>
        <v>1.1012272647919565</v>
      </c>
      <c r="G635" s="1">
        <f t="shared" ca="1" si="37"/>
        <v>1900.5101139186638</v>
      </c>
      <c r="H635" s="1">
        <f t="shared" ca="1" si="38"/>
        <v>0.18164103162751255</v>
      </c>
    </row>
    <row r="636" spans="5:8" x14ac:dyDescent="0.3">
      <c r="E636" s="1">
        <f t="shared" si="39"/>
        <v>632</v>
      </c>
      <c r="F636" s="1">
        <f t="shared" ca="1" si="36"/>
        <v>0.88531228214564051</v>
      </c>
      <c r="G636" s="1">
        <f t="shared" ca="1" si="37"/>
        <v>2371.9874678997257</v>
      </c>
      <c r="H636" s="1">
        <f t="shared" ca="1" si="38"/>
        <v>0.22670242453404624</v>
      </c>
    </row>
    <row r="637" spans="5:8" x14ac:dyDescent="0.3">
      <c r="E637" s="1">
        <f t="shared" si="39"/>
        <v>633</v>
      </c>
      <c r="F637" s="1">
        <f t="shared" ca="1" si="36"/>
        <v>1.0666911249827544</v>
      </c>
      <c r="G637" s="1">
        <f t="shared" ca="1" si="37"/>
        <v>1975.9240922095328</v>
      </c>
      <c r="H637" s="1">
        <f t="shared" ca="1" si="38"/>
        <v>0.18884871377325171</v>
      </c>
    </row>
    <row r="638" spans="5:8" x14ac:dyDescent="0.3">
      <c r="E638" s="1">
        <f t="shared" si="39"/>
        <v>634</v>
      </c>
      <c r="F638" s="1">
        <f t="shared" ca="1" si="36"/>
        <v>1.290750367148557</v>
      </c>
      <c r="G638" s="1">
        <f t="shared" ca="1" si="37"/>
        <v>1486.6627295352323</v>
      </c>
      <c r="H638" s="1">
        <f t="shared" ca="1" si="38"/>
        <v>0.14208761631799985</v>
      </c>
    </row>
    <row r="639" spans="5:8" x14ac:dyDescent="0.3">
      <c r="E639" s="1">
        <f t="shared" si="39"/>
        <v>635</v>
      </c>
      <c r="F639" s="1">
        <f t="shared" ca="1" si="36"/>
        <v>1.3842470355009553</v>
      </c>
      <c r="G639" s="1">
        <f t="shared" ca="1" si="37"/>
        <v>1282.5010671042264</v>
      </c>
      <c r="H639" s="1">
        <f t="shared" ca="1" si="38"/>
        <v>0.12257488933424701</v>
      </c>
    </row>
    <row r="640" spans="5:8" x14ac:dyDescent="0.3">
      <c r="E640" s="1">
        <f t="shared" si="39"/>
        <v>636</v>
      </c>
      <c r="F640" s="1">
        <f t="shared" ca="1" si="36"/>
        <v>1.2593565901375292</v>
      </c>
      <c r="G640" s="1">
        <f t="shared" ca="1" si="37"/>
        <v>1555.2149658609376</v>
      </c>
      <c r="H640" s="1">
        <f t="shared" ca="1" si="38"/>
        <v>0.14863948827878598</v>
      </c>
    </row>
    <row r="641" spans="5:8" x14ac:dyDescent="0.3">
      <c r="E641" s="1">
        <f t="shared" si="39"/>
        <v>637</v>
      </c>
      <c r="F641" s="1">
        <f t="shared" ca="1" si="36"/>
        <v>1.3082885524255814</v>
      </c>
      <c r="G641" s="1">
        <f t="shared" ca="1" si="37"/>
        <v>1448.3659097096897</v>
      </c>
      <c r="H641" s="1">
        <f t="shared" ca="1" si="38"/>
        <v>0.13842740224693584</v>
      </c>
    </row>
    <row r="642" spans="5:8" x14ac:dyDescent="0.3">
      <c r="E642" s="1">
        <f t="shared" si="39"/>
        <v>638</v>
      </c>
      <c r="F642" s="1">
        <f t="shared" ca="1" si="36"/>
        <v>1.1642271611256758</v>
      </c>
      <c r="G642" s="1">
        <f t="shared" ca="1" si="37"/>
        <v>1762.941965286946</v>
      </c>
      <c r="H642" s="1">
        <f t="shared" ca="1" si="38"/>
        <v>0.16849297192840926</v>
      </c>
    </row>
    <row r="643" spans="5:8" x14ac:dyDescent="0.3">
      <c r="E643" s="1">
        <f t="shared" si="39"/>
        <v>639</v>
      </c>
      <c r="F643" s="1">
        <f t="shared" ca="1" si="36"/>
        <v>1.5224701755757317</v>
      </c>
      <c r="G643" s="1">
        <f t="shared" ca="1" si="37"/>
        <v>980.67356285844266</v>
      </c>
      <c r="H643" s="1">
        <f t="shared" ca="1" si="38"/>
        <v>9.3727760953688483E-2</v>
      </c>
    </row>
    <row r="644" spans="5:8" x14ac:dyDescent="0.3">
      <c r="E644" s="1">
        <f t="shared" si="39"/>
        <v>640</v>
      </c>
      <c r="F644" s="1">
        <f t="shared" ca="1" si="36"/>
        <v>1.1803706366646622</v>
      </c>
      <c r="G644" s="1">
        <f t="shared" ca="1" si="37"/>
        <v>1727.6906685131269</v>
      </c>
      <c r="H644" s="1">
        <f t="shared" ca="1" si="38"/>
        <v>0.16512383336644623</v>
      </c>
    </row>
    <row r="645" spans="5:8" x14ac:dyDescent="0.3">
      <c r="E645" s="1">
        <f t="shared" si="39"/>
        <v>641</v>
      </c>
      <c r="F645" s="1">
        <f t="shared" ref="F645:F708" ca="1" si="40">_xlfn.NORM.INV(RAND(), $C$9, $C$9 * $C$10)</f>
        <v>1.264328552301248</v>
      </c>
      <c r="G645" s="1">
        <f t="shared" ref="G645:G708" ca="1" si="41">$C$7 - ($C$6 + $C$8 * $C$11) - (($C$6 + $C$8 * $C$11) * (1 - $C$12) * (F645 - $C$13))</f>
        <v>1544.3580649811872</v>
      </c>
      <c r="H645" s="1">
        <f t="shared" ref="H645:H708" ca="1" si="42">G645 / $C$7</f>
        <v>0.14760184124832143</v>
      </c>
    </row>
    <row r="646" spans="5:8" x14ac:dyDescent="0.3">
      <c r="E646" s="1">
        <f t="shared" ref="E646:E709" si="43">ROW()-4</f>
        <v>642</v>
      </c>
      <c r="F646" s="1">
        <f t="shared" ca="1" si="40"/>
        <v>1.1971008061212278</v>
      </c>
      <c r="G646" s="1">
        <f t="shared" ca="1" si="41"/>
        <v>1691.1582522335339</v>
      </c>
      <c r="H646" s="1">
        <f t="shared" ca="1" si="42"/>
        <v>0.16163225195771136</v>
      </c>
    </row>
    <row r="647" spans="5:8" x14ac:dyDescent="0.3">
      <c r="E647" s="1">
        <f t="shared" si="43"/>
        <v>643</v>
      </c>
      <c r="F647" s="1">
        <f t="shared" ca="1" si="40"/>
        <v>1.1329404011696025</v>
      </c>
      <c r="G647" s="1">
        <f t="shared" ca="1" si="41"/>
        <v>1831.2605164960266</v>
      </c>
      <c r="H647" s="1">
        <f t="shared" ca="1" si="42"/>
        <v>0.17502250946153367</v>
      </c>
    </row>
    <row r="648" spans="5:8" x14ac:dyDescent="0.3">
      <c r="E648" s="1">
        <f t="shared" si="43"/>
        <v>644</v>
      </c>
      <c r="F648" s="1">
        <f t="shared" ca="1" si="40"/>
        <v>1.0270001583160888</v>
      </c>
      <c r="G648" s="1">
        <f t="shared" ca="1" si="41"/>
        <v>2062.5942792970304</v>
      </c>
      <c r="H648" s="1">
        <f t="shared" ca="1" si="42"/>
        <v>0.19713220675686041</v>
      </c>
    </row>
    <row r="649" spans="5:8" x14ac:dyDescent="0.3">
      <c r="E649" s="1">
        <f t="shared" si="43"/>
        <v>645</v>
      </c>
      <c r="F649" s="1">
        <f t="shared" ca="1" si="40"/>
        <v>1.103085736893703</v>
      </c>
      <c r="G649" s="1">
        <f t="shared" ca="1" si="41"/>
        <v>1896.4519077754876</v>
      </c>
      <c r="H649" s="1">
        <f t="shared" ca="1" si="42"/>
        <v>0.18125316905051014</v>
      </c>
    </row>
    <row r="650" spans="5:8" x14ac:dyDescent="0.3">
      <c r="E650" s="1">
        <f t="shared" si="43"/>
        <v>646</v>
      </c>
      <c r="F650" s="1">
        <f t="shared" ca="1" si="40"/>
        <v>1.3344550573070475</v>
      </c>
      <c r="G650" s="1">
        <f t="shared" ca="1" si="41"/>
        <v>1391.2280754878982</v>
      </c>
      <c r="H650" s="1">
        <f t="shared" ca="1" si="42"/>
        <v>0.13296646043084184</v>
      </c>
    </row>
    <row r="651" spans="5:8" x14ac:dyDescent="0.3">
      <c r="E651" s="1">
        <f t="shared" si="43"/>
        <v>647</v>
      </c>
      <c r="F651" s="1">
        <f t="shared" ca="1" si="40"/>
        <v>1.2216195836817529</v>
      </c>
      <c r="G651" s="1">
        <f t="shared" ca="1" si="41"/>
        <v>1637.6184365829322</v>
      </c>
      <c r="H651" s="1">
        <f t="shared" ca="1" si="42"/>
        <v>0.15651519034530556</v>
      </c>
    </row>
    <row r="652" spans="5:8" x14ac:dyDescent="0.3">
      <c r="E652" s="1">
        <f t="shared" si="43"/>
        <v>648</v>
      </c>
      <c r="F652" s="1">
        <f t="shared" ca="1" si="40"/>
        <v>1.5568225711609605</v>
      </c>
      <c r="G652" s="1">
        <f t="shared" ca="1" si="41"/>
        <v>905.66081304864758</v>
      </c>
      <c r="H652" s="1">
        <f t="shared" ca="1" si="42"/>
        <v>8.6558426173052427E-2</v>
      </c>
    </row>
    <row r="653" spans="5:8" x14ac:dyDescent="0.3">
      <c r="E653" s="1">
        <f t="shared" si="43"/>
        <v>649</v>
      </c>
      <c r="F653" s="1">
        <f t="shared" ca="1" si="40"/>
        <v>1.144661692169342</v>
      </c>
      <c r="G653" s="1">
        <f t="shared" ca="1" si="41"/>
        <v>1805.6656124367205</v>
      </c>
      <c r="H653" s="1">
        <f t="shared" ca="1" si="42"/>
        <v>0.17257627950269716</v>
      </c>
    </row>
    <row r="654" spans="5:8" x14ac:dyDescent="0.3">
      <c r="E654" s="1">
        <f t="shared" si="43"/>
        <v>650</v>
      </c>
      <c r="F654" s="1">
        <f t="shared" ca="1" si="40"/>
        <v>1.3431648026766196</v>
      </c>
      <c r="G654" s="1">
        <f t="shared" ca="1" si="41"/>
        <v>1372.2092577552662</v>
      </c>
      <c r="H654" s="1">
        <f t="shared" ca="1" si="42"/>
        <v>0.1311487391527541</v>
      </c>
    </row>
    <row r="655" spans="5:8" x14ac:dyDescent="0.3">
      <c r="E655" s="1">
        <f t="shared" si="43"/>
        <v>651</v>
      </c>
      <c r="F655" s="1">
        <f t="shared" ca="1" si="40"/>
        <v>1.2418221273143566</v>
      </c>
      <c r="G655" s="1">
        <f t="shared" ca="1" si="41"/>
        <v>1593.5036572431879</v>
      </c>
      <c r="H655" s="1">
        <f t="shared" ca="1" si="42"/>
        <v>0.15229892547483398</v>
      </c>
    </row>
    <row r="656" spans="5:8" x14ac:dyDescent="0.3">
      <c r="E656" s="1">
        <f t="shared" si="43"/>
        <v>652</v>
      </c>
      <c r="F656" s="1">
        <f t="shared" ca="1" si="40"/>
        <v>1.0332233579053303</v>
      </c>
      <c r="G656" s="1">
        <f t="shared" ca="1" si="41"/>
        <v>2049.0051450939732</v>
      </c>
      <c r="H656" s="1">
        <f t="shared" ca="1" si="42"/>
        <v>0.19583342684640859</v>
      </c>
    </row>
    <row r="657" spans="5:8" x14ac:dyDescent="0.3">
      <c r="E657" s="1">
        <f t="shared" si="43"/>
        <v>653</v>
      </c>
      <c r="F657" s="1">
        <f t="shared" ca="1" si="40"/>
        <v>1.0352842631642594</v>
      </c>
      <c r="G657" s="1">
        <f t="shared" ca="1" si="41"/>
        <v>2044.5049008479441</v>
      </c>
      <c r="H657" s="1">
        <f t="shared" ca="1" si="42"/>
        <v>0.19540331652947951</v>
      </c>
    </row>
    <row r="658" spans="5:8" x14ac:dyDescent="0.3">
      <c r="E658" s="1">
        <f t="shared" si="43"/>
        <v>654</v>
      </c>
      <c r="F658" s="1">
        <f t="shared" ca="1" si="40"/>
        <v>0.96685170810864363</v>
      </c>
      <c r="G658" s="1">
        <f t="shared" ca="1" si="41"/>
        <v>2193.9359388812627</v>
      </c>
      <c r="H658" s="1">
        <f t="shared" ca="1" si="42"/>
        <v>0.20968517049424282</v>
      </c>
    </row>
    <row r="659" spans="5:8" x14ac:dyDescent="0.3">
      <c r="E659" s="1">
        <f t="shared" si="43"/>
        <v>655</v>
      </c>
      <c r="F659" s="1">
        <f t="shared" ca="1" si="40"/>
        <v>1.2329463199629376</v>
      </c>
      <c r="G659" s="1">
        <f t="shared" ca="1" si="41"/>
        <v>1612.8850920709303</v>
      </c>
      <c r="H659" s="1">
        <f t="shared" ca="1" si="42"/>
        <v>0.15415130383933195</v>
      </c>
    </row>
    <row r="660" spans="5:8" x14ac:dyDescent="0.3">
      <c r="E660" s="1">
        <f t="shared" si="43"/>
        <v>656</v>
      </c>
      <c r="F660" s="1">
        <f t="shared" ca="1" si="40"/>
        <v>1.0932418007541198</v>
      </c>
      <c r="G660" s="1">
        <f t="shared" ca="1" si="41"/>
        <v>1917.9473728282851</v>
      </c>
      <c r="H660" s="1">
        <f t="shared" ca="1" si="42"/>
        <v>0.18330759560625873</v>
      </c>
    </row>
    <row r="661" spans="5:8" x14ac:dyDescent="0.3">
      <c r="E661" s="1">
        <f t="shared" si="43"/>
        <v>657</v>
      </c>
      <c r="F661" s="1">
        <f t="shared" ca="1" si="40"/>
        <v>1.4077075054697274</v>
      </c>
      <c r="G661" s="1">
        <f t="shared" ca="1" si="41"/>
        <v>1231.2721983686663</v>
      </c>
      <c r="H661" s="1">
        <f t="shared" ca="1" si="42"/>
        <v>0.11767869620268244</v>
      </c>
    </row>
    <row r="662" spans="5:8" x14ac:dyDescent="0.3">
      <c r="E662" s="1">
        <f t="shared" si="43"/>
        <v>658</v>
      </c>
      <c r="F662" s="1">
        <f t="shared" ca="1" si="40"/>
        <v>1.2409893801538303</v>
      </c>
      <c r="G662" s="1">
        <f t="shared" ca="1" si="41"/>
        <v>1595.3220647615922</v>
      </c>
      <c r="H662" s="1">
        <f t="shared" ca="1" si="42"/>
        <v>0.1524727195605077</v>
      </c>
    </row>
    <row r="663" spans="5:8" x14ac:dyDescent="0.3">
      <c r="E663" s="1">
        <f t="shared" si="43"/>
        <v>659</v>
      </c>
      <c r="F663" s="1">
        <f t="shared" ca="1" si="40"/>
        <v>1.5241352794267293</v>
      </c>
      <c r="G663" s="1">
        <f t="shared" ca="1" si="41"/>
        <v>977.03760046180798</v>
      </c>
      <c r="H663" s="1">
        <f t="shared" ca="1" si="42"/>
        <v>9.3380254273325816E-2</v>
      </c>
    </row>
    <row r="664" spans="5:8" x14ac:dyDescent="0.3">
      <c r="E664" s="1">
        <f t="shared" si="43"/>
        <v>660</v>
      </c>
      <c r="F664" s="1">
        <f t="shared" ca="1" si="40"/>
        <v>1.21426198077568</v>
      </c>
      <c r="G664" s="1">
        <f t="shared" ca="1" si="41"/>
        <v>1653.6846822287055</v>
      </c>
      <c r="H664" s="1">
        <f t="shared" ca="1" si="42"/>
        <v>0.15805071989187666</v>
      </c>
    </row>
    <row r="665" spans="5:8" x14ac:dyDescent="0.3">
      <c r="E665" s="1">
        <f t="shared" si="43"/>
        <v>661</v>
      </c>
      <c r="F665" s="1">
        <f t="shared" ca="1" si="40"/>
        <v>1.2099149455833527</v>
      </c>
      <c r="G665" s="1">
        <f t="shared" ca="1" si="41"/>
        <v>1663.1769769505513</v>
      </c>
      <c r="H665" s="1">
        <f t="shared" ca="1" si="42"/>
        <v>0.15895794484856651</v>
      </c>
    </row>
    <row r="666" spans="5:8" x14ac:dyDescent="0.3">
      <c r="E666" s="1">
        <f t="shared" si="43"/>
        <v>662</v>
      </c>
      <c r="F666" s="1">
        <f t="shared" ca="1" si="40"/>
        <v>1.0874210678816914</v>
      </c>
      <c r="G666" s="1">
        <f t="shared" ca="1" si="41"/>
        <v>1930.6576706468416</v>
      </c>
      <c r="H666" s="1">
        <f t="shared" ca="1" si="42"/>
        <v>0.18452238083215536</v>
      </c>
    </row>
    <row r="667" spans="5:8" x14ac:dyDescent="0.3">
      <c r="E667" s="1">
        <f t="shared" si="43"/>
        <v>663</v>
      </c>
      <c r="F667" s="1">
        <f t="shared" ca="1" si="40"/>
        <v>1.076850415064367</v>
      </c>
      <c r="G667" s="1">
        <f t="shared" ca="1" si="41"/>
        <v>1953.7400124050716</v>
      </c>
      <c r="H667" s="1">
        <f t="shared" ca="1" si="42"/>
        <v>0.18672847294323536</v>
      </c>
    </row>
    <row r="668" spans="5:8" x14ac:dyDescent="0.3">
      <c r="E668" s="1">
        <f t="shared" si="43"/>
        <v>664</v>
      </c>
      <c r="F668" s="1">
        <f t="shared" ca="1" si="40"/>
        <v>1.2684442298093794</v>
      </c>
      <c r="G668" s="1">
        <f t="shared" ca="1" si="41"/>
        <v>1535.3709686824936</v>
      </c>
      <c r="H668" s="1">
        <f t="shared" ca="1" si="42"/>
        <v>0.14674290057177614</v>
      </c>
    </row>
    <row r="669" spans="5:8" x14ac:dyDescent="0.3">
      <c r="E669" s="1">
        <f t="shared" si="43"/>
        <v>665</v>
      </c>
      <c r="F669" s="1">
        <f t="shared" ca="1" si="40"/>
        <v>1.4388912193495627</v>
      </c>
      <c r="G669" s="1">
        <f t="shared" ca="1" si="41"/>
        <v>1163.178661147811</v>
      </c>
      <c r="H669" s="1">
        <f t="shared" ca="1" si="42"/>
        <v>0.1111706643551382</v>
      </c>
    </row>
    <row r="670" spans="5:8" x14ac:dyDescent="0.3">
      <c r="E670" s="1">
        <f t="shared" si="43"/>
        <v>666</v>
      </c>
      <c r="F670" s="1">
        <f t="shared" ca="1" si="40"/>
        <v>1.1769945618712923</v>
      </c>
      <c r="G670" s="1">
        <f t="shared" ca="1" si="41"/>
        <v>1735.0627498337992</v>
      </c>
      <c r="H670" s="1">
        <f t="shared" ca="1" si="42"/>
        <v>0.16582841917555188</v>
      </c>
    </row>
    <row r="671" spans="5:8" x14ac:dyDescent="0.3">
      <c r="E671" s="1">
        <f t="shared" si="43"/>
        <v>667</v>
      </c>
      <c r="F671" s="1">
        <f t="shared" ca="1" si="40"/>
        <v>1.1787411383031869</v>
      </c>
      <c r="G671" s="1">
        <f t="shared" ca="1" si="41"/>
        <v>1731.2488818727034</v>
      </c>
      <c r="H671" s="1">
        <f t="shared" ca="1" si="42"/>
        <v>0.16546390919169487</v>
      </c>
    </row>
    <row r="672" spans="5:8" x14ac:dyDescent="0.3">
      <c r="E672" s="1">
        <f t="shared" si="43"/>
        <v>668</v>
      </c>
      <c r="F672" s="1">
        <f t="shared" ca="1" si="40"/>
        <v>1.2863794617355491</v>
      </c>
      <c r="G672" s="1">
        <f t="shared" ca="1" si="41"/>
        <v>1496.2071478677115</v>
      </c>
      <c r="H672" s="1">
        <f t="shared" ca="1" si="42"/>
        <v>0.14299982298267336</v>
      </c>
    </row>
    <row r="673" spans="5:8" x14ac:dyDescent="0.3">
      <c r="E673" s="1">
        <f t="shared" si="43"/>
        <v>669</v>
      </c>
      <c r="F673" s="1">
        <f t="shared" ca="1" si="40"/>
        <v>1.2856558870654982</v>
      </c>
      <c r="G673" s="1">
        <f t="shared" ca="1" si="41"/>
        <v>1497.7871636066016</v>
      </c>
      <c r="H673" s="1">
        <f t="shared" ca="1" si="42"/>
        <v>0.14315083280193075</v>
      </c>
    </row>
    <row r="674" spans="5:8" x14ac:dyDescent="0.3">
      <c r="E674" s="1">
        <f t="shared" si="43"/>
        <v>670</v>
      </c>
      <c r="F674" s="1">
        <f t="shared" ca="1" si="40"/>
        <v>0.95073106817503961</v>
      </c>
      <c r="G674" s="1">
        <f t="shared" ca="1" si="41"/>
        <v>2229.137371256279</v>
      </c>
      <c r="H674" s="1">
        <f t="shared" ca="1" si="42"/>
        <v>0.21304954327212836</v>
      </c>
    </row>
    <row r="675" spans="5:8" x14ac:dyDescent="0.3">
      <c r="E675" s="1">
        <f t="shared" si="43"/>
        <v>671</v>
      </c>
      <c r="F675" s="1">
        <f t="shared" ca="1" si="40"/>
        <v>1.0835567405617723</v>
      </c>
      <c r="G675" s="1">
        <f t="shared" ca="1" si="41"/>
        <v>1939.0959123907999</v>
      </c>
      <c r="H675" s="1">
        <f t="shared" ca="1" si="42"/>
        <v>0.18532886479889132</v>
      </c>
    </row>
    <row r="676" spans="5:8" x14ac:dyDescent="0.3">
      <c r="E676" s="1">
        <f t="shared" si="43"/>
        <v>672</v>
      </c>
      <c r="F676" s="1">
        <f t="shared" ca="1" si="40"/>
        <v>1.0732780214264825</v>
      </c>
      <c r="G676" s="1">
        <f t="shared" ca="1" si="41"/>
        <v>1961.540780462597</v>
      </c>
      <c r="H676" s="1">
        <f t="shared" ca="1" si="42"/>
        <v>0.18747403043702543</v>
      </c>
    </row>
    <row r="677" spans="5:8" x14ac:dyDescent="0.3">
      <c r="E677" s="1">
        <f t="shared" si="43"/>
        <v>673</v>
      </c>
      <c r="F677" s="1">
        <f t="shared" ca="1" si="40"/>
        <v>1.126259713749292</v>
      </c>
      <c r="G677" s="1">
        <f t="shared" ca="1" si="41"/>
        <v>1845.848632564202</v>
      </c>
      <c r="H677" s="1">
        <f t="shared" ca="1" si="42"/>
        <v>0.1764167669467841</v>
      </c>
    </row>
    <row r="678" spans="5:8" x14ac:dyDescent="0.3">
      <c r="E678" s="1">
        <f t="shared" si="43"/>
        <v>674</v>
      </c>
      <c r="F678" s="1">
        <f t="shared" ca="1" si="40"/>
        <v>1.207600747304151</v>
      </c>
      <c r="G678" s="1">
        <f t="shared" ca="1" si="41"/>
        <v>1668.2303181679731</v>
      </c>
      <c r="H678" s="1">
        <f t="shared" ca="1" si="42"/>
        <v>0.1594409173437803</v>
      </c>
    </row>
    <row r="679" spans="5:8" x14ac:dyDescent="0.3">
      <c r="E679" s="1">
        <f t="shared" si="43"/>
        <v>675</v>
      </c>
      <c r="F679" s="1">
        <f t="shared" ca="1" si="40"/>
        <v>1.1908170359141488</v>
      </c>
      <c r="G679" s="1">
        <f t="shared" ca="1" si="41"/>
        <v>1704.8796499519667</v>
      </c>
      <c r="H679" s="1">
        <f t="shared" ca="1" si="42"/>
        <v>0.16294367293815987</v>
      </c>
    </row>
    <row r="680" spans="5:8" x14ac:dyDescent="0.3">
      <c r="E680" s="1">
        <f t="shared" si="43"/>
        <v>676</v>
      </c>
      <c r="F680" s="1">
        <f t="shared" ca="1" si="40"/>
        <v>1.1191320669222344</v>
      </c>
      <c r="G680" s="1">
        <f t="shared" ca="1" si="41"/>
        <v>1861.4127403669356</v>
      </c>
      <c r="H680" s="1">
        <f t="shared" ca="1" si="42"/>
        <v>0.17790430472779659</v>
      </c>
    </row>
    <row r="681" spans="5:8" x14ac:dyDescent="0.3">
      <c r="E681" s="1">
        <f t="shared" si="43"/>
        <v>677</v>
      </c>
      <c r="F681" s="1">
        <f t="shared" ca="1" si="40"/>
        <v>1.2094313007611197</v>
      </c>
      <c r="G681" s="1">
        <f t="shared" ca="1" si="41"/>
        <v>1664.2330758754999</v>
      </c>
      <c r="H681" s="1">
        <f t="shared" ca="1" si="42"/>
        <v>0.15905888137967122</v>
      </c>
    </row>
    <row r="682" spans="5:8" x14ac:dyDescent="0.3">
      <c r="E682" s="1">
        <f t="shared" si="43"/>
        <v>678</v>
      </c>
      <c r="F682" s="1">
        <f t="shared" ca="1" si="40"/>
        <v>1.2952427399383131</v>
      </c>
      <c r="G682" s="1">
        <f t="shared" ca="1" si="41"/>
        <v>1476.8530720022009</v>
      </c>
      <c r="H682" s="1">
        <f t="shared" ca="1" si="42"/>
        <v>0.14115005944778752</v>
      </c>
    </row>
    <row r="683" spans="5:8" x14ac:dyDescent="0.3">
      <c r="E683" s="1">
        <f t="shared" si="43"/>
        <v>679</v>
      </c>
      <c r="F683" s="1">
        <f t="shared" ca="1" si="40"/>
        <v>1.2134018486322986</v>
      </c>
      <c r="G683" s="1">
        <f t="shared" ca="1" si="41"/>
        <v>1655.5628882802969</v>
      </c>
      <c r="H683" s="1">
        <f t="shared" ca="1" si="42"/>
        <v>0.15823022921535859</v>
      </c>
    </row>
    <row r="684" spans="5:8" x14ac:dyDescent="0.3">
      <c r="E684" s="1">
        <f t="shared" si="43"/>
        <v>680</v>
      </c>
      <c r="F684" s="1">
        <f t="shared" ca="1" si="40"/>
        <v>0.94453982662516434</v>
      </c>
      <c r="G684" s="1">
        <f t="shared" ca="1" si="41"/>
        <v>2242.6567210856256</v>
      </c>
      <c r="H684" s="1">
        <f t="shared" ca="1" si="42"/>
        <v>0.21434165354923307</v>
      </c>
    </row>
    <row r="685" spans="5:8" x14ac:dyDescent="0.3">
      <c r="E685" s="1">
        <f t="shared" si="43"/>
        <v>681</v>
      </c>
      <c r="F685" s="1">
        <f t="shared" ca="1" si="40"/>
        <v>0.8813692880367664</v>
      </c>
      <c r="G685" s="1">
        <f t="shared" ca="1" si="41"/>
        <v>2380.5974884107159</v>
      </c>
      <c r="H685" s="1">
        <f t="shared" ca="1" si="42"/>
        <v>0.22752532623632954</v>
      </c>
    </row>
    <row r="686" spans="5:8" x14ac:dyDescent="0.3">
      <c r="E686" s="1">
        <f t="shared" si="43"/>
        <v>682</v>
      </c>
      <c r="F686" s="1">
        <f t="shared" ca="1" si="40"/>
        <v>1.1999966590833857</v>
      </c>
      <c r="G686" s="1">
        <f t="shared" ca="1" si="41"/>
        <v>1684.8347953090417</v>
      </c>
      <c r="H686" s="1">
        <f t="shared" ca="1" si="42"/>
        <v>0.16102788830249851</v>
      </c>
    </row>
    <row r="687" spans="5:8" x14ac:dyDescent="0.3">
      <c r="E687" s="1">
        <f t="shared" si="43"/>
        <v>683</v>
      </c>
      <c r="F687" s="1">
        <f t="shared" ca="1" si="40"/>
        <v>0.99266280210035318</v>
      </c>
      <c r="G687" s="1">
        <f t="shared" ca="1" si="41"/>
        <v>2137.5741887636163</v>
      </c>
      <c r="H687" s="1">
        <f t="shared" ca="1" si="42"/>
        <v>0.20429840282553918</v>
      </c>
    </row>
    <row r="688" spans="5:8" x14ac:dyDescent="0.3">
      <c r="E688" s="1">
        <f t="shared" si="43"/>
        <v>684</v>
      </c>
      <c r="F688" s="1">
        <f t="shared" ca="1" si="40"/>
        <v>1.1851245252043503</v>
      </c>
      <c r="G688" s="1">
        <f t="shared" ca="1" si="41"/>
        <v>1717.3099586506505</v>
      </c>
      <c r="H688" s="1">
        <f t="shared" ca="1" si="42"/>
        <v>0.16413169823670559</v>
      </c>
    </row>
    <row r="689" spans="5:8" x14ac:dyDescent="0.3">
      <c r="E689" s="1">
        <f t="shared" si="43"/>
        <v>685</v>
      </c>
      <c r="F689" s="1">
        <f t="shared" ca="1" si="40"/>
        <v>0.9882293908361921</v>
      </c>
      <c r="G689" s="1">
        <f t="shared" ca="1" si="41"/>
        <v>2147.25509643532</v>
      </c>
      <c r="H689" s="1">
        <f t="shared" ca="1" si="42"/>
        <v>0.205223654442829</v>
      </c>
    </row>
    <row r="690" spans="5:8" x14ac:dyDescent="0.3">
      <c r="E690" s="1">
        <f t="shared" si="43"/>
        <v>686</v>
      </c>
      <c r="F690" s="1">
        <f t="shared" ca="1" si="40"/>
        <v>0.89844382721782279</v>
      </c>
      <c r="G690" s="1">
        <f t="shared" ca="1" si="41"/>
        <v>2343.3130977914816</v>
      </c>
      <c r="H690" s="1">
        <f t="shared" ca="1" si="42"/>
        <v>0.22396187496812403</v>
      </c>
    </row>
    <row r="691" spans="5:8" x14ac:dyDescent="0.3">
      <c r="E691" s="1">
        <f t="shared" si="43"/>
        <v>687</v>
      </c>
      <c r="F691" s="1">
        <f t="shared" ca="1" si="40"/>
        <v>1.2539146691472962</v>
      </c>
      <c r="G691" s="1">
        <f t="shared" ca="1" si="41"/>
        <v>1567.0980805832351</v>
      </c>
      <c r="H691" s="1">
        <f t="shared" ca="1" si="42"/>
        <v>0.1497752155771036</v>
      </c>
    </row>
    <row r="692" spans="5:8" x14ac:dyDescent="0.3">
      <c r="E692" s="1">
        <f t="shared" si="43"/>
        <v>688</v>
      </c>
      <c r="F692" s="1">
        <f t="shared" ca="1" si="40"/>
        <v>1.0297350339326876</v>
      </c>
      <c r="G692" s="1">
        <f t="shared" ca="1" si="41"/>
        <v>2056.6223365287351</v>
      </c>
      <c r="H692" s="1">
        <f t="shared" ca="1" si="42"/>
        <v>0.19656143902597106</v>
      </c>
    </row>
    <row r="693" spans="5:8" x14ac:dyDescent="0.3">
      <c r="E693" s="1">
        <f t="shared" si="43"/>
        <v>689</v>
      </c>
      <c r="F693" s="1">
        <f t="shared" ca="1" si="40"/>
        <v>1.2334859135684346</v>
      </c>
      <c r="G693" s="1">
        <f t="shared" ca="1" si="41"/>
        <v>1611.7068219841269</v>
      </c>
      <c r="H693" s="1">
        <f t="shared" ca="1" si="42"/>
        <v>0.1540386908137367</v>
      </c>
    </row>
    <row r="694" spans="5:8" x14ac:dyDescent="0.3">
      <c r="E694" s="1">
        <f t="shared" si="43"/>
        <v>690</v>
      </c>
      <c r="F694" s="1">
        <f t="shared" ca="1" si="40"/>
        <v>1.0714541459676161</v>
      </c>
      <c r="G694" s="1">
        <f t="shared" ca="1" si="41"/>
        <v>1965.5234405114641</v>
      </c>
      <c r="H694" s="1">
        <f t="shared" ca="1" si="42"/>
        <v>0.1878546727049091</v>
      </c>
    </row>
    <row r="695" spans="5:8" x14ac:dyDescent="0.3">
      <c r="E695" s="1">
        <f t="shared" si="43"/>
        <v>691</v>
      </c>
      <c r="F695" s="1">
        <f t="shared" ca="1" si="40"/>
        <v>1.2076269223603822</v>
      </c>
      <c r="G695" s="1">
        <f t="shared" ca="1" si="41"/>
        <v>1668.1731616608104</v>
      </c>
      <c r="H695" s="1">
        <f t="shared" ca="1" si="42"/>
        <v>0.15943545461730005</v>
      </c>
    </row>
    <row r="696" spans="5:8" x14ac:dyDescent="0.3">
      <c r="E696" s="1">
        <f t="shared" si="43"/>
        <v>692</v>
      </c>
      <c r="F696" s="1">
        <f t="shared" ca="1" si="40"/>
        <v>0.9728371005771127</v>
      </c>
      <c r="G696" s="1">
        <f t="shared" ca="1" si="41"/>
        <v>2180.866086252302</v>
      </c>
      <c r="H696" s="1">
        <f t="shared" ca="1" si="42"/>
        <v>0.20843602085943821</v>
      </c>
    </row>
    <row r="697" spans="5:8" x14ac:dyDescent="0.3">
      <c r="E697" s="1">
        <f t="shared" si="43"/>
        <v>693</v>
      </c>
      <c r="F697" s="1">
        <f t="shared" ca="1" si="40"/>
        <v>1.3438614219828573</v>
      </c>
      <c r="G697" s="1">
        <f t="shared" ca="1" si="41"/>
        <v>1370.6881024226832</v>
      </c>
      <c r="H697" s="1">
        <f t="shared" ca="1" si="42"/>
        <v>0.13100335490993817</v>
      </c>
    </row>
    <row r="698" spans="5:8" x14ac:dyDescent="0.3">
      <c r="E698" s="1">
        <f t="shared" si="43"/>
        <v>694</v>
      </c>
      <c r="F698" s="1">
        <f t="shared" ca="1" si="40"/>
        <v>0.96348806687591781</v>
      </c>
      <c r="G698" s="1">
        <f t="shared" ca="1" si="41"/>
        <v>2201.2808699680736</v>
      </c>
      <c r="H698" s="1">
        <f t="shared" ca="1" si="42"/>
        <v>0.21038716142292588</v>
      </c>
    </row>
    <row r="699" spans="5:8" x14ac:dyDescent="0.3">
      <c r="E699" s="1">
        <f t="shared" si="43"/>
        <v>695</v>
      </c>
      <c r="F699" s="1">
        <f t="shared" ca="1" si="40"/>
        <v>1.0003149832114697</v>
      </c>
      <c r="G699" s="1">
        <f t="shared" ca="1" si="41"/>
        <v>2120.8646947848542</v>
      </c>
      <c r="H699" s="1">
        <f t="shared" ca="1" si="42"/>
        <v>0.2027013948948537</v>
      </c>
    </row>
    <row r="700" spans="5:8" x14ac:dyDescent="0.3">
      <c r="E700" s="1">
        <f t="shared" si="43"/>
        <v>696</v>
      </c>
      <c r="F700" s="1">
        <f t="shared" ca="1" si="40"/>
        <v>0.97244680610792478</v>
      </c>
      <c r="G700" s="1">
        <f t="shared" ca="1" si="41"/>
        <v>2181.7183430125824</v>
      </c>
      <c r="H700" s="1">
        <f t="shared" ca="1" si="42"/>
        <v>0.20851747519952044</v>
      </c>
    </row>
    <row r="701" spans="5:8" x14ac:dyDescent="0.3">
      <c r="E701" s="1">
        <f t="shared" si="43"/>
        <v>697</v>
      </c>
      <c r="F701" s="1">
        <f t="shared" ca="1" si="40"/>
        <v>1.4806801781231436</v>
      </c>
      <c r="G701" s="1">
        <f t="shared" ca="1" si="41"/>
        <v>1071.9272460458506</v>
      </c>
      <c r="H701" s="1">
        <f t="shared" ca="1" si="42"/>
        <v>0.10244932104041389</v>
      </c>
    </row>
    <row r="702" spans="5:8" x14ac:dyDescent="0.3">
      <c r="E702" s="1">
        <f t="shared" si="43"/>
        <v>698</v>
      </c>
      <c r="F702" s="1">
        <f t="shared" ca="1" si="40"/>
        <v>1.2877927229470016</v>
      </c>
      <c r="G702" s="1">
        <f t="shared" ca="1" si="41"/>
        <v>1493.1211153548534</v>
      </c>
      <c r="H702" s="1">
        <f t="shared" ca="1" si="42"/>
        <v>0.14270487578656726</v>
      </c>
    </row>
    <row r="703" spans="5:8" x14ac:dyDescent="0.3">
      <c r="E703" s="1">
        <f t="shared" si="43"/>
        <v>699</v>
      </c>
      <c r="F703" s="1">
        <f t="shared" ca="1" si="40"/>
        <v>1.2205590890579456</v>
      </c>
      <c r="G703" s="1">
        <f t="shared" ca="1" si="41"/>
        <v>1639.9341591558434</v>
      </c>
      <c r="H703" s="1">
        <f t="shared" ca="1" si="42"/>
        <v>0.15673651525908855</v>
      </c>
    </row>
    <row r="704" spans="5:8" x14ac:dyDescent="0.3">
      <c r="E704" s="1">
        <f t="shared" si="43"/>
        <v>700</v>
      </c>
      <c r="F704" s="1">
        <f t="shared" ca="1" si="40"/>
        <v>1.3560203613668147</v>
      </c>
      <c r="G704" s="1">
        <f t="shared" ca="1" si="41"/>
        <v>1344.1375384103892</v>
      </c>
      <c r="H704" s="1">
        <f t="shared" ca="1" si="42"/>
        <v>0.12846578786298282</v>
      </c>
    </row>
    <row r="705" spans="5:8" x14ac:dyDescent="0.3">
      <c r="E705" s="1">
        <f t="shared" si="43"/>
        <v>701</v>
      </c>
      <c r="F705" s="1">
        <f t="shared" ca="1" si="40"/>
        <v>1.1573384736400236</v>
      </c>
      <c r="G705" s="1">
        <f t="shared" ca="1" si="41"/>
        <v>1777.9842754978033</v>
      </c>
      <c r="H705" s="1">
        <f t="shared" ca="1" si="42"/>
        <v>0.16993063896566982</v>
      </c>
    </row>
    <row r="706" spans="5:8" x14ac:dyDescent="0.3">
      <c r="E706" s="1">
        <f t="shared" si="43"/>
        <v>702</v>
      </c>
      <c r="F706" s="1">
        <f t="shared" ca="1" si="40"/>
        <v>1.0863846876022081</v>
      </c>
      <c r="G706" s="1">
        <f t="shared" ca="1" si="41"/>
        <v>1932.9207365346283</v>
      </c>
      <c r="H706" s="1">
        <f t="shared" ca="1" si="42"/>
        <v>0.18473867308942257</v>
      </c>
    </row>
    <row r="707" spans="5:8" x14ac:dyDescent="0.3">
      <c r="E707" s="1">
        <f t="shared" si="43"/>
        <v>703</v>
      </c>
      <c r="F707" s="1">
        <f t="shared" ca="1" si="40"/>
        <v>1.3154973153442786</v>
      </c>
      <c r="G707" s="1">
        <f t="shared" ca="1" si="41"/>
        <v>1432.6246747813495</v>
      </c>
      <c r="H707" s="1">
        <f t="shared" ca="1" si="42"/>
        <v>0.13692293556163143</v>
      </c>
    </row>
    <row r="708" spans="5:8" x14ac:dyDescent="0.3">
      <c r="E708" s="1">
        <f t="shared" si="43"/>
        <v>704</v>
      </c>
      <c r="F708" s="1">
        <f t="shared" ca="1" si="40"/>
        <v>1.340116996933622</v>
      </c>
      <c r="G708" s="1">
        <f t="shared" ca="1" si="41"/>
        <v>1378.8645225708196</v>
      </c>
      <c r="H708" s="1">
        <f t="shared" ca="1" si="42"/>
        <v>0.13178481530830732</v>
      </c>
    </row>
    <row r="709" spans="5:8" x14ac:dyDescent="0.3">
      <c r="E709" s="1">
        <f t="shared" si="43"/>
        <v>705</v>
      </c>
      <c r="F709" s="1">
        <f t="shared" ref="F709:F772" ca="1" si="44">_xlfn.NORM.INV(RAND(), $C$9, $C$9 * $C$10)</f>
        <v>1.2925592859013244</v>
      </c>
      <c r="G709" s="1">
        <f t="shared" ref="G709:G772" ca="1" si="45">$C$7 - ($C$6 + $C$8 * $C$11) - (($C$6 + $C$8 * $C$11) * (1 - $C$12) * (F709 - $C$13))</f>
        <v>1482.7127293237204</v>
      </c>
      <c r="H709" s="1">
        <f t="shared" ref="H709:H772" ca="1" si="46">G709 / $C$7</f>
        <v>0.14171009551024757</v>
      </c>
    </row>
    <row r="710" spans="5:8" x14ac:dyDescent="0.3">
      <c r="E710" s="1">
        <f t="shared" ref="E710:E773" si="47">ROW()-4</f>
        <v>706</v>
      </c>
      <c r="F710" s="1">
        <f t="shared" ca="1" si="44"/>
        <v>0.9266372012834635</v>
      </c>
      <c r="G710" s="1">
        <f t="shared" ca="1" si="45"/>
        <v>2281.7493413473967</v>
      </c>
      <c r="H710" s="1">
        <f t="shared" ca="1" si="46"/>
        <v>0.21807792615381791</v>
      </c>
    </row>
    <row r="711" spans="5:8" x14ac:dyDescent="0.3">
      <c r="E711" s="1">
        <f t="shared" si="47"/>
        <v>707</v>
      </c>
      <c r="F711" s="1">
        <f t="shared" ca="1" si="44"/>
        <v>1.3104729543667553</v>
      </c>
      <c r="G711" s="1">
        <f t="shared" ca="1" si="45"/>
        <v>1443.595995020894</v>
      </c>
      <c r="H711" s="1">
        <f t="shared" ca="1" si="46"/>
        <v>0.13797151820901213</v>
      </c>
    </row>
    <row r="712" spans="5:8" x14ac:dyDescent="0.3">
      <c r="E712" s="1">
        <f t="shared" si="47"/>
        <v>708</v>
      </c>
      <c r="F712" s="1">
        <f t="shared" ca="1" si="44"/>
        <v>1.3624169832099611</v>
      </c>
      <c r="G712" s="1">
        <f t="shared" ca="1" si="45"/>
        <v>1330.1697150381488</v>
      </c>
      <c r="H712" s="1">
        <f t="shared" ca="1" si="46"/>
        <v>0.12713081477952295</v>
      </c>
    </row>
    <row r="713" spans="5:8" x14ac:dyDescent="0.3">
      <c r="E713" s="1">
        <f t="shared" si="47"/>
        <v>709</v>
      </c>
      <c r="F713" s="1">
        <f t="shared" ca="1" si="44"/>
        <v>1.4000601509005481</v>
      </c>
      <c r="G713" s="1">
        <f t="shared" ca="1" si="45"/>
        <v>1247.9711529897904</v>
      </c>
      <c r="H713" s="1">
        <f t="shared" ca="1" si="46"/>
        <v>0.1192746968354956</v>
      </c>
    </row>
    <row r="714" spans="5:8" x14ac:dyDescent="0.3">
      <c r="E714" s="1">
        <f t="shared" si="47"/>
        <v>710</v>
      </c>
      <c r="F714" s="1">
        <f t="shared" ca="1" si="44"/>
        <v>1.0772998318620779</v>
      </c>
      <c r="G714" s="1">
        <f t="shared" ca="1" si="45"/>
        <v>1952.75865465017</v>
      </c>
      <c r="H714" s="1">
        <f t="shared" ca="1" si="46"/>
        <v>0.18663467979070725</v>
      </c>
    </row>
    <row r="715" spans="5:8" x14ac:dyDescent="0.3">
      <c r="E715" s="1">
        <f t="shared" si="47"/>
        <v>711</v>
      </c>
      <c r="F715" s="1">
        <f t="shared" ca="1" si="44"/>
        <v>1.5054098432340621</v>
      </c>
      <c r="G715" s="1">
        <f t="shared" ca="1" si="45"/>
        <v>1017.926931068021</v>
      </c>
      <c r="H715" s="1">
        <f t="shared" ca="1" si="46"/>
        <v>9.7288247258723218E-2</v>
      </c>
    </row>
    <row r="716" spans="5:8" x14ac:dyDescent="0.3">
      <c r="E716" s="1">
        <f t="shared" si="47"/>
        <v>712</v>
      </c>
      <c r="F716" s="1">
        <f t="shared" ca="1" si="44"/>
        <v>1.1049713324892234</v>
      </c>
      <c r="G716" s="1">
        <f t="shared" ca="1" si="45"/>
        <v>1892.3344740932193</v>
      </c>
      <c r="H716" s="1">
        <f t="shared" ca="1" si="46"/>
        <v>0.18085964580839331</v>
      </c>
    </row>
    <row r="717" spans="5:8" x14ac:dyDescent="0.3">
      <c r="E717" s="1">
        <f t="shared" si="47"/>
        <v>713</v>
      </c>
      <c r="F717" s="1">
        <f t="shared" ca="1" si="44"/>
        <v>1.258309556929132</v>
      </c>
      <c r="G717" s="1">
        <f t="shared" ca="1" si="45"/>
        <v>1557.501293750624</v>
      </c>
      <c r="H717" s="1">
        <f t="shared" ca="1" si="46"/>
        <v>0.14885800379916123</v>
      </c>
    </row>
    <row r="718" spans="5:8" x14ac:dyDescent="0.3">
      <c r="E718" s="1">
        <f t="shared" si="47"/>
        <v>714</v>
      </c>
      <c r="F718" s="1">
        <f t="shared" ca="1" si="44"/>
        <v>0.9139349003901176</v>
      </c>
      <c r="G718" s="1">
        <f t="shared" ca="1" si="45"/>
        <v>2309.4864031356292</v>
      </c>
      <c r="H718" s="1">
        <f t="shared" ca="1" si="46"/>
        <v>0.22072889258679435</v>
      </c>
    </row>
    <row r="719" spans="5:8" x14ac:dyDescent="0.3">
      <c r="E719" s="1">
        <f t="shared" si="47"/>
        <v>715</v>
      </c>
      <c r="F719" s="1">
        <f t="shared" ca="1" si="44"/>
        <v>1.0653359402739448</v>
      </c>
      <c r="G719" s="1">
        <f t="shared" ca="1" si="45"/>
        <v>1978.8833074193071</v>
      </c>
      <c r="H719" s="1">
        <f t="shared" ca="1" si="46"/>
        <v>0.18913154042046326</v>
      </c>
    </row>
    <row r="720" spans="5:8" x14ac:dyDescent="0.3">
      <c r="E720" s="1">
        <f t="shared" si="47"/>
        <v>716</v>
      </c>
      <c r="F720" s="1">
        <f t="shared" ca="1" si="44"/>
        <v>0.99063194952647649</v>
      </c>
      <c r="G720" s="1">
        <f t="shared" ca="1" si="45"/>
        <v>2142.0088092152478</v>
      </c>
      <c r="H720" s="1">
        <f t="shared" ca="1" si="46"/>
        <v>0.20472224115600188</v>
      </c>
    </row>
    <row r="721" spans="5:8" x14ac:dyDescent="0.3">
      <c r="E721" s="1">
        <f t="shared" si="47"/>
        <v>717</v>
      </c>
      <c r="F721" s="1">
        <f t="shared" ca="1" si="44"/>
        <v>1.0504395091340781</v>
      </c>
      <c r="G721" s="1">
        <f t="shared" ca="1" si="45"/>
        <v>2011.4115268670985</v>
      </c>
      <c r="H721" s="1">
        <f t="shared" ca="1" si="46"/>
        <v>0.19224042118580698</v>
      </c>
    </row>
    <row r="722" spans="5:8" x14ac:dyDescent="0.3">
      <c r="E722" s="1">
        <f t="shared" si="47"/>
        <v>718</v>
      </c>
      <c r="F722" s="1">
        <f t="shared" ca="1" si="44"/>
        <v>1.2859084031819927</v>
      </c>
      <c r="G722" s="1">
        <f t="shared" ca="1" si="45"/>
        <v>1497.235763101721</v>
      </c>
      <c r="H722" s="1">
        <f t="shared" ca="1" si="46"/>
        <v>0.14309813276323435</v>
      </c>
    </row>
    <row r="723" spans="5:8" x14ac:dyDescent="0.3">
      <c r="E723" s="1">
        <f t="shared" si="47"/>
        <v>719</v>
      </c>
      <c r="F723" s="1">
        <f t="shared" ca="1" si="44"/>
        <v>0.99747431164916345</v>
      </c>
      <c r="G723" s="1">
        <f t="shared" ca="1" si="45"/>
        <v>2127.0676562250956</v>
      </c>
      <c r="H723" s="1">
        <f t="shared" ca="1" si="46"/>
        <v>0.20329424220826681</v>
      </c>
    </row>
    <row r="724" spans="5:8" x14ac:dyDescent="0.3">
      <c r="E724" s="1">
        <f t="shared" si="47"/>
        <v>720</v>
      </c>
      <c r="F724" s="1">
        <f t="shared" ca="1" si="44"/>
        <v>1.2372797696943385</v>
      </c>
      <c r="G724" s="1">
        <f t="shared" ca="1" si="45"/>
        <v>1603.4224629011999</v>
      </c>
      <c r="H724" s="1">
        <f t="shared" ca="1" si="46"/>
        <v>0.15324691416431233</v>
      </c>
    </row>
    <row r="725" spans="5:8" x14ac:dyDescent="0.3">
      <c r="E725" s="1">
        <f t="shared" si="47"/>
        <v>721</v>
      </c>
      <c r="F725" s="1">
        <f t="shared" ca="1" si="44"/>
        <v>1.0539723630054922</v>
      </c>
      <c r="G725" s="1">
        <f t="shared" ca="1" si="45"/>
        <v>2003.6970988321318</v>
      </c>
      <c r="H725" s="1">
        <f t="shared" ca="1" si="46"/>
        <v>0.19150311562956435</v>
      </c>
    </row>
    <row r="726" spans="5:8" x14ac:dyDescent="0.3">
      <c r="E726" s="1">
        <f t="shared" si="47"/>
        <v>722</v>
      </c>
      <c r="F726" s="1">
        <f t="shared" ca="1" si="44"/>
        <v>1.3416903180737987</v>
      </c>
      <c r="G726" s="1">
        <f t="shared" ca="1" si="45"/>
        <v>1375.4289791961012</v>
      </c>
      <c r="H726" s="1">
        <f t="shared" ca="1" si="46"/>
        <v>0.13145646365249938</v>
      </c>
    </row>
    <row r="727" spans="5:8" x14ac:dyDescent="0.3">
      <c r="E727" s="1">
        <f t="shared" si="47"/>
        <v>723</v>
      </c>
      <c r="F727" s="1">
        <f t="shared" ca="1" si="44"/>
        <v>1.3985799197686237</v>
      </c>
      <c r="G727" s="1">
        <f t="shared" ca="1" si="45"/>
        <v>1251.2034226952389</v>
      </c>
      <c r="H727" s="1">
        <f t="shared" ca="1" si="46"/>
        <v>0.11958362063416218</v>
      </c>
    </row>
    <row r="728" spans="5:8" x14ac:dyDescent="0.3">
      <c r="E728" s="1">
        <f t="shared" si="47"/>
        <v>724</v>
      </c>
      <c r="F728" s="1">
        <f t="shared" ca="1" si="44"/>
        <v>1.1313596118838154</v>
      </c>
      <c r="G728" s="1">
        <f t="shared" ca="1" si="45"/>
        <v>1834.7123675002035</v>
      </c>
      <c r="H728" s="1">
        <f t="shared" ca="1" si="46"/>
        <v>0.17535241971711779</v>
      </c>
    </row>
    <row r="729" spans="5:8" x14ac:dyDescent="0.3">
      <c r="E729" s="1">
        <f t="shared" si="47"/>
        <v>725</v>
      </c>
      <c r="F729" s="1">
        <f t="shared" ca="1" si="44"/>
        <v>1.1251646405727556</v>
      </c>
      <c r="G729" s="1">
        <f t="shared" ca="1" si="45"/>
        <v>1848.2398617293165</v>
      </c>
      <c r="H729" s="1">
        <f t="shared" ca="1" si="46"/>
        <v>0.17664530839427664</v>
      </c>
    </row>
    <row r="730" spans="5:8" x14ac:dyDescent="0.3">
      <c r="E730" s="1">
        <f t="shared" si="47"/>
        <v>726</v>
      </c>
      <c r="F730" s="1">
        <f t="shared" ca="1" si="44"/>
        <v>1.3324017660432992</v>
      </c>
      <c r="G730" s="1">
        <f t="shared" ca="1" si="45"/>
        <v>1395.7116936237007</v>
      </c>
      <c r="H730" s="1">
        <f t="shared" ca="1" si="46"/>
        <v>0.13339498170923261</v>
      </c>
    </row>
    <row r="731" spans="5:8" x14ac:dyDescent="0.3">
      <c r="E731" s="1">
        <f t="shared" si="47"/>
        <v>727</v>
      </c>
      <c r="F731" s="1">
        <f t="shared" ca="1" si="44"/>
        <v>1.3084017677979651</v>
      </c>
      <c r="G731" s="1">
        <f t="shared" ca="1" si="45"/>
        <v>1448.1186897921682</v>
      </c>
      <c r="H731" s="1">
        <f t="shared" ca="1" si="46"/>
        <v>0.13840377423226305</v>
      </c>
    </row>
    <row r="732" spans="5:8" x14ac:dyDescent="0.3">
      <c r="E732" s="1">
        <f t="shared" si="47"/>
        <v>728</v>
      </c>
      <c r="F732" s="1">
        <f t="shared" ca="1" si="44"/>
        <v>1.1237683994091747</v>
      </c>
      <c r="G732" s="1">
        <f t="shared" ca="1" si="45"/>
        <v>1851.2887288401407</v>
      </c>
      <c r="H732" s="1">
        <f t="shared" ca="1" si="46"/>
        <v>0.17693670351143465</v>
      </c>
    </row>
    <row r="733" spans="5:8" x14ac:dyDescent="0.3">
      <c r="E733" s="1">
        <f t="shared" si="47"/>
        <v>729</v>
      </c>
      <c r="F733" s="1">
        <f t="shared" ca="1" si="44"/>
        <v>1.2902073069478794</v>
      </c>
      <c r="G733" s="1">
        <f t="shared" ca="1" si="45"/>
        <v>1487.8485693659366</v>
      </c>
      <c r="H733" s="1">
        <f t="shared" ca="1" si="46"/>
        <v>0.14220095282098219</v>
      </c>
    </row>
    <row r="734" spans="5:8" x14ac:dyDescent="0.3">
      <c r="E734" s="1">
        <f t="shared" si="47"/>
        <v>730</v>
      </c>
      <c r="F734" s="1">
        <f t="shared" ca="1" si="44"/>
        <v>1.2451741386278943</v>
      </c>
      <c r="G734" s="1">
        <f t="shared" ca="1" si="45"/>
        <v>1586.1841215386642</v>
      </c>
      <c r="H734" s="1">
        <f t="shared" ca="1" si="46"/>
        <v>0.15159936170683974</v>
      </c>
    </row>
    <row r="735" spans="5:8" x14ac:dyDescent="0.3">
      <c r="E735" s="1">
        <f t="shared" si="47"/>
        <v>731</v>
      </c>
      <c r="F735" s="1">
        <f t="shared" ca="1" si="44"/>
        <v>1.205093852606109</v>
      </c>
      <c r="G735" s="1">
        <f t="shared" ca="1" si="45"/>
        <v>1673.704436102985</v>
      </c>
      <c r="H735" s="1">
        <f t="shared" ca="1" si="46"/>
        <v>0.15996410552451354</v>
      </c>
    </row>
    <row r="736" spans="5:8" x14ac:dyDescent="0.3">
      <c r="E736" s="1">
        <f t="shared" si="47"/>
        <v>732</v>
      </c>
      <c r="F736" s="1">
        <f t="shared" ca="1" si="44"/>
        <v>0.88109279737124613</v>
      </c>
      <c r="G736" s="1">
        <f t="shared" ca="1" si="45"/>
        <v>2381.2012403402123</v>
      </c>
      <c r="H736" s="1">
        <f t="shared" ca="1" si="46"/>
        <v>0.22758302975630434</v>
      </c>
    </row>
    <row r="737" spans="5:8" x14ac:dyDescent="0.3">
      <c r="E737" s="1">
        <f t="shared" si="47"/>
        <v>733</v>
      </c>
      <c r="F737" s="1">
        <f t="shared" ca="1" si="44"/>
        <v>1.3251911141504138</v>
      </c>
      <c r="G737" s="1">
        <f t="shared" ca="1" si="45"/>
        <v>1411.4570533633025</v>
      </c>
      <c r="H737" s="1">
        <f t="shared" ca="1" si="46"/>
        <v>0.13489984262289043</v>
      </c>
    </row>
    <row r="738" spans="5:8" x14ac:dyDescent="0.3">
      <c r="E738" s="1">
        <f t="shared" si="47"/>
        <v>734</v>
      </c>
      <c r="F738" s="1">
        <f t="shared" ca="1" si="44"/>
        <v>1.254912875777846</v>
      </c>
      <c r="G738" s="1">
        <f t="shared" ca="1" si="45"/>
        <v>1564.9183716296009</v>
      </c>
      <c r="H738" s="1">
        <f t="shared" ca="1" si="46"/>
        <v>0.14956689014905866</v>
      </c>
    </row>
    <row r="739" spans="5:8" x14ac:dyDescent="0.3">
      <c r="E739" s="1">
        <f t="shared" si="47"/>
        <v>735</v>
      </c>
      <c r="F739" s="1">
        <f t="shared" ca="1" si="44"/>
        <v>1.1723835970928174</v>
      </c>
      <c r="G739" s="1">
        <f t="shared" ca="1" si="45"/>
        <v>1745.1313677981966</v>
      </c>
      <c r="H739" s="1">
        <f t="shared" ca="1" si="46"/>
        <v>0.1667907261586731</v>
      </c>
    </row>
    <row r="740" spans="5:8" x14ac:dyDescent="0.3">
      <c r="E740" s="1">
        <f t="shared" si="47"/>
        <v>736</v>
      </c>
      <c r="F740" s="1">
        <f t="shared" ca="1" si="44"/>
        <v>0.95910539703361075</v>
      </c>
      <c r="G740" s="1">
        <f t="shared" ca="1" si="45"/>
        <v>2210.8509774024815</v>
      </c>
      <c r="H740" s="1">
        <f t="shared" ca="1" si="46"/>
        <v>0.21130182332050859</v>
      </c>
    </row>
    <row r="741" spans="5:8" x14ac:dyDescent="0.3">
      <c r="E741" s="1">
        <f t="shared" si="47"/>
        <v>737</v>
      </c>
      <c r="F741" s="1">
        <f t="shared" ca="1" si="44"/>
        <v>0.96546818790489775</v>
      </c>
      <c r="G741" s="1">
        <f t="shared" ca="1" si="45"/>
        <v>2196.9570281861675</v>
      </c>
      <c r="H741" s="1">
        <f t="shared" ca="1" si="46"/>
        <v>0.20997391075085228</v>
      </c>
    </row>
    <row r="742" spans="5:8" x14ac:dyDescent="0.3">
      <c r="E742" s="1">
        <f t="shared" si="47"/>
        <v>738</v>
      </c>
      <c r="F742" s="1">
        <f t="shared" ca="1" si="44"/>
        <v>1.1628879494516604</v>
      </c>
      <c r="G742" s="1">
        <f t="shared" ca="1" si="45"/>
        <v>1765.8663013786179</v>
      </c>
      <c r="H742" s="1">
        <f t="shared" ca="1" si="46"/>
        <v>0.16877246500799176</v>
      </c>
    </row>
    <row r="743" spans="5:8" x14ac:dyDescent="0.3">
      <c r="E743" s="1">
        <f t="shared" si="47"/>
        <v>739</v>
      </c>
      <c r="F743" s="1">
        <f t="shared" ca="1" si="44"/>
        <v>1.1744404112955926</v>
      </c>
      <c r="G743" s="1">
        <f t="shared" ca="1" si="45"/>
        <v>1740.6400568846614</v>
      </c>
      <c r="H743" s="1">
        <f t="shared" ca="1" si="46"/>
        <v>0.16636146964395121</v>
      </c>
    </row>
    <row r="744" spans="5:8" x14ac:dyDescent="0.3">
      <c r="E744" s="1">
        <f t="shared" si="47"/>
        <v>740</v>
      </c>
      <c r="F744" s="1">
        <f t="shared" ca="1" si="44"/>
        <v>1.104506311576567</v>
      </c>
      <c r="G744" s="1">
        <f t="shared" ca="1" si="45"/>
        <v>1893.3499053836188</v>
      </c>
      <c r="H744" s="1">
        <f t="shared" ca="1" si="46"/>
        <v>0.18095669553508734</v>
      </c>
    </row>
    <row r="745" spans="5:8" x14ac:dyDescent="0.3">
      <c r="E745" s="1">
        <f t="shared" si="47"/>
        <v>741</v>
      </c>
      <c r="F745" s="1">
        <f t="shared" ca="1" si="44"/>
        <v>0.9201736313302209</v>
      </c>
      <c r="G745" s="1">
        <f t="shared" ca="1" si="45"/>
        <v>2295.8633542865464</v>
      </c>
      <c r="H745" s="1">
        <f t="shared" ca="1" si="46"/>
        <v>0.21942687128801935</v>
      </c>
    </row>
    <row r="746" spans="5:8" x14ac:dyDescent="0.3">
      <c r="E746" s="1">
        <f t="shared" si="47"/>
        <v>742</v>
      </c>
      <c r="F746" s="1">
        <f t="shared" ca="1" si="44"/>
        <v>0.89043403280318301</v>
      </c>
      <c r="G746" s="1">
        <f t="shared" ca="1" si="45"/>
        <v>2360.8034851201492</v>
      </c>
      <c r="H746" s="1">
        <f t="shared" ca="1" si="46"/>
        <v>0.22563351668930032</v>
      </c>
    </row>
    <row r="747" spans="5:8" x14ac:dyDescent="0.3">
      <c r="E747" s="1">
        <f t="shared" si="47"/>
        <v>743</v>
      </c>
      <c r="F747" s="1">
        <f t="shared" ca="1" si="44"/>
        <v>1.2082122200640073</v>
      </c>
      <c r="G747" s="1">
        <f t="shared" ca="1" si="45"/>
        <v>1666.895090962732</v>
      </c>
      <c r="H747" s="1">
        <f t="shared" ca="1" si="46"/>
        <v>0.15931330315996672</v>
      </c>
    </row>
    <row r="748" spans="5:8" x14ac:dyDescent="0.3">
      <c r="E748" s="1">
        <f t="shared" si="47"/>
        <v>744</v>
      </c>
      <c r="F748" s="1">
        <f t="shared" ca="1" si="44"/>
        <v>1.2545282304278704</v>
      </c>
      <c r="G748" s="1">
        <f t="shared" ca="1" si="45"/>
        <v>1565.7582928319414</v>
      </c>
      <c r="H748" s="1">
        <f t="shared" ca="1" si="46"/>
        <v>0.14964716551963503</v>
      </c>
    </row>
    <row r="749" spans="5:8" x14ac:dyDescent="0.3">
      <c r="E749" s="1">
        <f t="shared" si="47"/>
        <v>745</v>
      </c>
      <c r="F749" s="1">
        <f t="shared" ca="1" si="44"/>
        <v>0.99778112966890142</v>
      </c>
      <c r="G749" s="1">
        <f t="shared" ca="1" si="45"/>
        <v>2126.397680726745</v>
      </c>
      <c r="H749" s="1">
        <f t="shared" ca="1" si="46"/>
        <v>0.20323020937845215</v>
      </c>
    </row>
    <row r="750" spans="5:8" x14ac:dyDescent="0.3">
      <c r="E750" s="1">
        <f t="shared" si="47"/>
        <v>746</v>
      </c>
      <c r="F750" s="1">
        <f t="shared" ca="1" si="44"/>
        <v>1.1583817562438277</v>
      </c>
      <c r="G750" s="1">
        <f t="shared" ca="1" si="45"/>
        <v>1775.7061375220717</v>
      </c>
      <c r="H750" s="1">
        <f t="shared" ca="1" si="46"/>
        <v>0.16971290619536192</v>
      </c>
    </row>
    <row r="751" spans="5:8" x14ac:dyDescent="0.3">
      <c r="E751" s="1">
        <f t="shared" si="47"/>
        <v>747</v>
      </c>
      <c r="F751" s="1">
        <f t="shared" ca="1" si="44"/>
        <v>1.4455429381839244</v>
      </c>
      <c r="G751" s="1">
        <f t="shared" ca="1" si="45"/>
        <v>1148.6538016081279</v>
      </c>
      <c r="H751" s="1">
        <f t="shared" ca="1" si="46"/>
        <v>0.10978245260519238</v>
      </c>
    </row>
    <row r="752" spans="5:8" x14ac:dyDescent="0.3">
      <c r="E752" s="1">
        <f t="shared" si="47"/>
        <v>748</v>
      </c>
      <c r="F752" s="1">
        <f t="shared" ca="1" si="44"/>
        <v>1.3509140649466993</v>
      </c>
      <c r="G752" s="1">
        <f t="shared" ca="1" si="45"/>
        <v>1355.2877749307636</v>
      </c>
      <c r="H752" s="1">
        <f t="shared" ca="1" si="46"/>
        <v>0.12953147041295648</v>
      </c>
    </row>
    <row r="753" spans="5:8" x14ac:dyDescent="0.3">
      <c r="E753" s="1">
        <f t="shared" si="47"/>
        <v>749</v>
      </c>
      <c r="F753" s="1">
        <f t="shared" ca="1" si="44"/>
        <v>1.1707136690136233</v>
      </c>
      <c r="G753" s="1">
        <f t="shared" ca="1" si="45"/>
        <v>1748.7778645001267</v>
      </c>
      <c r="H753" s="1">
        <f t="shared" ca="1" si="46"/>
        <v>0.16713923965403105</v>
      </c>
    </row>
    <row r="754" spans="5:8" x14ac:dyDescent="0.3">
      <c r="E754" s="1">
        <f t="shared" si="47"/>
        <v>750</v>
      </c>
      <c r="F754" s="1">
        <f t="shared" ca="1" si="44"/>
        <v>1.3712642262029628</v>
      </c>
      <c r="G754" s="1">
        <f t="shared" ca="1" si="45"/>
        <v>1310.8506540575552</v>
      </c>
      <c r="H754" s="1">
        <f t="shared" ca="1" si="46"/>
        <v>0.12528439778816355</v>
      </c>
    </row>
    <row r="755" spans="5:8" x14ac:dyDescent="0.3">
      <c r="E755" s="1">
        <f t="shared" si="47"/>
        <v>751</v>
      </c>
      <c r="F755" s="1">
        <f t="shared" ca="1" si="44"/>
        <v>1.1544476638033765</v>
      </c>
      <c r="G755" s="1">
        <f t="shared" ca="1" si="45"/>
        <v>1784.2967201273518</v>
      </c>
      <c r="H755" s="1">
        <f t="shared" ca="1" si="46"/>
        <v>0.17053395012208275</v>
      </c>
    </row>
    <row r="756" spans="5:8" x14ac:dyDescent="0.3">
      <c r="E756" s="1">
        <f t="shared" si="47"/>
        <v>752</v>
      </c>
      <c r="F756" s="1">
        <f t="shared" ca="1" si="44"/>
        <v>1.2357163657216088</v>
      </c>
      <c r="G756" s="1">
        <f t="shared" ca="1" si="45"/>
        <v>1606.8363509011517</v>
      </c>
      <c r="H756" s="1">
        <f t="shared" ca="1" si="46"/>
        <v>0.15357319611021233</v>
      </c>
    </row>
    <row r="757" spans="5:8" x14ac:dyDescent="0.3">
      <c r="E757" s="1">
        <f t="shared" si="47"/>
        <v>753</v>
      </c>
      <c r="F757" s="1">
        <f t="shared" ca="1" si="44"/>
        <v>1.0794845454092623</v>
      </c>
      <c r="G757" s="1">
        <f t="shared" ca="1" si="45"/>
        <v>1947.9880595306995</v>
      </c>
      <c r="H757" s="1">
        <f t="shared" ca="1" si="46"/>
        <v>0.18617873072070149</v>
      </c>
    </row>
    <row r="758" spans="5:8" x14ac:dyDescent="0.3">
      <c r="E758" s="1">
        <f t="shared" si="47"/>
        <v>754</v>
      </c>
      <c r="F758" s="1">
        <f t="shared" ca="1" si="44"/>
        <v>1.2818006052732802</v>
      </c>
      <c r="G758" s="1">
        <f t="shared" ca="1" si="45"/>
        <v>1506.2056533101334</v>
      </c>
      <c r="H758" s="1">
        <f t="shared" ca="1" si="46"/>
        <v>0.1439554289697155</v>
      </c>
    </row>
    <row r="759" spans="5:8" x14ac:dyDescent="0.3">
      <c r="E759" s="1">
        <f t="shared" si="47"/>
        <v>755</v>
      </c>
      <c r="F759" s="1">
        <f t="shared" ca="1" si="44"/>
        <v>1.1417278513805647</v>
      </c>
      <c r="G759" s="1">
        <f t="shared" ca="1" si="45"/>
        <v>1812.0720205291143</v>
      </c>
      <c r="H759" s="1">
        <f t="shared" ca="1" si="46"/>
        <v>0.17318857120607037</v>
      </c>
    </row>
    <row r="760" spans="5:8" x14ac:dyDescent="0.3">
      <c r="E760" s="1">
        <f t="shared" si="47"/>
        <v>756</v>
      </c>
      <c r="F760" s="1">
        <f t="shared" ca="1" si="44"/>
        <v>0.87313113352905058</v>
      </c>
      <c r="G760" s="1">
        <f t="shared" ca="1" si="45"/>
        <v>2398.5865285476266</v>
      </c>
      <c r="H760" s="1">
        <f t="shared" ca="1" si="46"/>
        <v>0.22924462664127176</v>
      </c>
    </row>
    <row r="761" spans="5:8" x14ac:dyDescent="0.3">
      <c r="E761" s="1">
        <f t="shared" si="47"/>
        <v>757</v>
      </c>
      <c r="F761" s="1">
        <f t="shared" ca="1" si="44"/>
        <v>1.3278803271925426</v>
      </c>
      <c r="G761" s="1">
        <f t="shared" ca="1" si="45"/>
        <v>1405.584820534184</v>
      </c>
      <c r="H761" s="1">
        <f t="shared" ca="1" si="46"/>
        <v>0.13433860465776393</v>
      </c>
    </row>
    <row r="762" spans="5:8" x14ac:dyDescent="0.3">
      <c r="E762" s="1">
        <f t="shared" si="47"/>
        <v>758</v>
      </c>
      <c r="F762" s="1">
        <f t="shared" ca="1" si="44"/>
        <v>1.2152322147464689</v>
      </c>
      <c r="G762" s="1">
        <f t="shared" ca="1" si="45"/>
        <v>1651.5660550742416</v>
      </c>
      <c r="H762" s="1">
        <f t="shared" ca="1" si="46"/>
        <v>0.15784823234963602</v>
      </c>
    </row>
    <row r="763" spans="5:8" x14ac:dyDescent="0.3">
      <c r="E763" s="1">
        <f t="shared" si="47"/>
        <v>759</v>
      </c>
      <c r="F763" s="1">
        <f t="shared" ca="1" si="44"/>
        <v>1.1672417819145273</v>
      </c>
      <c r="G763" s="1">
        <f t="shared" ca="1" si="45"/>
        <v>1756.35916396689</v>
      </c>
      <c r="H763" s="1">
        <f t="shared" ca="1" si="46"/>
        <v>0.16786382146295423</v>
      </c>
    </row>
    <row r="764" spans="5:8" x14ac:dyDescent="0.3">
      <c r="E764" s="1">
        <f t="shared" si="47"/>
        <v>760</v>
      </c>
      <c r="F764" s="1">
        <f t="shared" ca="1" si="44"/>
        <v>1.1354723024353459</v>
      </c>
      <c r="G764" s="1">
        <f t="shared" ca="1" si="45"/>
        <v>1825.7317935946176</v>
      </c>
      <c r="H764" s="1">
        <f t="shared" ca="1" si="46"/>
        <v>0.17449410241753011</v>
      </c>
    </row>
    <row r="765" spans="5:8" x14ac:dyDescent="0.3">
      <c r="E765" s="1">
        <f t="shared" si="47"/>
        <v>761</v>
      </c>
      <c r="F765" s="1">
        <f t="shared" ca="1" si="44"/>
        <v>1.396927007270542</v>
      </c>
      <c r="G765" s="1">
        <f t="shared" ca="1" si="45"/>
        <v>1254.8127637488626</v>
      </c>
      <c r="H765" s="1">
        <f t="shared" ca="1" si="46"/>
        <v>0.11992858298278339</v>
      </c>
    </row>
    <row r="766" spans="5:8" x14ac:dyDescent="0.3">
      <c r="E766" s="1">
        <f t="shared" si="47"/>
        <v>762</v>
      </c>
      <c r="F766" s="1">
        <f t="shared" ca="1" si="44"/>
        <v>1.113171326290719</v>
      </c>
      <c r="G766" s="1">
        <f t="shared" ca="1" si="45"/>
        <v>1874.4287626284286</v>
      </c>
      <c r="H766" s="1">
        <f t="shared" ca="1" si="46"/>
        <v>0.17914830953153288</v>
      </c>
    </row>
    <row r="767" spans="5:8" x14ac:dyDescent="0.3">
      <c r="E767" s="1">
        <f t="shared" si="47"/>
        <v>763</v>
      </c>
      <c r="F767" s="1">
        <f t="shared" ca="1" si="44"/>
        <v>1.0141250721709747</v>
      </c>
      <c r="G767" s="1">
        <f t="shared" ca="1" si="45"/>
        <v>2090.708639280655</v>
      </c>
      <c r="H767" s="1">
        <f t="shared" ca="1" si="46"/>
        <v>0.19981923342068766</v>
      </c>
    </row>
    <row r="768" spans="5:8" x14ac:dyDescent="0.3">
      <c r="E768" s="1">
        <f t="shared" si="47"/>
        <v>764</v>
      </c>
      <c r="F768" s="1">
        <f t="shared" ca="1" si="44"/>
        <v>1.0532272881502722</v>
      </c>
      <c r="G768" s="1">
        <f t="shared" ca="1" si="45"/>
        <v>2005.3240629128618</v>
      </c>
      <c r="H768" s="1">
        <f t="shared" ca="1" si="46"/>
        <v>0.19165861253109642</v>
      </c>
    </row>
    <row r="769" spans="5:8" x14ac:dyDescent="0.3">
      <c r="E769" s="1">
        <f t="shared" si="47"/>
        <v>765</v>
      </c>
      <c r="F769" s="1">
        <f t="shared" ca="1" si="44"/>
        <v>1.2104500499771718</v>
      </c>
      <c r="G769" s="1">
        <f t="shared" ca="1" si="45"/>
        <v>1662.0085096185983</v>
      </c>
      <c r="H769" s="1">
        <f t="shared" ca="1" si="46"/>
        <v>0.15884626872011834</v>
      </c>
    </row>
    <row r="770" spans="5:8" x14ac:dyDescent="0.3">
      <c r="E770" s="1">
        <f t="shared" si="47"/>
        <v>766</v>
      </c>
      <c r="F770" s="1">
        <f t="shared" ca="1" si="44"/>
        <v>1.0212508053181164</v>
      </c>
      <c r="G770" s="1">
        <f t="shared" ca="1" si="45"/>
        <v>2075.148710237228</v>
      </c>
      <c r="H770" s="1">
        <f t="shared" ca="1" si="46"/>
        <v>0.19833209502410665</v>
      </c>
    </row>
    <row r="771" spans="5:8" x14ac:dyDescent="0.3">
      <c r="E771" s="1">
        <f t="shared" si="47"/>
        <v>767</v>
      </c>
      <c r="F771" s="1">
        <f t="shared" ca="1" si="44"/>
        <v>1.186891015033303</v>
      </c>
      <c r="G771" s="1">
        <f t="shared" ca="1" si="45"/>
        <v>1713.4526072979036</v>
      </c>
      <c r="H771" s="1">
        <f t="shared" ca="1" si="46"/>
        <v>0.16376303233278253</v>
      </c>
    </row>
    <row r="772" spans="5:8" x14ac:dyDescent="0.3">
      <c r="E772" s="1">
        <f t="shared" si="47"/>
        <v>768</v>
      </c>
      <c r="F772" s="1">
        <f t="shared" ca="1" si="44"/>
        <v>0.92733024976783818</v>
      </c>
      <c r="G772" s="1">
        <f t="shared" ca="1" si="45"/>
        <v>2280.2359833507044</v>
      </c>
      <c r="H772" s="1">
        <f t="shared" ca="1" si="46"/>
        <v>0.21793328714046684</v>
      </c>
    </row>
    <row r="773" spans="5:8" x14ac:dyDescent="0.3">
      <c r="E773" s="1">
        <f t="shared" si="47"/>
        <v>769</v>
      </c>
      <c r="F773" s="1">
        <f t="shared" ref="F773:F836" ca="1" si="48">_xlfn.NORM.INV(RAND(), $C$9, $C$9 * $C$10)</f>
        <v>1.2020919217566552</v>
      </c>
      <c r="G773" s="1">
        <f t="shared" ref="G773:G836" ca="1" si="49">$C$7 - ($C$6 + $C$8 * $C$11) - (($C$6 + $C$8 * $C$11) * (1 - $C$12) * (F773 - $C$13))</f>
        <v>1680.2595273541235</v>
      </c>
      <c r="H773" s="1">
        <f t="shared" ref="H773:H836" ca="1" si="50">G773 / $C$7</f>
        <v>0.16059060760337604</v>
      </c>
    </row>
    <row r="774" spans="5:8" x14ac:dyDescent="0.3">
      <c r="E774" s="1">
        <f t="shared" ref="E774:E837" si="51">ROW()-4</f>
        <v>770</v>
      </c>
      <c r="F774" s="1">
        <f t="shared" ca="1" si="48"/>
        <v>1.0761485221740523</v>
      </c>
      <c r="G774" s="1">
        <f t="shared" ca="1" si="49"/>
        <v>1955.2726832676849</v>
      </c>
      <c r="H774" s="1">
        <f t="shared" ca="1" si="50"/>
        <v>0.18687495778148569</v>
      </c>
    </row>
    <row r="775" spans="5:8" x14ac:dyDescent="0.3">
      <c r="E775" s="1">
        <f t="shared" si="51"/>
        <v>771</v>
      </c>
      <c r="F775" s="1">
        <f t="shared" ca="1" si="48"/>
        <v>1.1721505003008339</v>
      </c>
      <c r="G775" s="1">
        <f t="shared" ca="1" si="49"/>
        <v>1745.6403637805915</v>
      </c>
      <c r="H775" s="1">
        <f t="shared" ca="1" si="50"/>
        <v>0.16683937339009763</v>
      </c>
    </row>
    <row r="776" spans="5:8" x14ac:dyDescent="0.3">
      <c r="E776" s="1">
        <f t="shared" si="51"/>
        <v>772</v>
      </c>
      <c r="F776" s="1">
        <f t="shared" ca="1" si="48"/>
        <v>0.98424156934355433</v>
      </c>
      <c r="G776" s="1">
        <f t="shared" ca="1" si="49"/>
        <v>2155.9630031421812</v>
      </c>
      <c r="H776" s="1">
        <f t="shared" ca="1" si="50"/>
        <v>0.20605591160682224</v>
      </c>
    </row>
    <row r="777" spans="5:8" x14ac:dyDescent="0.3">
      <c r="E777" s="1">
        <f t="shared" si="51"/>
        <v>773</v>
      </c>
      <c r="F777" s="1">
        <f t="shared" ca="1" si="48"/>
        <v>1.0993391677984468</v>
      </c>
      <c r="G777" s="1">
        <f t="shared" ca="1" si="49"/>
        <v>1904.6330097161165</v>
      </c>
      <c r="H777" s="1">
        <f t="shared" ca="1" si="50"/>
        <v>0.18203507691064863</v>
      </c>
    </row>
    <row r="778" spans="5:8" x14ac:dyDescent="0.3">
      <c r="E778" s="1">
        <f t="shared" si="51"/>
        <v>774</v>
      </c>
      <c r="F778" s="1">
        <f t="shared" ca="1" si="48"/>
        <v>1.2892620719801788</v>
      </c>
      <c r="G778" s="1">
        <f t="shared" ca="1" si="49"/>
        <v>1489.9126080722817</v>
      </c>
      <c r="H778" s="1">
        <f t="shared" ca="1" si="50"/>
        <v>0.14239822307868505</v>
      </c>
    </row>
    <row r="779" spans="5:8" x14ac:dyDescent="0.3">
      <c r="E779" s="1">
        <f t="shared" si="51"/>
        <v>775</v>
      </c>
      <c r="F779" s="1">
        <f t="shared" ca="1" si="48"/>
        <v>1.4136838288846856</v>
      </c>
      <c r="G779" s="1">
        <f t="shared" ca="1" si="49"/>
        <v>1218.2221491516784</v>
      </c>
      <c r="H779" s="1">
        <f t="shared" ca="1" si="50"/>
        <v>0.11643143927665855</v>
      </c>
    </row>
    <row r="780" spans="5:8" x14ac:dyDescent="0.3">
      <c r="E780" s="1">
        <f t="shared" si="51"/>
        <v>776</v>
      </c>
      <c r="F780" s="1">
        <f t="shared" ca="1" si="48"/>
        <v>1.0208718032819604</v>
      </c>
      <c r="G780" s="1">
        <f t="shared" ca="1" si="49"/>
        <v>2075.9763085584291</v>
      </c>
      <c r="H780" s="1">
        <f t="shared" ca="1" si="50"/>
        <v>0.19841119263676088</v>
      </c>
    </row>
    <row r="781" spans="5:8" x14ac:dyDescent="0.3">
      <c r="E781" s="1">
        <f t="shared" si="51"/>
        <v>777</v>
      </c>
      <c r="F781" s="1">
        <f t="shared" ca="1" si="48"/>
        <v>1.1520575962882176</v>
      </c>
      <c r="G781" s="1">
        <f t="shared" ca="1" si="49"/>
        <v>1789.5157313051407</v>
      </c>
      <c r="H781" s="1">
        <f t="shared" ca="1" si="50"/>
        <v>0.17103275650436209</v>
      </c>
    </row>
    <row r="782" spans="5:8" x14ac:dyDescent="0.3">
      <c r="E782" s="1">
        <f t="shared" si="51"/>
        <v>778</v>
      </c>
      <c r="F782" s="1">
        <f t="shared" ca="1" si="48"/>
        <v>1.1313208234702286</v>
      </c>
      <c r="G782" s="1">
        <f t="shared" ca="1" si="49"/>
        <v>1834.7970668498219</v>
      </c>
      <c r="H782" s="1">
        <f t="shared" ca="1" si="50"/>
        <v>0.17536051484754103</v>
      </c>
    </row>
    <row r="783" spans="5:8" x14ac:dyDescent="0.3">
      <c r="E783" s="1">
        <f t="shared" si="51"/>
        <v>779</v>
      </c>
      <c r="F783" s="1">
        <f t="shared" ca="1" si="48"/>
        <v>1.1913154105029433</v>
      </c>
      <c r="G783" s="1">
        <f t="shared" ca="1" si="49"/>
        <v>1703.7913867405102</v>
      </c>
      <c r="H783" s="1">
        <f t="shared" ca="1" si="50"/>
        <v>0.16283966230913793</v>
      </c>
    </row>
    <row r="784" spans="5:8" x14ac:dyDescent="0.3">
      <c r="E784" s="1">
        <f t="shared" si="51"/>
        <v>780</v>
      </c>
      <c r="F784" s="1">
        <f t="shared" ca="1" si="48"/>
        <v>1.3087140658414806</v>
      </c>
      <c r="G784" s="1">
        <f t="shared" ca="1" si="49"/>
        <v>1447.4367479768966</v>
      </c>
      <c r="H784" s="1">
        <f t="shared" ca="1" si="50"/>
        <v>0.13833859772310969</v>
      </c>
    </row>
    <row r="785" spans="5:8" x14ac:dyDescent="0.3">
      <c r="E785" s="1">
        <f t="shared" si="51"/>
        <v>781</v>
      </c>
      <c r="F785" s="1">
        <f t="shared" ca="1" si="48"/>
        <v>1.1204415539296146</v>
      </c>
      <c r="G785" s="1">
        <f t="shared" ca="1" si="49"/>
        <v>1858.553311800445</v>
      </c>
      <c r="H785" s="1">
        <f t="shared" ca="1" si="50"/>
        <v>0.17763101517733396</v>
      </c>
    </row>
    <row r="786" spans="5:8" x14ac:dyDescent="0.3">
      <c r="E786" s="1">
        <f t="shared" si="51"/>
        <v>782</v>
      </c>
      <c r="F786" s="1">
        <f t="shared" ca="1" si="48"/>
        <v>1.4252357044075841</v>
      </c>
      <c r="G786" s="1">
        <f t="shared" ca="1" si="49"/>
        <v>1192.9971849629892</v>
      </c>
      <c r="H786" s="1">
        <f t="shared" ca="1" si="50"/>
        <v>0.11402056627764401</v>
      </c>
    </row>
    <row r="787" spans="5:8" x14ac:dyDescent="0.3">
      <c r="E787" s="1">
        <f t="shared" si="51"/>
        <v>783</v>
      </c>
      <c r="F787" s="1">
        <f t="shared" ca="1" si="48"/>
        <v>1.256924125399133</v>
      </c>
      <c r="G787" s="1">
        <f t="shared" ca="1" si="49"/>
        <v>1560.526556675318</v>
      </c>
      <c r="H787" s="1">
        <f t="shared" ca="1" si="50"/>
        <v>0.14914714294899342</v>
      </c>
    </row>
    <row r="788" spans="5:8" x14ac:dyDescent="0.3">
      <c r="E788" s="1">
        <f t="shared" si="51"/>
        <v>784</v>
      </c>
      <c r="F788" s="1">
        <f t="shared" ca="1" si="48"/>
        <v>1.0005334180696182</v>
      </c>
      <c r="G788" s="1">
        <f t="shared" ca="1" si="49"/>
        <v>2120.3877149677301</v>
      </c>
      <c r="H788" s="1">
        <f t="shared" ca="1" si="50"/>
        <v>0.2026558076046765</v>
      </c>
    </row>
    <row r="789" spans="5:8" x14ac:dyDescent="0.3">
      <c r="E789" s="1">
        <f t="shared" si="51"/>
        <v>785</v>
      </c>
      <c r="F789" s="1">
        <f t="shared" ca="1" si="48"/>
        <v>1.2293128686444486</v>
      </c>
      <c r="G789" s="1">
        <f t="shared" ca="1" si="49"/>
        <v>1620.819187206266</v>
      </c>
      <c r="H789" s="1">
        <f t="shared" ca="1" si="50"/>
        <v>0.15490960405297391</v>
      </c>
    </row>
    <row r="790" spans="5:8" x14ac:dyDescent="0.3">
      <c r="E790" s="1">
        <f t="shared" si="51"/>
        <v>786</v>
      </c>
      <c r="F790" s="1">
        <f t="shared" ca="1" si="48"/>
        <v>1.2975904277765877</v>
      </c>
      <c r="G790" s="1">
        <f t="shared" ca="1" si="49"/>
        <v>1471.7266021463486</v>
      </c>
      <c r="H790" s="1">
        <f t="shared" ca="1" si="50"/>
        <v>0.1406600976915176</v>
      </c>
    </row>
    <row r="791" spans="5:8" x14ac:dyDescent="0.3">
      <c r="E791" s="1">
        <f t="shared" si="51"/>
        <v>787</v>
      </c>
      <c r="F791" s="1">
        <f t="shared" ca="1" si="48"/>
        <v>1.0777762825087782</v>
      </c>
      <c r="G791" s="1">
        <f t="shared" ca="1" si="49"/>
        <v>1951.718265106769</v>
      </c>
      <c r="H791" s="1">
        <f t="shared" ca="1" si="50"/>
        <v>0.18653524468190472</v>
      </c>
    </row>
    <row r="792" spans="5:8" x14ac:dyDescent="0.3">
      <c r="E792" s="1">
        <f t="shared" si="51"/>
        <v>788</v>
      </c>
      <c r="F792" s="1">
        <f t="shared" ca="1" si="48"/>
        <v>1.042320663441989</v>
      </c>
      <c r="G792" s="1">
        <f t="shared" ca="1" si="49"/>
        <v>2029.1400412914866</v>
      </c>
      <c r="H792" s="1">
        <f t="shared" ca="1" si="50"/>
        <v>0.19393482187627703</v>
      </c>
    </row>
    <row r="793" spans="5:8" x14ac:dyDescent="0.3">
      <c r="E793" s="1">
        <f t="shared" si="51"/>
        <v>789</v>
      </c>
      <c r="F793" s="1">
        <f t="shared" ca="1" si="48"/>
        <v>1.2545816554612372</v>
      </c>
      <c r="G793" s="1">
        <f t="shared" ca="1" si="49"/>
        <v>1565.6416325934556</v>
      </c>
      <c r="H793" s="1">
        <f t="shared" ca="1" si="50"/>
        <v>0.14963601573100024</v>
      </c>
    </row>
    <row r="794" spans="5:8" x14ac:dyDescent="0.3">
      <c r="E794" s="1">
        <f t="shared" si="51"/>
        <v>790</v>
      </c>
      <c r="F794" s="1">
        <f t="shared" ca="1" si="48"/>
        <v>1.1748449928353042</v>
      </c>
      <c r="G794" s="1">
        <f t="shared" ca="1" si="49"/>
        <v>1739.7566025200088</v>
      </c>
      <c r="H794" s="1">
        <f t="shared" ca="1" si="50"/>
        <v>0.16627703359648369</v>
      </c>
    </row>
    <row r="795" spans="5:8" x14ac:dyDescent="0.3">
      <c r="E795" s="1">
        <f t="shared" si="51"/>
        <v>791</v>
      </c>
      <c r="F795" s="1">
        <f t="shared" ca="1" si="48"/>
        <v>1.1233818183614581</v>
      </c>
      <c r="G795" s="1">
        <f t="shared" ca="1" si="49"/>
        <v>1852.1328768804608</v>
      </c>
      <c r="H795" s="1">
        <f t="shared" ca="1" si="50"/>
        <v>0.17701738286155602</v>
      </c>
    </row>
    <row r="796" spans="5:8" x14ac:dyDescent="0.3">
      <c r="E796" s="1">
        <f t="shared" si="51"/>
        <v>792</v>
      </c>
      <c r="F796" s="1">
        <f t="shared" ca="1" si="48"/>
        <v>1.3925131179609362</v>
      </c>
      <c r="G796" s="1">
        <f t="shared" ca="1" si="49"/>
        <v>1264.4510427925504</v>
      </c>
      <c r="H796" s="1">
        <f t="shared" ca="1" si="50"/>
        <v>0.12084976037394154</v>
      </c>
    </row>
    <row r="797" spans="5:8" x14ac:dyDescent="0.3">
      <c r="E797" s="1">
        <f t="shared" si="51"/>
        <v>793</v>
      </c>
      <c r="F797" s="1">
        <f t="shared" ca="1" si="48"/>
        <v>0.99117714483968855</v>
      </c>
      <c r="G797" s="1">
        <f t="shared" ca="1" si="49"/>
        <v>2140.8183070994351</v>
      </c>
      <c r="H797" s="1">
        <f t="shared" ca="1" si="50"/>
        <v>0.20460845905566616</v>
      </c>
    </row>
    <row r="798" spans="5:8" x14ac:dyDescent="0.3">
      <c r="E798" s="1">
        <f t="shared" si="51"/>
        <v>794</v>
      </c>
      <c r="F798" s="1">
        <f t="shared" ca="1" si="48"/>
        <v>1.5367218689258739</v>
      </c>
      <c r="G798" s="1">
        <f t="shared" ca="1" si="49"/>
        <v>949.55320896673845</v>
      </c>
      <c r="H798" s="1">
        <f t="shared" ca="1" si="50"/>
        <v>9.0753436774035981E-2</v>
      </c>
    </row>
    <row r="799" spans="5:8" x14ac:dyDescent="0.3">
      <c r="E799" s="1">
        <f t="shared" si="51"/>
        <v>795</v>
      </c>
      <c r="F799" s="1">
        <f t="shared" ca="1" si="48"/>
        <v>1.2875138772859547</v>
      </c>
      <c r="G799" s="1">
        <f t="shared" ca="1" si="49"/>
        <v>1493.7300097114571</v>
      </c>
      <c r="H799" s="1">
        <f t="shared" ca="1" si="50"/>
        <v>0.1427630707934108</v>
      </c>
    </row>
    <row r="800" spans="5:8" x14ac:dyDescent="0.3">
      <c r="E800" s="1">
        <f t="shared" si="51"/>
        <v>796</v>
      </c>
      <c r="F800" s="1">
        <f t="shared" ca="1" si="48"/>
        <v>0.97763281884510933</v>
      </c>
      <c r="G800" s="1">
        <f t="shared" ca="1" si="49"/>
        <v>2170.3940359493481</v>
      </c>
      <c r="H800" s="1">
        <f t="shared" ca="1" si="50"/>
        <v>0.20743515587779299</v>
      </c>
    </row>
    <row r="801" spans="5:8" x14ac:dyDescent="0.3">
      <c r="E801" s="1">
        <f t="shared" si="51"/>
        <v>797</v>
      </c>
      <c r="F801" s="1">
        <f t="shared" ca="1" si="48"/>
        <v>1.0249910164123088</v>
      </c>
      <c r="G801" s="1">
        <f t="shared" ca="1" si="49"/>
        <v>2066.981491786672</v>
      </c>
      <c r="H801" s="1">
        <f t="shared" ca="1" si="50"/>
        <v>0.19755151407690644</v>
      </c>
    </row>
    <row r="802" spans="5:8" x14ac:dyDescent="0.3">
      <c r="E802" s="1">
        <f t="shared" si="51"/>
        <v>798</v>
      </c>
      <c r="F802" s="1">
        <f t="shared" ca="1" si="48"/>
        <v>1.2773718521746396</v>
      </c>
      <c r="G802" s="1">
        <f t="shared" ca="1" si="49"/>
        <v>1515.8763892951526</v>
      </c>
      <c r="H802" s="1">
        <f t="shared" ca="1" si="50"/>
        <v>0.14487970842924139</v>
      </c>
    </row>
    <row r="803" spans="5:8" x14ac:dyDescent="0.3">
      <c r="E803" s="1">
        <f t="shared" si="51"/>
        <v>799</v>
      </c>
      <c r="F803" s="1">
        <f t="shared" ca="1" si="48"/>
        <v>1.1109506716831794</v>
      </c>
      <c r="G803" s="1">
        <f t="shared" ca="1" si="49"/>
        <v>1879.2778395458172</v>
      </c>
      <c r="H803" s="1">
        <f t="shared" ca="1" si="50"/>
        <v>0.1796117594901861</v>
      </c>
    </row>
    <row r="804" spans="5:8" x14ac:dyDescent="0.3">
      <c r="E804" s="1">
        <f t="shared" si="51"/>
        <v>800</v>
      </c>
      <c r="F804" s="1">
        <f t="shared" ca="1" si="48"/>
        <v>1.1484525245231558</v>
      </c>
      <c r="G804" s="1">
        <f t="shared" ca="1" si="49"/>
        <v>1797.3878561381237</v>
      </c>
      <c r="H804" s="1">
        <f t="shared" ca="1" si="50"/>
        <v>0.17178513391361214</v>
      </c>
    </row>
    <row r="805" spans="5:8" x14ac:dyDescent="0.3">
      <c r="E805" s="1">
        <f t="shared" si="51"/>
        <v>801</v>
      </c>
      <c r="F805" s="1">
        <f t="shared" ca="1" si="48"/>
        <v>1.1886776198873863</v>
      </c>
      <c r="G805" s="1">
        <f t="shared" ca="1" si="49"/>
        <v>1709.5513322734059</v>
      </c>
      <c r="H805" s="1">
        <f t="shared" ca="1" si="50"/>
        <v>0.16339016842907444</v>
      </c>
    </row>
    <row r="806" spans="5:8" x14ac:dyDescent="0.3">
      <c r="E806" s="1">
        <f t="shared" si="51"/>
        <v>802</v>
      </c>
      <c r="F806" s="1">
        <f t="shared" ca="1" si="48"/>
        <v>1.0160185977666176</v>
      </c>
      <c r="G806" s="1">
        <f t="shared" ca="1" si="49"/>
        <v>2086.5738894518695</v>
      </c>
      <c r="H806" s="1">
        <f t="shared" ca="1" si="50"/>
        <v>0.19942405518989481</v>
      </c>
    </row>
    <row r="807" spans="5:8" x14ac:dyDescent="0.3">
      <c r="E807" s="1">
        <f t="shared" si="51"/>
        <v>803</v>
      </c>
      <c r="F807" s="1">
        <f t="shared" ca="1" si="48"/>
        <v>1.1360858521540771</v>
      </c>
      <c r="G807" s="1">
        <f t="shared" ca="1" si="49"/>
        <v>1824.3920310900533</v>
      </c>
      <c r="H807" s="1">
        <f t="shared" ca="1" si="50"/>
        <v>0.17436605477301476</v>
      </c>
    </row>
    <row r="808" spans="5:8" x14ac:dyDescent="0.3">
      <c r="E808" s="1">
        <f t="shared" si="51"/>
        <v>804</v>
      </c>
      <c r="F808" s="1">
        <f t="shared" ca="1" si="48"/>
        <v>1.3510570207768315</v>
      </c>
      <c r="G808" s="1">
        <f t="shared" ca="1" si="49"/>
        <v>1354.975613006191</v>
      </c>
      <c r="H808" s="1">
        <f t="shared" ca="1" si="50"/>
        <v>0.12950163557356312</v>
      </c>
    </row>
    <row r="809" spans="5:8" x14ac:dyDescent="0.3">
      <c r="E809" s="1">
        <f t="shared" si="51"/>
        <v>805</v>
      </c>
      <c r="F809" s="1">
        <f t="shared" ca="1" si="48"/>
        <v>1.0566661903076489</v>
      </c>
      <c r="G809" s="1">
        <f t="shared" ca="1" si="49"/>
        <v>1997.8147901894602</v>
      </c>
      <c r="H809" s="1">
        <f t="shared" ca="1" si="50"/>
        <v>0.19094091466973717</v>
      </c>
    </row>
    <row r="810" spans="5:8" x14ac:dyDescent="0.3">
      <c r="E810" s="1">
        <f t="shared" si="51"/>
        <v>806</v>
      </c>
      <c r="F810" s="1">
        <f t="shared" ca="1" si="48"/>
        <v>1.1091020405327046</v>
      </c>
      <c r="G810" s="1">
        <f t="shared" ca="1" si="49"/>
        <v>1883.3145567417728</v>
      </c>
      <c r="H810" s="1">
        <f t="shared" ca="1" si="50"/>
        <v>0.1799975682635738</v>
      </c>
    </row>
    <row r="811" spans="5:8" x14ac:dyDescent="0.3">
      <c r="E811" s="1">
        <f t="shared" si="51"/>
        <v>807</v>
      </c>
      <c r="F811" s="1">
        <f t="shared" ca="1" si="48"/>
        <v>1.3449563942300142</v>
      </c>
      <c r="G811" s="1">
        <f t="shared" ca="1" si="49"/>
        <v>1368.2970936494851</v>
      </c>
      <c r="H811" s="1">
        <f t="shared" ca="1" si="50"/>
        <v>0.13077483452637725</v>
      </c>
    </row>
    <row r="812" spans="5:8" x14ac:dyDescent="0.3">
      <c r="E812" s="1">
        <f t="shared" si="51"/>
        <v>808</v>
      </c>
      <c r="F812" s="1">
        <f t="shared" ca="1" si="48"/>
        <v>1.3014810915263819</v>
      </c>
      <c r="G812" s="1">
        <f t="shared" ca="1" si="49"/>
        <v>1463.2308515157042</v>
      </c>
      <c r="H812" s="1">
        <f t="shared" ca="1" si="50"/>
        <v>0.1398481173196697</v>
      </c>
    </row>
    <row r="813" spans="5:8" x14ac:dyDescent="0.3">
      <c r="E813" s="1">
        <f t="shared" si="51"/>
        <v>809</v>
      </c>
      <c r="F813" s="1">
        <f t="shared" ca="1" si="48"/>
        <v>1.3119487133489112</v>
      </c>
      <c r="G813" s="1">
        <f t="shared" ca="1" si="49"/>
        <v>1440.3734908134838</v>
      </c>
      <c r="H813" s="1">
        <f t="shared" ca="1" si="50"/>
        <v>0.13766352774667723</v>
      </c>
    </row>
    <row r="814" spans="5:8" x14ac:dyDescent="0.3">
      <c r="E814" s="1">
        <f t="shared" si="51"/>
        <v>810</v>
      </c>
      <c r="F814" s="1">
        <f t="shared" ca="1" si="48"/>
        <v>1.0934050006857283</v>
      </c>
      <c r="G814" s="1">
        <f t="shared" ca="1" si="49"/>
        <v>1917.5910053776263</v>
      </c>
      <c r="H814" s="1">
        <f t="shared" ca="1" si="50"/>
        <v>0.18327353582888525</v>
      </c>
    </row>
    <row r="815" spans="5:8" x14ac:dyDescent="0.3">
      <c r="E815" s="1">
        <f t="shared" si="51"/>
        <v>811</v>
      </c>
      <c r="F815" s="1">
        <f t="shared" ca="1" si="48"/>
        <v>1.1615867728377289</v>
      </c>
      <c r="G815" s="1">
        <f t="shared" ca="1" si="49"/>
        <v>1768.707583162214</v>
      </c>
      <c r="H815" s="1">
        <f t="shared" ca="1" si="50"/>
        <v>0.16904402018180387</v>
      </c>
    </row>
    <row r="816" spans="5:8" x14ac:dyDescent="0.3">
      <c r="E816" s="1">
        <f t="shared" si="51"/>
        <v>812</v>
      </c>
      <c r="F816" s="1">
        <f t="shared" ca="1" si="48"/>
        <v>1.2133827879396042</v>
      </c>
      <c r="G816" s="1">
        <f t="shared" ca="1" si="49"/>
        <v>1655.6045096853816</v>
      </c>
      <c r="H816" s="1">
        <f t="shared" ca="1" si="50"/>
        <v>0.15823420717627656</v>
      </c>
    </row>
    <row r="817" spans="5:8" x14ac:dyDescent="0.3">
      <c r="E817" s="1">
        <f t="shared" si="51"/>
        <v>813</v>
      </c>
      <c r="F817" s="1">
        <f t="shared" ca="1" si="48"/>
        <v>1.1609924202788755</v>
      </c>
      <c r="G817" s="1">
        <f t="shared" ca="1" si="49"/>
        <v>1770.0054262685403</v>
      </c>
      <c r="H817" s="1">
        <f t="shared" ca="1" si="50"/>
        <v>0.16916806138474055</v>
      </c>
    </row>
    <row r="818" spans="5:8" x14ac:dyDescent="0.3">
      <c r="E818" s="1">
        <f t="shared" si="51"/>
        <v>814</v>
      </c>
      <c r="F818" s="1">
        <f t="shared" ca="1" si="48"/>
        <v>1.4529923819412849</v>
      </c>
      <c r="G818" s="1">
        <f t="shared" ca="1" si="49"/>
        <v>1132.3870099834617</v>
      </c>
      <c r="H818" s="1">
        <f t="shared" ca="1" si="50"/>
        <v>0.10822775590016837</v>
      </c>
    </row>
    <row r="819" spans="5:8" x14ac:dyDescent="0.3">
      <c r="E819" s="1">
        <f t="shared" si="51"/>
        <v>815</v>
      </c>
      <c r="F819" s="1">
        <f t="shared" ca="1" si="48"/>
        <v>1.1458526679819838</v>
      </c>
      <c r="G819" s="1">
        <f t="shared" ca="1" si="49"/>
        <v>1803.0649678778404</v>
      </c>
      <c r="H819" s="1">
        <f t="shared" ca="1" si="50"/>
        <v>0.17232772320346368</v>
      </c>
    </row>
    <row r="820" spans="5:8" x14ac:dyDescent="0.3">
      <c r="E820" s="1">
        <f t="shared" si="51"/>
        <v>816</v>
      </c>
      <c r="F820" s="1">
        <f t="shared" ca="1" si="48"/>
        <v>1.1144911233595065</v>
      </c>
      <c r="G820" s="1">
        <f t="shared" ca="1" si="49"/>
        <v>1871.5468207540976</v>
      </c>
      <c r="H820" s="1">
        <f t="shared" ca="1" si="50"/>
        <v>0.17887286827430923</v>
      </c>
    </row>
    <row r="821" spans="5:8" x14ac:dyDescent="0.3">
      <c r="E821" s="1">
        <f t="shared" si="51"/>
        <v>817</v>
      </c>
      <c r="F821" s="1">
        <f t="shared" ca="1" si="48"/>
        <v>1.1874990232164693</v>
      </c>
      <c r="G821" s="1">
        <f t="shared" ca="1" si="49"/>
        <v>1712.1249454289371</v>
      </c>
      <c r="H821" s="1">
        <f t="shared" ca="1" si="50"/>
        <v>0.16363614120509767</v>
      </c>
    </row>
    <row r="822" spans="5:8" x14ac:dyDescent="0.3">
      <c r="E822" s="1">
        <f t="shared" si="51"/>
        <v>818</v>
      </c>
      <c r="F822" s="1">
        <f t="shared" ca="1" si="48"/>
        <v>1.3539073789336915</v>
      </c>
      <c r="G822" s="1">
        <f t="shared" ca="1" si="49"/>
        <v>1348.7514996759178</v>
      </c>
      <c r="H822" s="1">
        <f t="shared" ca="1" si="50"/>
        <v>0.12890676667073667</v>
      </c>
    </row>
    <row r="823" spans="5:8" x14ac:dyDescent="0.3">
      <c r="E823" s="1">
        <f t="shared" si="51"/>
        <v>819</v>
      </c>
      <c r="F823" s="1">
        <f t="shared" ca="1" si="48"/>
        <v>1.0310689168507599</v>
      </c>
      <c r="G823" s="1">
        <f t="shared" ca="1" si="49"/>
        <v>2053.7096364417594</v>
      </c>
      <c r="H823" s="1">
        <f t="shared" ca="1" si="50"/>
        <v>0.19628305805617502</v>
      </c>
    </row>
    <row r="824" spans="5:8" x14ac:dyDescent="0.3">
      <c r="E824" s="1">
        <f t="shared" si="51"/>
        <v>820</v>
      </c>
      <c r="F824" s="1">
        <f t="shared" ca="1" si="48"/>
        <v>0.88742178595695931</v>
      </c>
      <c r="G824" s="1">
        <f t="shared" ca="1" si="49"/>
        <v>2367.3811026397348</v>
      </c>
      <c r="H824" s="1">
        <f t="shared" ca="1" si="50"/>
        <v>0.2262621717136323</v>
      </c>
    </row>
    <row r="825" spans="5:8" x14ac:dyDescent="0.3">
      <c r="E825" s="1">
        <f t="shared" si="51"/>
        <v>821</v>
      </c>
      <c r="F825" s="1">
        <f t="shared" ca="1" si="48"/>
        <v>1.2405464575189069</v>
      </c>
      <c r="G825" s="1">
        <f t="shared" ca="1" si="49"/>
        <v>1596.2892417002768</v>
      </c>
      <c r="H825" s="1">
        <f t="shared" ca="1" si="50"/>
        <v>0.15256515738318616</v>
      </c>
    </row>
    <row r="826" spans="5:8" x14ac:dyDescent="0.3">
      <c r="E826" s="1">
        <f t="shared" si="51"/>
        <v>822</v>
      </c>
      <c r="F826" s="1">
        <f t="shared" ca="1" si="48"/>
        <v>1.1776582086327256</v>
      </c>
      <c r="G826" s="1">
        <f t="shared" ca="1" si="49"/>
        <v>1733.6135941743644</v>
      </c>
      <c r="H826" s="1">
        <f t="shared" ca="1" si="50"/>
        <v>0.16568991629306742</v>
      </c>
    </row>
    <row r="827" spans="5:8" x14ac:dyDescent="0.3">
      <c r="E827" s="1">
        <f t="shared" si="51"/>
        <v>823</v>
      </c>
      <c r="F827" s="1">
        <f t="shared" ca="1" si="48"/>
        <v>1.0354209412035615</v>
      </c>
      <c r="G827" s="1">
        <f t="shared" ca="1" si="49"/>
        <v>2044.2064472643729</v>
      </c>
      <c r="H827" s="1">
        <f t="shared" ca="1" si="50"/>
        <v>0.19537479186317241</v>
      </c>
    </row>
    <row r="828" spans="5:8" x14ac:dyDescent="0.3">
      <c r="E828" s="1">
        <f t="shared" si="51"/>
        <v>824</v>
      </c>
      <c r="F828" s="1">
        <f t="shared" ca="1" si="48"/>
        <v>1.2712397296489972</v>
      </c>
      <c r="G828" s="1">
        <f t="shared" ca="1" si="49"/>
        <v>1529.2666453452082</v>
      </c>
      <c r="H828" s="1">
        <f t="shared" ca="1" si="50"/>
        <v>0.14615948058350456</v>
      </c>
    </row>
    <row r="829" spans="5:8" x14ac:dyDescent="0.3">
      <c r="E829" s="1">
        <f t="shared" si="51"/>
        <v>825</v>
      </c>
      <c r="F829" s="1">
        <f t="shared" ca="1" si="48"/>
        <v>1.4889837831550543</v>
      </c>
      <c r="G829" s="1">
        <f t="shared" ca="1" si="49"/>
        <v>1053.7952865080445</v>
      </c>
      <c r="H829" s="1">
        <f t="shared" ca="1" si="50"/>
        <v>0.10071636113046396</v>
      </c>
    </row>
    <row r="830" spans="5:8" x14ac:dyDescent="0.3">
      <c r="E830" s="1">
        <f t="shared" si="51"/>
        <v>826</v>
      </c>
      <c r="F830" s="1">
        <f t="shared" ca="1" si="48"/>
        <v>1.0346757758920395</v>
      </c>
      <c r="G830" s="1">
        <f t="shared" ca="1" si="49"/>
        <v>2045.8336088677452</v>
      </c>
      <c r="H830" s="1">
        <f t="shared" ca="1" si="50"/>
        <v>0.19553030764290788</v>
      </c>
    </row>
    <row r="831" spans="5:8" x14ac:dyDescent="0.3">
      <c r="E831" s="1">
        <f t="shared" si="51"/>
        <v>827</v>
      </c>
      <c r="F831" s="1">
        <f t="shared" ca="1" si="48"/>
        <v>1.1892763328377143</v>
      </c>
      <c r="G831" s="1">
        <f t="shared" ca="1" si="49"/>
        <v>1708.2439677072459</v>
      </c>
      <c r="H831" s="1">
        <f t="shared" ca="1" si="50"/>
        <v>0.16326521721372894</v>
      </c>
    </row>
    <row r="832" spans="5:8" x14ac:dyDescent="0.3">
      <c r="E832" s="1">
        <f t="shared" si="51"/>
        <v>828</v>
      </c>
      <c r="F832" s="1">
        <f t="shared" ca="1" si="48"/>
        <v>1.4598054511201533</v>
      </c>
      <c r="G832" s="1">
        <f t="shared" ca="1" si="49"/>
        <v>1117.5098217977552</v>
      </c>
      <c r="H832" s="1">
        <f t="shared" ca="1" si="50"/>
        <v>0.10680587038112924</v>
      </c>
    </row>
    <row r="833" spans="5:8" x14ac:dyDescent="0.3">
      <c r="E833" s="1">
        <f t="shared" si="51"/>
        <v>829</v>
      </c>
      <c r="F833" s="1">
        <f t="shared" ca="1" si="48"/>
        <v>1.1907158499831236</v>
      </c>
      <c r="G833" s="1">
        <f t="shared" ca="1" si="49"/>
        <v>1705.1006020806014</v>
      </c>
      <c r="H833" s="1">
        <f t="shared" ca="1" si="50"/>
        <v>0.16296479041198522</v>
      </c>
    </row>
    <row r="834" spans="5:8" x14ac:dyDescent="0.3">
      <c r="E834" s="1">
        <f t="shared" si="51"/>
        <v>830</v>
      </c>
      <c r="F834" s="1">
        <f t="shared" ca="1" si="48"/>
        <v>1.2402079672360014</v>
      </c>
      <c r="G834" s="1">
        <f t="shared" ca="1" si="49"/>
        <v>1597.0283775442863</v>
      </c>
      <c r="H834" s="1">
        <f t="shared" ca="1" si="50"/>
        <v>0.15263580020493991</v>
      </c>
    </row>
    <row r="835" spans="5:8" x14ac:dyDescent="0.3">
      <c r="E835" s="1">
        <f t="shared" si="51"/>
        <v>831</v>
      </c>
      <c r="F835" s="1">
        <f t="shared" ca="1" si="48"/>
        <v>1.1004237739237352</v>
      </c>
      <c r="G835" s="1">
        <f t="shared" ca="1" si="49"/>
        <v>1902.2646366657834</v>
      </c>
      <c r="H835" s="1">
        <f t="shared" ca="1" si="50"/>
        <v>0.18180871993365033</v>
      </c>
    </row>
    <row r="836" spans="5:8" x14ac:dyDescent="0.3">
      <c r="E836" s="1">
        <f t="shared" si="51"/>
        <v>832</v>
      </c>
      <c r="F836" s="1">
        <f t="shared" ca="1" si="48"/>
        <v>1.211423996869389</v>
      </c>
      <c r="G836" s="1">
        <f t="shared" ca="1" si="49"/>
        <v>1659.8817748360805</v>
      </c>
      <c r="H836" s="1">
        <f t="shared" ca="1" si="50"/>
        <v>0.15864300629227568</v>
      </c>
    </row>
    <row r="837" spans="5:8" x14ac:dyDescent="0.3">
      <c r="E837" s="1">
        <f t="shared" si="51"/>
        <v>833</v>
      </c>
      <c r="F837" s="1">
        <f t="shared" ref="F837:F900" ca="1" si="52">_xlfn.NORM.INV(RAND(), $C$9, $C$9 * $C$10)</f>
        <v>1.0317466383388854</v>
      </c>
      <c r="G837" s="1">
        <f t="shared" ref="G837:G900" ca="1" si="53">$C$7 - ($C$6 + $C$8 * $C$11) - (($C$6 + $C$8 * $C$11) * (1 - $C$12) * (F837 - $C$13))</f>
        <v>2052.2297468572515</v>
      </c>
      <c r="H837" s="1">
        <f t="shared" ref="H837:H900" ca="1" si="54">G837 / $C$7</f>
        <v>0.19614161778240002</v>
      </c>
    </row>
    <row r="838" spans="5:8" x14ac:dyDescent="0.3">
      <c r="E838" s="1">
        <f t="shared" ref="E838:E901" si="55">ROW()-4</f>
        <v>834</v>
      </c>
      <c r="F838" s="1">
        <f t="shared" ca="1" si="52"/>
        <v>1.0303509111844504</v>
      </c>
      <c r="G838" s="1">
        <f t="shared" ca="1" si="53"/>
        <v>2055.2774915648542</v>
      </c>
      <c r="H838" s="1">
        <f t="shared" ca="1" si="54"/>
        <v>0.19643290562600155</v>
      </c>
    </row>
    <row r="839" spans="5:8" x14ac:dyDescent="0.3">
      <c r="E839" s="1">
        <f t="shared" si="55"/>
        <v>835</v>
      </c>
      <c r="F839" s="1">
        <f t="shared" ca="1" si="52"/>
        <v>1.1084328406122796</v>
      </c>
      <c r="G839" s="1">
        <f t="shared" ca="1" si="53"/>
        <v>1884.7758384180106</v>
      </c>
      <c r="H839" s="1">
        <f t="shared" ca="1" si="54"/>
        <v>0.18013723008869451</v>
      </c>
    </row>
    <row r="840" spans="5:8" x14ac:dyDescent="0.3">
      <c r="E840" s="1">
        <f t="shared" si="55"/>
        <v>836</v>
      </c>
      <c r="F840" s="1">
        <f t="shared" ca="1" si="52"/>
        <v>1.2314030729130045</v>
      </c>
      <c r="G840" s="1">
        <f t="shared" ca="1" si="53"/>
        <v>1616.2549649103403</v>
      </c>
      <c r="H840" s="1">
        <f t="shared" ca="1" si="54"/>
        <v>0.15447337904141645</v>
      </c>
    </row>
    <row r="841" spans="5:8" x14ac:dyDescent="0.3">
      <c r="E841" s="1">
        <f t="shared" si="55"/>
        <v>837</v>
      </c>
      <c r="F841" s="1">
        <f t="shared" ca="1" si="52"/>
        <v>1.1381542600411438</v>
      </c>
      <c r="G841" s="1">
        <f t="shared" ca="1" si="53"/>
        <v>1819.8754039176572</v>
      </c>
      <c r="H841" s="1">
        <f t="shared" ca="1" si="54"/>
        <v>0.17393437865981623</v>
      </c>
    </row>
    <row r="842" spans="5:8" x14ac:dyDescent="0.3">
      <c r="E842" s="1">
        <f t="shared" si="55"/>
        <v>838</v>
      </c>
      <c r="F842" s="1">
        <f t="shared" ca="1" si="52"/>
        <v>1.2626487472806438</v>
      </c>
      <c r="G842" s="1">
        <f t="shared" ca="1" si="53"/>
        <v>1548.026129219304</v>
      </c>
      <c r="H842" s="1">
        <f t="shared" ca="1" si="54"/>
        <v>0.14795241605842532</v>
      </c>
    </row>
    <row r="843" spans="5:8" x14ac:dyDescent="0.3">
      <c r="E843" s="1">
        <f t="shared" si="55"/>
        <v>839</v>
      </c>
      <c r="F843" s="1">
        <f t="shared" ca="1" si="52"/>
        <v>1.3596040519505648</v>
      </c>
      <c r="G843" s="1">
        <f t="shared" ca="1" si="53"/>
        <v>1336.3121020594479</v>
      </c>
      <c r="H843" s="1">
        <f t="shared" ca="1" si="54"/>
        <v>0.12771787269993767</v>
      </c>
    </row>
    <row r="844" spans="5:8" x14ac:dyDescent="0.3">
      <c r="E844" s="1">
        <f t="shared" si="55"/>
        <v>840</v>
      </c>
      <c r="F844" s="1">
        <f t="shared" ca="1" si="52"/>
        <v>1.1658631460046964</v>
      </c>
      <c r="G844" s="1">
        <f t="shared" ca="1" si="53"/>
        <v>1759.3695878054946</v>
      </c>
      <c r="H844" s="1">
        <f t="shared" ca="1" si="54"/>
        <v>0.16815154236887075</v>
      </c>
    </row>
    <row r="845" spans="5:8" x14ac:dyDescent="0.3">
      <c r="E845" s="1">
        <f t="shared" si="55"/>
        <v>841</v>
      </c>
      <c r="F845" s="1">
        <f t="shared" ca="1" si="52"/>
        <v>1.0962619946464394</v>
      </c>
      <c r="G845" s="1">
        <f t="shared" ca="1" si="53"/>
        <v>1911.3524019401686</v>
      </c>
      <c r="H845" s="1">
        <f t="shared" ca="1" si="54"/>
        <v>0.18267728203576111</v>
      </c>
    </row>
    <row r="846" spans="5:8" x14ac:dyDescent="0.3">
      <c r="E846" s="1">
        <f t="shared" si="55"/>
        <v>842</v>
      </c>
      <c r="F846" s="1">
        <f t="shared" ca="1" si="52"/>
        <v>1.1866044524184727</v>
      </c>
      <c r="G846" s="1">
        <f t="shared" ca="1" si="53"/>
        <v>1714.0783525877125</v>
      </c>
      <c r="H846" s="1">
        <f t="shared" ca="1" si="54"/>
        <v>0.16382283786559423</v>
      </c>
    </row>
    <row r="847" spans="5:8" x14ac:dyDescent="0.3">
      <c r="E847" s="1">
        <f t="shared" si="55"/>
        <v>843</v>
      </c>
      <c r="F847" s="1">
        <f t="shared" ca="1" si="52"/>
        <v>0.90792730330016536</v>
      </c>
      <c r="G847" s="1">
        <f t="shared" ca="1" si="53"/>
        <v>2322.6047423311766</v>
      </c>
      <c r="H847" s="1">
        <f t="shared" ca="1" si="54"/>
        <v>0.2219826763195237</v>
      </c>
    </row>
    <row r="848" spans="5:8" x14ac:dyDescent="0.3">
      <c r="E848" s="1">
        <f t="shared" si="55"/>
        <v>844</v>
      </c>
      <c r="F848" s="1">
        <f t="shared" ca="1" si="52"/>
        <v>1.2318831226599825</v>
      </c>
      <c r="G848" s="1">
        <f t="shared" ca="1" si="53"/>
        <v>1615.2067162815956</v>
      </c>
      <c r="H848" s="1">
        <f t="shared" ca="1" si="54"/>
        <v>0.15437319280145231</v>
      </c>
    </row>
    <row r="849" spans="5:8" x14ac:dyDescent="0.3">
      <c r="E849" s="1">
        <f t="shared" si="55"/>
        <v>845</v>
      </c>
      <c r="F849" s="1">
        <f t="shared" ca="1" si="52"/>
        <v>1.1860115694005402</v>
      </c>
      <c r="G849" s="1">
        <f t="shared" ca="1" si="53"/>
        <v>1715.3729867677453</v>
      </c>
      <c r="H849" s="1">
        <f t="shared" ca="1" si="54"/>
        <v>0.16394657237577609</v>
      </c>
    </row>
    <row r="850" spans="5:8" x14ac:dyDescent="0.3">
      <c r="E850" s="1">
        <f t="shared" si="55"/>
        <v>846</v>
      </c>
      <c r="F850" s="1">
        <f t="shared" ca="1" si="52"/>
        <v>1.072881365658461</v>
      </c>
      <c r="G850" s="1">
        <f t="shared" ca="1" si="53"/>
        <v>1962.4069279140429</v>
      </c>
      <c r="H850" s="1">
        <f t="shared" ca="1" si="54"/>
        <v>0.18755681237828947</v>
      </c>
    </row>
    <row r="851" spans="5:8" x14ac:dyDescent="0.3">
      <c r="E851" s="1">
        <f t="shared" si="55"/>
        <v>847</v>
      </c>
      <c r="F851" s="1">
        <f t="shared" ca="1" si="52"/>
        <v>1.1576414207144563</v>
      </c>
      <c r="G851" s="1">
        <f t="shared" ca="1" si="53"/>
        <v>1777.3227526923952</v>
      </c>
      <c r="H851" s="1">
        <f t="shared" ca="1" si="54"/>
        <v>0.16986741400099351</v>
      </c>
    </row>
    <row r="852" spans="5:8" x14ac:dyDescent="0.3">
      <c r="E852" s="1">
        <f t="shared" si="55"/>
        <v>848</v>
      </c>
      <c r="F852" s="1">
        <f t="shared" ca="1" si="52"/>
        <v>1.4174207381366981</v>
      </c>
      <c r="G852" s="1">
        <f t="shared" ca="1" si="53"/>
        <v>1210.0621406862524</v>
      </c>
      <c r="H852" s="1">
        <f t="shared" ca="1" si="54"/>
        <v>0.11565154742294298</v>
      </c>
    </row>
    <row r="853" spans="5:8" x14ac:dyDescent="0.3">
      <c r="E853" s="1">
        <f t="shared" si="55"/>
        <v>849</v>
      </c>
      <c r="F853" s="1">
        <f t="shared" ca="1" si="52"/>
        <v>1.3531802582034735</v>
      </c>
      <c r="G853" s="1">
        <f t="shared" ca="1" si="53"/>
        <v>1350.33925868044</v>
      </c>
      <c r="H853" s="1">
        <f t="shared" ca="1" si="54"/>
        <v>0.12905851655170028</v>
      </c>
    </row>
    <row r="854" spans="5:8" x14ac:dyDescent="0.3">
      <c r="E854" s="1">
        <f t="shared" si="55"/>
        <v>850</v>
      </c>
      <c r="F854" s="1">
        <f t="shared" ca="1" si="52"/>
        <v>0.98372744970317427</v>
      </c>
      <c r="G854" s="1">
        <f t="shared" ca="1" si="53"/>
        <v>2157.0856476419058</v>
      </c>
      <c r="H854" s="1">
        <f t="shared" ca="1" si="54"/>
        <v>0.20616320822344508</v>
      </c>
    </row>
    <row r="855" spans="5:8" x14ac:dyDescent="0.3">
      <c r="E855" s="1">
        <f t="shared" si="55"/>
        <v>851</v>
      </c>
      <c r="F855" s="1">
        <f t="shared" ca="1" si="52"/>
        <v>1.210221779076738</v>
      </c>
      <c r="G855" s="1">
        <f t="shared" ca="1" si="53"/>
        <v>1662.5069676635578</v>
      </c>
      <c r="H855" s="1">
        <f t="shared" ca="1" si="54"/>
        <v>0.15889390878940626</v>
      </c>
    </row>
    <row r="856" spans="5:8" x14ac:dyDescent="0.3">
      <c r="E856" s="1">
        <f t="shared" si="55"/>
        <v>852</v>
      </c>
      <c r="F856" s="1">
        <f t="shared" ca="1" si="52"/>
        <v>0.83510223873550116</v>
      </c>
      <c r="G856" s="1">
        <f t="shared" ca="1" si="53"/>
        <v>2481.6273739411913</v>
      </c>
      <c r="H856" s="1">
        <f t="shared" ca="1" si="54"/>
        <v>0.23718124571740334</v>
      </c>
    </row>
    <row r="857" spans="5:8" x14ac:dyDescent="0.3">
      <c r="E857" s="1">
        <f t="shared" si="55"/>
        <v>853</v>
      </c>
      <c r="F857" s="1">
        <f t="shared" ca="1" si="52"/>
        <v>1.3499739709158043</v>
      </c>
      <c r="G857" s="1">
        <f t="shared" ca="1" si="53"/>
        <v>1357.3405877589767</v>
      </c>
      <c r="H857" s="1">
        <f t="shared" ca="1" si="54"/>
        <v>0.1297276677586712</v>
      </c>
    </row>
    <row r="858" spans="5:8" x14ac:dyDescent="0.3">
      <c r="E858" s="1">
        <f t="shared" si="55"/>
        <v>854</v>
      </c>
      <c r="F858" s="1">
        <f t="shared" ca="1" si="52"/>
        <v>0.99298306574193651</v>
      </c>
      <c r="G858" s="1">
        <f t="shared" ca="1" si="53"/>
        <v>2136.8748530692637</v>
      </c>
      <c r="H858" s="1">
        <f t="shared" ca="1" si="54"/>
        <v>0.20423156389842911</v>
      </c>
    </row>
    <row r="859" spans="5:8" x14ac:dyDescent="0.3">
      <c r="E859" s="1">
        <f t="shared" si="55"/>
        <v>855</v>
      </c>
      <c r="F859" s="1">
        <f t="shared" ca="1" si="52"/>
        <v>1.0356657090922978</v>
      </c>
      <c r="G859" s="1">
        <f t="shared" ca="1" si="53"/>
        <v>2043.6719659833311</v>
      </c>
      <c r="H859" s="1">
        <f t="shared" ca="1" si="54"/>
        <v>0.19532370887731348</v>
      </c>
    </row>
    <row r="860" spans="5:8" x14ac:dyDescent="0.3">
      <c r="E860" s="1">
        <f t="shared" si="55"/>
        <v>856</v>
      </c>
      <c r="F860" s="1">
        <f t="shared" ca="1" si="52"/>
        <v>1.411386060817895</v>
      </c>
      <c r="G860" s="1">
        <f t="shared" ca="1" si="53"/>
        <v>1223.2396129465239</v>
      </c>
      <c r="H860" s="1">
        <f t="shared" ca="1" si="54"/>
        <v>0.1169109827914101</v>
      </c>
    </row>
    <row r="861" spans="5:8" x14ac:dyDescent="0.3">
      <c r="E861" s="1">
        <f t="shared" si="55"/>
        <v>857</v>
      </c>
      <c r="F861" s="1">
        <f t="shared" ca="1" si="52"/>
        <v>1.4170445599725896</v>
      </c>
      <c r="G861" s="1">
        <f t="shared" ca="1" si="53"/>
        <v>1210.8835727298538</v>
      </c>
      <c r="H861" s="1">
        <f t="shared" ca="1" si="54"/>
        <v>0.11573005569433754</v>
      </c>
    </row>
    <row r="862" spans="5:8" x14ac:dyDescent="0.3">
      <c r="E862" s="1">
        <f t="shared" si="55"/>
        <v>858</v>
      </c>
      <c r="F862" s="1">
        <f t="shared" ca="1" si="52"/>
        <v>1.3095738575032629</v>
      </c>
      <c r="G862" s="1">
        <f t="shared" ca="1" si="53"/>
        <v>1445.5592854094373</v>
      </c>
      <c r="H862" s="1">
        <f t="shared" ca="1" si="54"/>
        <v>0.13815915945803664</v>
      </c>
    </row>
    <row r="863" spans="5:8" x14ac:dyDescent="0.3">
      <c r="E863" s="1">
        <f t="shared" si="55"/>
        <v>859</v>
      </c>
      <c r="F863" s="1">
        <f t="shared" ca="1" si="52"/>
        <v>1.2380855028990463</v>
      </c>
      <c r="G863" s="1">
        <f t="shared" ca="1" si="53"/>
        <v>1601.66304373207</v>
      </c>
      <c r="H863" s="1">
        <f t="shared" ca="1" si="54"/>
        <v>0.15307875788321418</v>
      </c>
    </row>
    <row r="864" spans="5:8" x14ac:dyDescent="0.3">
      <c r="E864" s="1">
        <f t="shared" si="55"/>
        <v>860</v>
      </c>
      <c r="F864" s="1">
        <f t="shared" ca="1" si="52"/>
        <v>0.90285234218865051</v>
      </c>
      <c r="G864" s="1">
        <f t="shared" ca="1" si="53"/>
        <v>2333.6865542883079</v>
      </c>
      <c r="H864" s="1">
        <f t="shared" ca="1" si="54"/>
        <v>0.22304181919987651</v>
      </c>
    </row>
    <row r="865" spans="5:8" x14ac:dyDescent="0.3">
      <c r="E865" s="1">
        <f t="shared" si="55"/>
        <v>861</v>
      </c>
      <c r="F865" s="1">
        <f t="shared" ca="1" si="52"/>
        <v>1.1745787863925143</v>
      </c>
      <c r="G865" s="1">
        <f t="shared" ca="1" si="53"/>
        <v>1740.3378975636458</v>
      </c>
      <c r="H865" s="1">
        <f t="shared" ca="1" si="54"/>
        <v>0.16633259080222171</v>
      </c>
    </row>
    <row r="866" spans="5:8" x14ac:dyDescent="0.3">
      <c r="E866" s="1">
        <f t="shared" si="55"/>
        <v>862</v>
      </c>
      <c r="F866" s="1">
        <f t="shared" ca="1" si="52"/>
        <v>1.252614518512035</v>
      </c>
      <c r="G866" s="1">
        <f t="shared" ca="1" si="53"/>
        <v>1569.9371220141575</v>
      </c>
      <c r="H866" s="1">
        <f t="shared" ca="1" si="54"/>
        <v>0.15004655662947122</v>
      </c>
    </row>
    <row r="867" spans="5:8" x14ac:dyDescent="0.3">
      <c r="E867" s="1">
        <f t="shared" si="55"/>
        <v>863</v>
      </c>
      <c r="F867" s="1">
        <f t="shared" ca="1" si="52"/>
        <v>1.0256703576752735</v>
      </c>
      <c r="G867" s="1">
        <f t="shared" ca="1" si="53"/>
        <v>2065.4980652213308</v>
      </c>
      <c r="H867" s="1">
        <f t="shared" ca="1" si="54"/>
        <v>0.19740973575660239</v>
      </c>
    </row>
    <row r="868" spans="5:8" x14ac:dyDescent="0.3">
      <c r="E868" s="1">
        <f t="shared" si="55"/>
        <v>864</v>
      </c>
      <c r="F868" s="1">
        <f t="shared" ca="1" si="52"/>
        <v>1.2668865400971372</v>
      </c>
      <c r="G868" s="1">
        <f t="shared" ca="1" si="53"/>
        <v>1538.7723788803887</v>
      </c>
      <c r="H868" s="1">
        <f t="shared" ca="1" si="54"/>
        <v>0.14706798995320547</v>
      </c>
    </row>
    <row r="869" spans="5:8" x14ac:dyDescent="0.3">
      <c r="E869" s="1">
        <f t="shared" si="55"/>
        <v>865</v>
      </c>
      <c r="F869" s="1">
        <f t="shared" ca="1" si="52"/>
        <v>1.0144125999677081</v>
      </c>
      <c r="G869" s="1">
        <f t="shared" ca="1" si="53"/>
        <v>2090.0807863955133</v>
      </c>
      <c r="H869" s="1">
        <f t="shared" ca="1" si="54"/>
        <v>0.19975922645469879</v>
      </c>
    </row>
    <row r="870" spans="5:8" x14ac:dyDescent="0.3">
      <c r="E870" s="1">
        <f t="shared" si="55"/>
        <v>866</v>
      </c>
      <c r="F870" s="1">
        <f t="shared" ca="1" si="52"/>
        <v>1.1649068393462134</v>
      </c>
      <c r="G870" s="1">
        <f t="shared" ca="1" si="53"/>
        <v>1761.4578029326246</v>
      </c>
      <c r="H870" s="1">
        <f t="shared" ca="1" si="54"/>
        <v>0.16835112328515958</v>
      </c>
    </row>
    <row r="871" spans="5:8" x14ac:dyDescent="0.3">
      <c r="E871" s="1">
        <f t="shared" si="55"/>
        <v>867</v>
      </c>
      <c r="F871" s="1">
        <f t="shared" ca="1" si="52"/>
        <v>1.0043752016522807</v>
      </c>
      <c r="G871" s="1">
        <f t="shared" ca="1" si="53"/>
        <v>2111.9987002920384</v>
      </c>
      <c r="H871" s="1">
        <f t="shared" ca="1" si="54"/>
        <v>0.20185402850922665</v>
      </c>
    </row>
    <row r="872" spans="5:8" x14ac:dyDescent="0.3">
      <c r="E872" s="1">
        <f t="shared" si="55"/>
        <v>868</v>
      </c>
      <c r="F872" s="1">
        <f t="shared" ca="1" si="52"/>
        <v>1.1802007379467823</v>
      </c>
      <c r="G872" s="1">
        <f t="shared" ca="1" si="53"/>
        <v>1728.0616636009574</v>
      </c>
      <c r="H872" s="1">
        <f t="shared" ca="1" si="54"/>
        <v>0.16515929117852982</v>
      </c>
    </row>
    <row r="873" spans="5:8" x14ac:dyDescent="0.3">
      <c r="E873" s="1">
        <f t="shared" si="55"/>
        <v>869</v>
      </c>
      <c r="F873" s="1">
        <f t="shared" ca="1" si="52"/>
        <v>1.1072314061422697</v>
      </c>
      <c r="G873" s="1">
        <f t="shared" ca="1" si="53"/>
        <v>1887.3993207625863</v>
      </c>
      <c r="H873" s="1">
        <f t="shared" ca="1" si="54"/>
        <v>0.18038796910662203</v>
      </c>
    </row>
    <row r="874" spans="5:8" x14ac:dyDescent="0.3">
      <c r="E874" s="1">
        <f t="shared" si="55"/>
        <v>870</v>
      </c>
      <c r="F874" s="1">
        <f t="shared" ca="1" si="52"/>
        <v>1.1261001784727001</v>
      </c>
      <c r="G874" s="1">
        <f t="shared" ca="1" si="53"/>
        <v>1846.1969977825502</v>
      </c>
      <c r="H874" s="1">
        <f t="shared" ca="1" si="54"/>
        <v>0.1764500619117414</v>
      </c>
    </row>
    <row r="875" spans="5:8" x14ac:dyDescent="0.3">
      <c r="E875" s="1">
        <f t="shared" si="55"/>
        <v>871</v>
      </c>
      <c r="F875" s="1">
        <f t="shared" ca="1" si="52"/>
        <v>1.3990892577174789</v>
      </c>
      <c r="G875" s="1">
        <f t="shared" ca="1" si="53"/>
        <v>1250.0912196166698</v>
      </c>
      <c r="H875" s="1">
        <f t="shared" ca="1" si="54"/>
        <v>0.11947732195514382</v>
      </c>
    </row>
    <row r="876" spans="5:8" x14ac:dyDescent="0.3">
      <c r="E876" s="1">
        <f t="shared" si="55"/>
        <v>872</v>
      </c>
      <c r="F876" s="1">
        <f t="shared" ca="1" si="52"/>
        <v>0.81814420595521975</v>
      </c>
      <c r="G876" s="1">
        <f t="shared" ca="1" si="53"/>
        <v>2518.657358271033</v>
      </c>
      <c r="H876" s="1">
        <f t="shared" ca="1" si="54"/>
        <v>0.24072038213428587</v>
      </c>
    </row>
    <row r="877" spans="5:8" x14ac:dyDescent="0.3">
      <c r="E877" s="1">
        <f t="shared" si="55"/>
        <v>873</v>
      </c>
      <c r="F877" s="1">
        <f t="shared" ca="1" si="52"/>
        <v>1.1613140439236562</v>
      </c>
      <c r="G877" s="1">
        <f t="shared" ca="1" si="53"/>
        <v>1769.3031208372061</v>
      </c>
      <c r="H877" s="1">
        <f t="shared" ca="1" si="54"/>
        <v>0.16910093862536615</v>
      </c>
    </row>
    <row r="878" spans="5:8" x14ac:dyDescent="0.3">
      <c r="E878" s="1">
        <f t="shared" si="55"/>
        <v>874</v>
      </c>
      <c r="F878" s="1">
        <f t="shared" ca="1" si="52"/>
        <v>1.2291424639891635</v>
      </c>
      <c r="G878" s="1">
        <f t="shared" ca="1" si="53"/>
        <v>1621.1912870716628</v>
      </c>
      <c r="H878" s="1">
        <f t="shared" ca="1" si="54"/>
        <v>0.15494516745404405</v>
      </c>
    </row>
    <row r="879" spans="5:8" x14ac:dyDescent="0.3">
      <c r="E879" s="1">
        <f t="shared" si="55"/>
        <v>875</v>
      </c>
      <c r="F879" s="1">
        <f t="shared" ca="1" si="52"/>
        <v>1.0867645907004222</v>
      </c>
      <c r="G879" s="1">
        <f t="shared" ca="1" si="53"/>
        <v>1932.0911706317904</v>
      </c>
      <c r="H879" s="1">
        <f t="shared" ca="1" si="54"/>
        <v>0.18465938742538376</v>
      </c>
    </row>
    <row r="880" spans="5:8" x14ac:dyDescent="0.3">
      <c r="E880" s="1">
        <f t="shared" si="55"/>
        <v>876</v>
      </c>
      <c r="F880" s="1">
        <f t="shared" ca="1" si="52"/>
        <v>1.2934393335784442</v>
      </c>
      <c r="G880" s="1">
        <f t="shared" ca="1" si="53"/>
        <v>1480.7910352147696</v>
      </c>
      <c r="H880" s="1">
        <f t="shared" ca="1" si="54"/>
        <v>0.14152642982077507</v>
      </c>
    </row>
    <row r="881" spans="5:8" x14ac:dyDescent="0.3">
      <c r="E881" s="1">
        <f t="shared" si="55"/>
        <v>877</v>
      </c>
      <c r="F881" s="1">
        <f t="shared" ca="1" si="52"/>
        <v>1.091373470233612</v>
      </c>
      <c r="G881" s="1">
        <f t="shared" ca="1" si="53"/>
        <v>1922.027106061129</v>
      </c>
      <c r="H881" s="1">
        <f t="shared" ca="1" si="54"/>
        <v>0.18369751563233574</v>
      </c>
    </row>
    <row r="882" spans="5:8" x14ac:dyDescent="0.3">
      <c r="E882" s="1">
        <f t="shared" si="55"/>
        <v>878</v>
      </c>
      <c r="F882" s="1">
        <f t="shared" ca="1" si="52"/>
        <v>1.2303906780865101</v>
      </c>
      <c r="G882" s="1">
        <f t="shared" ca="1" si="53"/>
        <v>1618.4656555633442</v>
      </c>
      <c r="H882" s="1">
        <f t="shared" ca="1" si="54"/>
        <v>0.15468466554175134</v>
      </c>
    </row>
    <row r="883" spans="5:8" x14ac:dyDescent="0.3">
      <c r="E883" s="1">
        <f t="shared" si="55"/>
        <v>879</v>
      </c>
      <c r="F883" s="1">
        <f t="shared" ca="1" si="52"/>
        <v>1.1926658808085673</v>
      </c>
      <c r="G883" s="1">
        <f t="shared" ca="1" si="53"/>
        <v>1700.8424660193921</v>
      </c>
      <c r="H883" s="1">
        <f t="shared" ca="1" si="54"/>
        <v>0.16255781955647444</v>
      </c>
    </row>
    <row r="884" spans="5:8" x14ac:dyDescent="0.3">
      <c r="E884" s="1">
        <f t="shared" si="55"/>
        <v>880</v>
      </c>
      <c r="F884" s="1">
        <f t="shared" ca="1" si="52"/>
        <v>1.1520517668540036</v>
      </c>
      <c r="G884" s="1">
        <f t="shared" ca="1" si="53"/>
        <v>1789.5284606034263</v>
      </c>
      <c r="H884" s="1">
        <f t="shared" ca="1" si="54"/>
        <v>0.1710339731055554</v>
      </c>
    </row>
    <row r="885" spans="5:8" x14ac:dyDescent="0.3">
      <c r="E885" s="1">
        <f t="shared" si="55"/>
        <v>881</v>
      </c>
      <c r="F885" s="1">
        <f t="shared" ca="1" si="52"/>
        <v>1.252816296230908</v>
      </c>
      <c r="G885" s="1">
        <f t="shared" ca="1" si="53"/>
        <v>1569.4965151427834</v>
      </c>
      <c r="H885" s="1">
        <f t="shared" ca="1" si="54"/>
        <v>0.15000444567932558</v>
      </c>
    </row>
    <row r="886" spans="5:8" x14ac:dyDescent="0.3">
      <c r="E886" s="1">
        <f t="shared" si="55"/>
        <v>882</v>
      </c>
      <c r="F886" s="1">
        <f t="shared" ca="1" si="52"/>
        <v>1.1554154504310556</v>
      </c>
      <c r="G886" s="1">
        <f t="shared" ca="1" si="53"/>
        <v>1782.1834370524859</v>
      </c>
      <c r="H886" s="1">
        <f t="shared" ca="1" si="54"/>
        <v>0.17033197333962399</v>
      </c>
    </row>
    <row r="887" spans="5:8" x14ac:dyDescent="0.3">
      <c r="E887" s="1">
        <f t="shared" si="55"/>
        <v>883</v>
      </c>
      <c r="F887" s="1">
        <f t="shared" ca="1" si="52"/>
        <v>1.5336984614344058</v>
      </c>
      <c r="G887" s="1">
        <f t="shared" ca="1" si="53"/>
        <v>956.15519715029552</v>
      </c>
      <c r="H887" s="1">
        <f t="shared" ca="1" si="54"/>
        <v>9.1384421021723741E-2</v>
      </c>
    </row>
    <row r="888" spans="5:8" x14ac:dyDescent="0.3">
      <c r="E888" s="1">
        <f t="shared" si="55"/>
        <v>884</v>
      </c>
      <c r="F888" s="1">
        <f t="shared" ca="1" si="52"/>
        <v>0.99102874242821393</v>
      </c>
      <c r="G888" s="1">
        <f t="shared" ca="1" si="53"/>
        <v>2141.1423623151913</v>
      </c>
      <c r="H888" s="1">
        <f t="shared" ca="1" si="54"/>
        <v>0.20463943059497194</v>
      </c>
    </row>
    <row r="889" spans="5:8" x14ac:dyDescent="0.3">
      <c r="E889" s="1">
        <f t="shared" si="55"/>
        <v>885</v>
      </c>
      <c r="F889" s="1">
        <f t="shared" ca="1" si="52"/>
        <v>1.2139424294294856</v>
      </c>
      <c r="G889" s="1">
        <f t="shared" ca="1" si="53"/>
        <v>1654.3824625370394</v>
      </c>
      <c r="H889" s="1">
        <f t="shared" ca="1" si="54"/>
        <v>0.15811741016315009</v>
      </c>
    </row>
    <row r="890" spans="5:8" x14ac:dyDescent="0.3">
      <c r="E890" s="1">
        <f t="shared" si="55"/>
        <v>886</v>
      </c>
      <c r="F890" s="1">
        <f t="shared" ca="1" si="52"/>
        <v>1.2565108809141676</v>
      </c>
      <c r="G890" s="1">
        <f t="shared" ca="1" si="53"/>
        <v>1561.4289276638006</v>
      </c>
      <c r="H890" s="1">
        <f t="shared" ca="1" si="54"/>
        <v>0.14923338695056873</v>
      </c>
    </row>
    <row r="891" spans="5:8" x14ac:dyDescent="0.3">
      <c r="E891" s="1">
        <f t="shared" si="55"/>
        <v>887</v>
      </c>
      <c r="F891" s="1">
        <f t="shared" ca="1" si="52"/>
        <v>1.1832372100089081</v>
      </c>
      <c r="G891" s="1">
        <f t="shared" ca="1" si="53"/>
        <v>1721.4311472942979</v>
      </c>
      <c r="H891" s="1">
        <f t="shared" ca="1" si="54"/>
        <v>0.16452558035881659</v>
      </c>
    </row>
    <row r="892" spans="5:8" x14ac:dyDescent="0.3">
      <c r="E892" s="1">
        <f t="shared" si="55"/>
        <v>888</v>
      </c>
      <c r="F892" s="1">
        <f t="shared" ca="1" si="52"/>
        <v>1.1022782990271676</v>
      </c>
      <c r="G892" s="1">
        <f t="shared" ca="1" si="53"/>
        <v>1898.2150492868011</v>
      </c>
      <c r="H892" s="1">
        <f t="shared" ca="1" si="54"/>
        <v>0.18142168109402668</v>
      </c>
    </row>
    <row r="893" spans="5:8" x14ac:dyDescent="0.3">
      <c r="E893" s="1">
        <f t="shared" si="55"/>
        <v>889</v>
      </c>
      <c r="F893" s="1">
        <f t="shared" ca="1" si="52"/>
        <v>1.1040143884975637</v>
      </c>
      <c r="G893" s="1">
        <f t="shared" ca="1" si="53"/>
        <v>1894.4240809170074</v>
      </c>
      <c r="H893" s="1">
        <f t="shared" ca="1" si="54"/>
        <v>0.18105935973592729</v>
      </c>
    </row>
    <row r="894" spans="5:8" x14ac:dyDescent="0.3">
      <c r="E894" s="1">
        <f t="shared" si="55"/>
        <v>890</v>
      </c>
      <c r="F894" s="1">
        <f t="shared" ca="1" si="52"/>
        <v>1.1503753338524929</v>
      </c>
      <c r="G894" s="1">
        <f t="shared" ca="1" si="53"/>
        <v>1793.18916161635</v>
      </c>
      <c r="H894" s="1">
        <f t="shared" ca="1" si="54"/>
        <v>0.17138384417627353</v>
      </c>
    </row>
    <row r="895" spans="5:8" x14ac:dyDescent="0.3">
      <c r="E895" s="1">
        <f t="shared" si="55"/>
        <v>891</v>
      </c>
      <c r="F895" s="1">
        <f t="shared" ca="1" si="52"/>
        <v>1.099059610797134</v>
      </c>
      <c r="G895" s="1">
        <f t="shared" ca="1" si="53"/>
        <v>1905.2434573731082</v>
      </c>
      <c r="H895" s="1">
        <f t="shared" ca="1" si="54"/>
        <v>0.18209342037399487</v>
      </c>
    </row>
    <row r="896" spans="5:8" x14ac:dyDescent="0.3">
      <c r="E896" s="1">
        <f t="shared" si="55"/>
        <v>892</v>
      </c>
      <c r="F896" s="1">
        <f t="shared" ca="1" si="52"/>
        <v>1.21514019235143</v>
      </c>
      <c r="G896" s="1">
        <f t="shared" ca="1" si="53"/>
        <v>1651.7669974766086</v>
      </c>
      <c r="H896" s="1">
        <f t="shared" ca="1" si="54"/>
        <v>0.15786743739621606</v>
      </c>
    </row>
    <row r="897" spans="5:8" x14ac:dyDescent="0.3">
      <c r="E897" s="1">
        <f t="shared" si="55"/>
        <v>893</v>
      </c>
      <c r="F897" s="1">
        <f t="shared" ca="1" si="52"/>
        <v>1.2916101364937844</v>
      </c>
      <c r="G897" s="1">
        <f t="shared" ca="1" si="53"/>
        <v>1484.7853156987599</v>
      </c>
      <c r="H897" s="1">
        <f t="shared" ca="1" si="54"/>
        <v>0.14190818271038516</v>
      </c>
    </row>
    <row r="898" spans="5:8" x14ac:dyDescent="0.3">
      <c r="E898" s="1">
        <f t="shared" si="55"/>
        <v>894</v>
      </c>
      <c r="F898" s="1">
        <f t="shared" ca="1" si="52"/>
        <v>1.2928911403567331</v>
      </c>
      <c r="G898" s="1">
        <f t="shared" ca="1" si="53"/>
        <v>1481.9880836385285</v>
      </c>
      <c r="H898" s="1">
        <f t="shared" ca="1" si="54"/>
        <v>0.14164083758372631</v>
      </c>
    </row>
    <row r="899" spans="5:8" x14ac:dyDescent="0.3">
      <c r="E899" s="1">
        <f t="shared" si="55"/>
        <v>895</v>
      </c>
      <c r="F899" s="1">
        <f t="shared" ca="1" si="52"/>
        <v>1.0794418633205849</v>
      </c>
      <c r="G899" s="1">
        <f t="shared" ca="1" si="53"/>
        <v>1948.0812612065877</v>
      </c>
      <c r="H899" s="1">
        <f t="shared" ca="1" si="54"/>
        <v>0.1861876384599625</v>
      </c>
    </row>
    <row r="900" spans="5:8" x14ac:dyDescent="0.3">
      <c r="E900" s="1">
        <f t="shared" si="55"/>
        <v>896</v>
      </c>
      <c r="F900" s="1">
        <f t="shared" ca="1" si="52"/>
        <v>1.0556734735807674</v>
      </c>
      <c r="G900" s="1">
        <f t="shared" ca="1" si="53"/>
        <v>1999.9825112521967</v>
      </c>
      <c r="H900" s="1">
        <f t="shared" ca="1" si="54"/>
        <v>0.19114809435651312</v>
      </c>
    </row>
    <row r="901" spans="5:8" x14ac:dyDescent="0.3">
      <c r="E901" s="1">
        <f t="shared" si="55"/>
        <v>897</v>
      </c>
      <c r="F901" s="1">
        <f t="shared" ref="F901:F964" ca="1" si="56">_xlfn.NORM.INV(RAND(), $C$9, $C$9 * $C$10)</f>
        <v>1.1294838180778923</v>
      </c>
      <c r="G901" s="1">
        <f t="shared" ref="G901:G964" ca="1" si="57">$C$7 - ($C$6 + $C$8 * $C$11) - (($C$6 + $C$8 * $C$11) * (1 - $C$12) * (F901 - $C$13))</f>
        <v>1838.8083977496622</v>
      </c>
      <c r="H901" s="1">
        <f t="shared" ref="H901:H964" ca="1" si="58">G901 / $C$7</f>
        <v>0.17574389732864973</v>
      </c>
    </row>
    <row r="902" spans="5:8" x14ac:dyDescent="0.3">
      <c r="E902" s="1">
        <f t="shared" ref="E902:E965" si="59">ROW()-4</f>
        <v>898</v>
      </c>
      <c r="F902" s="1">
        <f t="shared" ca="1" si="56"/>
        <v>1.0678314317227573</v>
      </c>
      <c r="G902" s="1">
        <f t="shared" ca="1" si="57"/>
        <v>1973.4340899043939</v>
      </c>
      <c r="H902" s="1">
        <f t="shared" ca="1" si="58"/>
        <v>0.18861073209446563</v>
      </c>
    </row>
    <row r="903" spans="5:8" x14ac:dyDescent="0.3">
      <c r="E903" s="1">
        <f t="shared" si="59"/>
        <v>899</v>
      </c>
      <c r="F903" s="1">
        <f t="shared" ca="1" si="56"/>
        <v>1.3707291705847513</v>
      </c>
      <c r="G903" s="1">
        <f t="shared" ca="1" si="57"/>
        <v>1312.0190148818724</v>
      </c>
      <c r="H903" s="1">
        <f t="shared" ca="1" si="58"/>
        <v>0.12539606373715687</v>
      </c>
    </row>
    <row r="904" spans="5:8" x14ac:dyDescent="0.3">
      <c r="E904" s="1">
        <f t="shared" si="59"/>
        <v>900</v>
      </c>
      <c r="F904" s="1">
        <f t="shared" ca="1" si="56"/>
        <v>1.2307545563666618</v>
      </c>
      <c r="G904" s="1">
        <f t="shared" ca="1" si="57"/>
        <v>1617.6710818538481</v>
      </c>
      <c r="H904" s="1">
        <f t="shared" ca="1" si="58"/>
        <v>0.15460872425249433</v>
      </c>
    </row>
    <row r="905" spans="5:8" x14ac:dyDescent="0.3">
      <c r="E905" s="1">
        <f t="shared" si="59"/>
        <v>901</v>
      </c>
      <c r="F905" s="1">
        <f t="shared" ca="1" si="56"/>
        <v>1.0955263481572897</v>
      </c>
      <c r="G905" s="1">
        <f t="shared" ca="1" si="57"/>
        <v>1912.9587780050383</v>
      </c>
      <c r="H905" s="1">
        <f t="shared" ca="1" si="58"/>
        <v>0.18283081124008776</v>
      </c>
    </row>
    <row r="906" spans="5:8" x14ac:dyDescent="0.3">
      <c r="E906" s="1">
        <f t="shared" si="59"/>
        <v>902</v>
      </c>
      <c r="F906" s="1">
        <f t="shared" ca="1" si="56"/>
        <v>1.068675853293545</v>
      </c>
      <c r="G906" s="1">
        <f t="shared" ca="1" si="57"/>
        <v>1971.5901898518828</v>
      </c>
      <c r="H906" s="1">
        <f t="shared" ca="1" si="58"/>
        <v>0.18843450156282929</v>
      </c>
    </row>
    <row r="907" spans="5:8" x14ac:dyDescent="0.3">
      <c r="E907" s="1">
        <f t="shared" si="59"/>
        <v>903</v>
      </c>
      <c r="F907" s="1">
        <f t="shared" ca="1" si="56"/>
        <v>1.2185294021959605</v>
      </c>
      <c r="G907" s="1">
        <f t="shared" ca="1" si="57"/>
        <v>1644.3662341298457</v>
      </c>
      <c r="H907" s="1">
        <f t="shared" ca="1" si="58"/>
        <v>0.15716011030582488</v>
      </c>
    </row>
    <row r="908" spans="5:8" x14ac:dyDescent="0.3">
      <c r="E908" s="1">
        <f t="shared" si="59"/>
        <v>904</v>
      </c>
      <c r="F908" s="1">
        <f t="shared" ca="1" si="56"/>
        <v>1.1390889256460088</v>
      </c>
      <c r="G908" s="1">
        <f t="shared" ca="1" si="57"/>
        <v>1817.8344447362338</v>
      </c>
      <c r="H908" s="1">
        <f t="shared" ca="1" si="58"/>
        <v>0.1737393142250056</v>
      </c>
    </row>
    <row r="909" spans="5:8" x14ac:dyDescent="0.3">
      <c r="E909" s="1">
        <f t="shared" si="59"/>
        <v>905</v>
      </c>
      <c r="F909" s="1">
        <f t="shared" ca="1" si="56"/>
        <v>1.2227891639596686</v>
      </c>
      <c r="G909" s="1">
        <f t="shared" ca="1" si="57"/>
        <v>1635.0645118485684</v>
      </c>
      <c r="H909" s="1">
        <f t="shared" ca="1" si="58"/>
        <v>0.15627109928783028</v>
      </c>
    </row>
    <row r="910" spans="5:8" x14ac:dyDescent="0.3">
      <c r="E910" s="1">
        <f t="shared" si="59"/>
        <v>906</v>
      </c>
      <c r="F910" s="1">
        <f t="shared" ca="1" si="56"/>
        <v>1.2924667579928037</v>
      </c>
      <c r="G910" s="1">
        <f t="shared" ca="1" si="57"/>
        <v>1482.9147755779638</v>
      </c>
      <c r="H910" s="1">
        <f t="shared" ca="1" si="58"/>
        <v>0.14172940605734147</v>
      </c>
    </row>
    <row r="911" spans="5:8" x14ac:dyDescent="0.3">
      <c r="E911" s="1">
        <f t="shared" si="59"/>
        <v>907</v>
      </c>
      <c r="F911" s="1">
        <f t="shared" ca="1" si="56"/>
        <v>1.1827894910073202</v>
      </c>
      <c r="G911" s="1">
        <f t="shared" ca="1" si="57"/>
        <v>1722.4087976991402</v>
      </c>
      <c r="H911" s="1">
        <f t="shared" ca="1" si="58"/>
        <v>0.16461901918179683</v>
      </c>
    </row>
    <row r="912" spans="5:8" x14ac:dyDescent="0.3">
      <c r="E912" s="1">
        <f t="shared" si="59"/>
        <v>908</v>
      </c>
      <c r="F912" s="1">
        <f t="shared" ca="1" si="56"/>
        <v>1.0137287282783338</v>
      </c>
      <c r="G912" s="1">
        <f t="shared" ca="1" si="57"/>
        <v>2091.5741057132232</v>
      </c>
      <c r="H912" s="1">
        <f t="shared" ca="1" si="58"/>
        <v>0.19990195027365221</v>
      </c>
    </row>
    <row r="913" spans="5:8" x14ac:dyDescent="0.3">
      <c r="E913" s="1">
        <f t="shared" si="59"/>
        <v>909</v>
      </c>
      <c r="F913" s="1">
        <f t="shared" ca="1" si="56"/>
        <v>1.2386924794576428</v>
      </c>
      <c r="G913" s="1">
        <f t="shared" ca="1" si="57"/>
        <v>1600.3376345443046</v>
      </c>
      <c r="H913" s="1">
        <f t="shared" ca="1" si="58"/>
        <v>0.15295208205527139</v>
      </c>
    </row>
    <row r="914" spans="5:8" x14ac:dyDescent="0.3">
      <c r="E914" s="1">
        <f t="shared" si="59"/>
        <v>910</v>
      </c>
      <c r="F914" s="1">
        <f t="shared" ca="1" si="56"/>
        <v>1.1375411760419458</v>
      </c>
      <c r="G914" s="1">
        <f t="shared" ca="1" si="57"/>
        <v>1821.2141494654059</v>
      </c>
      <c r="H914" s="1">
        <f t="shared" ca="1" si="58"/>
        <v>0.17406232910880301</v>
      </c>
    </row>
    <row r="915" spans="5:8" x14ac:dyDescent="0.3">
      <c r="E915" s="1">
        <f t="shared" si="59"/>
        <v>911</v>
      </c>
      <c r="F915" s="1">
        <f t="shared" ca="1" si="56"/>
        <v>1.3447671765683158</v>
      </c>
      <c r="G915" s="1">
        <f t="shared" ca="1" si="57"/>
        <v>1368.7102740660112</v>
      </c>
      <c r="H915" s="1">
        <f t="shared" ca="1" si="58"/>
        <v>0.13081432419631187</v>
      </c>
    </row>
    <row r="916" spans="5:8" x14ac:dyDescent="0.3">
      <c r="E916" s="1">
        <f t="shared" si="59"/>
        <v>912</v>
      </c>
      <c r="F916" s="1">
        <f t="shared" ca="1" si="56"/>
        <v>1.0311770076234739</v>
      </c>
      <c r="G916" s="1">
        <f t="shared" ca="1" si="57"/>
        <v>2053.473606728192</v>
      </c>
      <c r="H916" s="1">
        <f t="shared" ca="1" si="58"/>
        <v>0.19626049954393501</v>
      </c>
    </row>
    <row r="917" spans="5:8" x14ac:dyDescent="0.3">
      <c r="E917" s="1">
        <f t="shared" si="59"/>
        <v>913</v>
      </c>
      <c r="F917" s="1">
        <f t="shared" ca="1" si="56"/>
        <v>0.96277278437365921</v>
      </c>
      <c r="G917" s="1">
        <f t="shared" ca="1" si="57"/>
        <v>2202.842778722068</v>
      </c>
      <c r="H917" s="1">
        <f t="shared" ca="1" si="58"/>
        <v>0.21053644066922184</v>
      </c>
    </row>
    <row r="918" spans="5:8" x14ac:dyDescent="0.3">
      <c r="E918" s="1">
        <f t="shared" si="59"/>
        <v>914</v>
      </c>
      <c r="F918" s="1">
        <f t="shared" ca="1" si="56"/>
        <v>1.059151119956359</v>
      </c>
      <c r="G918" s="1">
        <f t="shared" ca="1" si="57"/>
        <v>1992.3886356852954</v>
      </c>
      <c r="H918" s="1">
        <f t="shared" ca="1" si="58"/>
        <v>0.19042231058829165</v>
      </c>
    </row>
    <row r="919" spans="5:8" x14ac:dyDescent="0.3">
      <c r="E919" s="1">
        <f t="shared" si="59"/>
        <v>915</v>
      </c>
      <c r="F919" s="1">
        <f t="shared" ca="1" si="56"/>
        <v>1.3591939445659893</v>
      </c>
      <c r="G919" s="1">
        <f t="shared" ca="1" si="57"/>
        <v>1337.2076227970915</v>
      </c>
      <c r="H919" s="1">
        <f t="shared" ca="1" si="58"/>
        <v>0.12780346198959108</v>
      </c>
    </row>
    <row r="920" spans="5:8" x14ac:dyDescent="0.3">
      <c r="E920" s="1">
        <f t="shared" si="59"/>
        <v>916</v>
      </c>
      <c r="F920" s="1">
        <f t="shared" ca="1" si="56"/>
        <v>1.0984029386132546</v>
      </c>
      <c r="G920" s="1">
        <f t="shared" ca="1" si="57"/>
        <v>1906.6773831706319</v>
      </c>
      <c r="H920" s="1">
        <f t="shared" ca="1" si="58"/>
        <v>0.18223046766421025</v>
      </c>
    </row>
    <row r="921" spans="5:8" x14ac:dyDescent="0.3">
      <c r="E921" s="1">
        <f t="shared" si="59"/>
        <v>917</v>
      </c>
      <c r="F921" s="1">
        <f t="shared" ca="1" si="56"/>
        <v>1.0788759015078664</v>
      </c>
      <c r="G921" s="1">
        <f t="shared" ca="1" si="57"/>
        <v>1949.3171095698851</v>
      </c>
      <c r="H921" s="1">
        <f t="shared" ca="1" si="58"/>
        <v>0.18630575452259249</v>
      </c>
    </row>
    <row r="922" spans="5:8" x14ac:dyDescent="0.3">
      <c r="E922" s="1">
        <f t="shared" si="59"/>
        <v>918</v>
      </c>
      <c r="F922" s="1">
        <f t="shared" ca="1" si="56"/>
        <v>1.0313821240467793</v>
      </c>
      <c r="G922" s="1">
        <f t="shared" ca="1" si="57"/>
        <v>2053.0257093783512</v>
      </c>
      <c r="H922" s="1">
        <f t="shared" ca="1" si="58"/>
        <v>0.19621769180716345</v>
      </c>
    </row>
    <row r="923" spans="5:8" x14ac:dyDescent="0.3">
      <c r="E923" s="1">
        <f t="shared" si="59"/>
        <v>919</v>
      </c>
      <c r="F923" s="1">
        <f t="shared" ca="1" si="56"/>
        <v>1.177203453805767</v>
      </c>
      <c r="G923" s="1">
        <f t="shared" ca="1" si="57"/>
        <v>1734.6066081833819</v>
      </c>
      <c r="H923" s="1">
        <f t="shared" ca="1" si="58"/>
        <v>0.16578482349071796</v>
      </c>
    </row>
    <row r="924" spans="5:8" x14ac:dyDescent="0.3">
      <c r="E924" s="1">
        <f t="shared" si="59"/>
        <v>920</v>
      </c>
      <c r="F924" s="1">
        <f t="shared" ca="1" si="56"/>
        <v>1.0681429377714693</v>
      </c>
      <c r="G924" s="1">
        <f t="shared" ca="1" si="57"/>
        <v>1972.7538775087753</v>
      </c>
      <c r="H924" s="1">
        <f t="shared" ca="1" si="58"/>
        <v>0.18854572087439314</v>
      </c>
    </row>
    <row r="925" spans="5:8" x14ac:dyDescent="0.3">
      <c r="E925" s="1">
        <f t="shared" si="59"/>
        <v>921</v>
      </c>
      <c r="F925" s="1">
        <f t="shared" ca="1" si="56"/>
        <v>1.3329920778167961</v>
      </c>
      <c r="G925" s="1">
        <f t="shared" ca="1" si="57"/>
        <v>1394.4226740772986</v>
      </c>
      <c r="H925" s="1">
        <f t="shared" ca="1" si="58"/>
        <v>0.13327178381700264</v>
      </c>
    </row>
    <row r="926" spans="5:8" x14ac:dyDescent="0.3">
      <c r="E926" s="1">
        <f t="shared" si="59"/>
        <v>922</v>
      </c>
      <c r="F926" s="1">
        <f t="shared" ca="1" si="56"/>
        <v>1.51417743819828</v>
      </c>
      <c r="G926" s="1">
        <f t="shared" ca="1" si="57"/>
        <v>998.78179151428071</v>
      </c>
      <c r="H926" s="1">
        <f t="shared" ca="1" si="58"/>
        <v>9.5458452787372708E-2</v>
      </c>
    </row>
    <row r="927" spans="5:8" x14ac:dyDescent="0.3">
      <c r="E927" s="1">
        <f t="shared" si="59"/>
        <v>923</v>
      </c>
      <c r="F927" s="1">
        <f t="shared" ca="1" si="56"/>
        <v>0.99004485650076701</v>
      </c>
      <c r="G927" s="1">
        <f t="shared" ca="1" si="57"/>
        <v>2143.2908002235126</v>
      </c>
      <c r="H927" s="1">
        <f t="shared" ca="1" si="58"/>
        <v>0.20484476729652229</v>
      </c>
    </row>
    <row r="928" spans="5:8" x14ac:dyDescent="0.3">
      <c r="E928" s="1">
        <f t="shared" si="59"/>
        <v>924</v>
      </c>
      <c r="F928" s="1">
        <f t="shared" ca="1" si="56"/>
        <v>0.87555456575033686</v>
      </c>
      <c r="G928" s="1">
        <f t="shared" ca="1" si="57"/>
        <v>2393.2946613634203</v>
      </c>
      <c r="H928" s="1">
        <f t="shared" ca="1" si="58"/>
        <v>0.228738857054709</v>
      </c>
    </row>
    <row r="929" spans="5:8" x14ac:dyDescent="0.3">
      <c r="E929" s="1">
        <f t="shared" si="59"/>
        <v>925</v>
      </c>
      <c r="F929" s="1">
        <f t="shared" ca="1" si="56"/>
        <v>1.0892837841327987</v>
      </c>
      <c r="G929" s="1">
        <f t="shared" ca="1" si="57"/>
        <v>1926.5901968730172</v>
      </c>
      <c r="H929" s="1">
        <f t="shared" ca="1" si="58"/>
        <v>0.1841336325024388</v>
      </c>
    </row>
    <row r="930" spans="5:8" x14ac:dyDescent="0.3">
      <c r="E930" s="1">
        <f t="shared" si="59"/>
        <v>926</v>
      </c>
      <c r="F930" s="1">
        <f t="shared" ca="1" si="56"/>
        <v>0.90358524313626076</v>
      </c>
      <c r="G930" s="1">
        <f t="shared" ca="1" si="57"/>
        <v>2332.0861734565824</v>
      </c>
      <c r="H930" s="1">
        <f t="shared" ca="1" si="58"/>
        <v>0.2228888629892557</v>
      </c>
    </row>
    <row r="931" spans="5:8" x14ac:dyDescent="0.3">
      <c r="E931" s="1">
        <f t="shared" si="59"/>
        <v>927</v>
      </c>
      <c r="F931" s="1">
        <f t="shared" ca="1" si="56"/>
        <v>1.3736626090943784</v>
      </c>
      <c r="G931" s="1">
        <f t="shared" ca="1" si="57"/>
        <v>1305.6134852162877</v>
      </c>
      <c r="H931" s="1">
        <f t="shared" ca="1" si="58"/>
        <v>0.12478385598932311</v>
      </c>
    </row>
    <row r="932" spans="5:8" x14ac:dyDescent="0.3">
      <c r="E932" s="1">
        <f t="shared" si="59"/>
        <v>928</v>
      </c>
      <c r="F932" s="1">
        <f t="shared" ca="1" si="56"/>
        <v>1.1385462881738826</v>
      </c>
      <c r="G932" s="1">
        <f t="shared" ca="1" si="57"/>
        <v>1819.0193614863056</v>
      </c>
      <c r="H932" s="1">
        <f t="shared" ca="1" si="58"/>
        <v>0.17385256250466458</v>
      </c>
    </row>
    <row r="933" spans="5:8" x14ac:dyDescent="0.3">
      <c r="E933" s="1">
        <f t="shared" si="59"/>
        <v>929</v>
      </c>
      <c r="F933" s="1">
        <f t="shared" ca="1" si="56"/>
        <v>1.2683625916109684</v>
      </c>
      <c r="G933" s="1">
        <f t="shared" ca="1" si="57"/>
        <v>1535.5492358934989</v>
      </c>
      <c r="H933" s="1">
        <f t="shared" ca="1" si="58"/>
        <v>0.14675993843959656</v>
      </c>
    </row>
    <row r="934" spans="5:8" x14ac:dyDescent="0.3">
      <c r="E934" s="1">
        <f t="shared" si="59"/>
        <v>930</v>
      </c>
      <c r="F934" s="1">
        <f t="shared" ca="1" si="56"/>
        <v>1.4221427224169005</v>
      </c>
      <c r="G934" s="1">
        <f t="shared" ca="1" si="57"/>
        <v>1199.7510977623954</v>
      </c>
      <c r="H934" s="1">
        <f t="shared" ca="1" si="58"/>
        <v>0.11466607070270432</v>
      </c>
    </row>
    <row r="935" spans="5:8" x14ac:dyDescent="0.3">
      <c r="E935" s="1">
        <f t="shared" si="59"/>
        <v>931</v>
      </c>
      <c r="F935" s="1">
        <f t="shared" ca="1" si="56"/>
        <v>0.97512393777613782</v>
      </c>
      <c r="G935" s="1">
        <f t="shared" ca="1" si="57"/>
        <v>2175.8724913735809</v>
      </c>
      <c r="H935" s="1">
        <f t="shared" ca="1" si="58"/>
        <v>0.2079587586135507</v>
      </c>
    </row>
    <row r="936" spans="5:8" x14ac:dyDescent="0.3">
      <c r="E936" s="1">
        <f t="shared" si="59"/>
        <v>932</v>
      </c>
      <c r="F936" s="1">
        <f t="shared" ca="1" si="56"/>
        <v>1.2366847127101872</v>
      </c>
      <c r="G936" s="1">
        <f t="shared" ca="1" si="57"/>
        <v>1604.7218442082174</v>
      </c>
      <c r="H936" s="1">
        <f t="shared" ca="1" si="58"/>
        <v>0.15337110238059995</v>
      </c>
    </row>
    <row r="937" spans="5:8" x14ac:dyDescent="0.3">
      <c r="E937" s="1">
        <f t="shared" si="59"/>
        <v>933</v>
      </c>
      <c r="F937" s="1">
        <f t="shared" ca="1" si="56"/>
        <v>1.2787028207720554</v>
      </c>
      <c r="G937" s="1">
        <f t="shared" ca="1" si="57"/>
        <v>1512.9700529916204</v>
      </c>
      <c r="H937" s="1">
        <f t="shared" ca="1" si="58"/>
        <v>0.14460193567730292</v>
      </c>
    </row>
    <row r="938" spans="5:8" x14ac:dyDescent="0.3">
      <c r="E938" s="1">
        <f t="shared" si="59"/>
        <v>934</v>
      </c>
      <c r="F938" s="1">
        <f t="shared" ca="1" si="56"/>
        <v>1.1493296075177557</v>
      </c>
      <c r="G938" s="1">
        <f t="shared" ca="1" si="57"/>
        <v>1795.4726357840404</v>
      </c>
      <c r="H938" s="1">
        <f t="shared" ca="1" si="58"/>
        <v>0.17160208695250315</v>
      </c>
    </row>
    <row r="939" spans="5:8" x14ac:dyDescent="0.3">
      <c r="E939" s="1">
        <f t="shared" si="59"/>
        <v>935</v>
      </c>
      <c r="F939" s="1">
        <f t="shared" ca="1" si="56"/>
        <v>1.4383152425978991</v>
      </c>
      <c r="G939" s="1">
        <f t="shared" ca="1" si="57"/>
        <v>1164.4363783821623</v>
      </c>
      <c r="H939" s="1">
        <f t="shared" ca="1" si="58"/>
        <v>0.11129087053255876</v>
      </c>
    </row>
    <row r="940" spans="5:8" x14ac:dyDescent="0.3">
      <c r="E940" s="1">
        <f t="shared" si="59"/>
        <v>936</v>
      </c>
      <c r="F940" s="1">
        <f t="shared" ca="1" si="56"/>
        <v>1.2314572400971362</v>
      </c>
      <c r="G940" s="1">
        <f t="shared" ca="1" si="57"/>
        <v>1616.1366840928908</v>
      </c>
      <c r="H940" s="1">
        <f t="shared" ca="1" si="58"/>
        <v>0.15446207436613693</v>
      </c>
    </row>
    <row r="941" spans="5:8" x14ac:dyDescent="0.3">
      <c r="E941" s="1">
        <f t="shared" si="59"/>
        <v>937</v>
      </c>
      <c r="F941" s="1">
        <f t="shared" ca="1" si="56"/>
        <v>1.2072376122633177</v>
      </c>
      <c r="G941" s="1">
        <f t="shared" ca="1" si="57"/>
        <v>1669.0232689215127</v>
      </c>
      <c r="H941" s="1">
        <f t="shared" ca="1" si="58"/>
        <v>0.15951670351921177</v>
      </c>
    </row>
    <row r="942" spans="5:8" x14ac:dyDescent="0.3">
      <c r="E942" s="1">
        <f t="shared" si="59"/>
        <v>938</v>
      </c>
      <c r="F942" s="1">
        <f t="shared" ca="1" si="56"/>
        <v>1.3247525386749024</v>
      </c>
      <c r="G942" s="1">
        <f t="shared" ca="1" si="57"/>
        <v>1412.4147377360161</v>
      </c>
      <c r="H942" s="1">
        <f t="shared" ca="1" si="58"/>
        <v>0.13499137319468757</v>
      </c>
    </row>
    <row r="943" spans="5:8" x14ac:dyDescent="0.3">
      <c r="E943" s="1">
        <f t="shared" si="59"/>
        <v>939</v>
      </c>
      <c r="F943" s="1">
        <f t="shared" ca="1" si="56"/>
        <v>1.1465076354833543</v>
      </c>
      <c r="G943" s="1">
        <f t="shared" ca="1" si="57"/>
        <v>1801.6347644676603</v>
      </c>
      <c r="H943" s="1">
        <f t="shared" ca="1" si="58"/>
        <v>0.17219103167998281</v>
      </c>
    </row>
    <row r="944" spans="5:8" x14ac:dyDescent="0.3">
      <c r="E944" s="1">
        <f t="shared" si="59"/>
        <v>940</v>
      </c>
      <c r="F944" s="1">
        <f t="shared" ca="1" si="56"/>
        <v>1.1775427783619714</v>
      </c>
      <c r="G944" s="1">
        <f t="shared" ca="1" si="57"/>
        <v>1733.8656505993401</v>
      </c>
      <c r="H944" s="1">
        <f t="shared" ca="1" si="58"/>
        <v>0.16571400655637392</v>
      </c>
    </row>
    <row r="945" spans="5:8" x14ac:dyDescent="0.3">
      <c r="E945" s="1">
        <f t="shared" si="59"/>
        <v>941</v>
      </c>
      <c r="F945" s="1">
        <f t="shared" ca="1" si="56"/>
        <v>1.1690641430297202</v>
      </c>
      <c r="G945" s="1">
        <f t="shared" ca="1" si="57"/>
        <v>1752.3798106767272</v>
      </c>
      <c r="H945" s="1">
        <f t="shared" ca="1" si="58"/>
        <v>0.16748349523814654</v>
      </c>
    </row>
    <row r="946" spans="5:8" x14ac:dyDescent="0.3">
      <c r="E946" s="1">
        <f t="shared" si="59"/>
        <v>942</v>
      </c>
      <c r="F946" s="1">
        <f t="shared" ca="1" si="56"/>
        <v>1.1848379441765879</v>
      </c>
      <c r="G946" s="1">
        <f t="shared" ca="1" si="57"/>
        <v>1717.9357441473981</v>
      </c>
      <c r="H946" s="1">
        <f t="shared" ca="1" si="58"/>
        <v>0.16419150761229073</v>
      </c>
    </row>
    <row r="947" spans="5:8" x14ac:dyDescent="0.3">
      <c r="E947" s="1">
        <f t="shared" si="59"/>
        <v>943</v>
      </c>
      <c r="F947" s="1">
        <f t="shared" ca="1" si="56"/>
        <v>1.2398058417734219</v>
      </c>
      <c r="G947" s="1">
        <f t="shared" ca="1" si="57"/>
        <v>1597.9064687575114</v>
      </c>
      <c r="H947" s="1">
        <f t="shared" ca="1" si="58"/>
        <v>0.15271972366983766</v>
      </c>
    </row>
    <row r="948" spans="5:8" x14ac:dyDescent="0.3">
      <c r="E948" s="1">
        <f t="shared" si="59"/>
        <v>944</v>
      </c>
      <c r="F948" s="1">
        <f t="shared" ca="1" si="56"/>
        <v>1.0076297297082504</v>
      </c>
      <c r="G948" s="1">
        <f t="shared" ca="1" si="57"/>
        <v>2104.8920314658217</v>
      </c>
      <c r="H948" s="1">
        <f t="shared" ca="1" si="58"/>
        <v>0.20117480946820432</v>
      </c>
    </row>
    <row r="949" spans="5:8" x14ac:dyDescent="0.3">
      <c r="E949" s="1">
        <f t="shared" si="59"/>
        <v>945</v>
      </c>
      <c r="F949" s="1">
        <f t="shared" ca="1" si="56"/>
        <v>1.1639893382552742</v>
      </c>
      <c r="G949" s="1">
        <f t="shared" ca="1" si="57"/>
        <v>1763.4612812523269</v>
      </c>
      <c r="H949" s="1">
        <f t="shared" ca="1" si="58"/>
        <v>0.16854260549099942</v>
      </c>
    </row>
    <row r="950" spans="5:8" x14ac:dyDescent="0.3">
      <c r="E950" s="1">
        <f t="shared" si="59"/>
        <v>946</v>
      </c>
      <c r="F950" s="1">
        <f t="shared" ca="1" si="56"/>
        <v>0.9141588240391203</v>
      </c>
      <c r="G950" s="1">
        <f t="shared" ca="1" si="57"/>
        <v>2308.9974378575757</v>
      </c>
      <c r="H950" s="1">
        <f t="shared" ca="1" si="58"/>
        <v>0.22068215978759206</v>
      </c>
    </row>
    <row r="951" spans="5:8" x14ac:dyDescent="0.3">
      <c r="E951" s="1">
        <f t="shared" si="59"/>
        <v>947</v>
      </c>
      <c r="F951" s="1">
        <f t="shared" ca="1" si="56"/>
        <v>1.2364635882562005</v>
      </c>
      <c r="G951" s="1">
        <f t="shared" ca="1" si="57"/>
        <v>1605.2046970940539</v>
      </c>
      <c r="H951" s="1">
        <f t="shared" ca="1" si="58"/>
        <v>0.15341725098863174</v>
      </c>
    </row>
    <row r="952" spans="5:8" x14ac:dyDescent="0.3">
      <c r="E952" s="1">
        <f t="shared" si="59"/>
        <v>948</v>
      </c>
      <c r="F952" s="1">
        <f t="shared" ca="1" si="56"/>
        <v>1.2131077221047906</v>
      </c>
      <c r="G952" s="1">
        <f t="shared" ca="1" si="57"/>
        <v>1656.2051503189266</v>
      </c>
      <c r="H952" s="1">
        <f t="shared" ca="1" si="58"/>
        <v>0.15829161333450509</v>
      </c>
    </row>
    <row r="953" spans="5:8" x14ac:dyDescent="0.3">
      <c r="E953" s="1">
        <f t="shared" si="59"/>
        <v>949</v>
      </c>
      <c r="F953" s="1">
        <f t="shared" ca="1" si="56"/>
        <v>1.0215711986755323</v>
      </c>
      <c r="G953" s="1">
        <f t="shared" ca="1" si="57"/>
        <v>2074.4490912921406</v>
      </c>
      <c r="H953" s="1">
        <f t="shared" ca="1" si="58"/>
        <v>0.19826522902534077</v>
      </c>
    </row>
    <row r="954" spans="5:8" x14ac:dyDescent="0.3">
      <c r="E954" s="1">
        <f t="shared" si="59"/>
        <v>950</v>
      </c>
      <c r="F954" s="1">
        <f t="shared" ca="1" si="56"/>
        <v>1.2036102412890268</v>
      </c>
      <c r="G954" s="1">
        <f t="shared" ca="1" si="57"/>
        <v>1676.9440868652487</v>
      </c>
      <c r="H954" s="1">
        <f t="shared" ca="1" si="58"/>
        <v>0.16027373476682105</v>
      </c>
    </row>
    <row r="955" spans="5:8" x14ac:dyDescent="0.3">
      <c r="E955" s="1">
        <f t="shared" si="59"/>
        <v>951</v>
      </c>
      <c r="F955" s="1">
        <f t="shared" ca="1" si="56"/>
        <v>1.2650128654046127</v>
      </c>
      <c r="G955" s="1">
        <f t="shared" ca="1" si="57"/>
        <v>1542.8637817808526</v>
      </c>
      <c r="H955" s="1">
        <f t="shared" ca="1" si="58"/>
        <v>0.14745902530639898</v>
      </c>
    </row>
    <row r="956" spans="5:8" x14ac:dyDescent="0.3">
      <c r="E956" s="1">
        <f t="shared" si="59"/>
        <v>952</v>
      </c>
      <c r="F956" s="1">
        <f t="shared" ca="1" si="56"/>
        <v>1.3265447097449696</v>
      </c>
      <c r="G956" s="1">
        <f t="shared" ca="1" si="57"/>
        <v>1408.5013081831405</v>
      </c>
      <c r="H956" s="1">
        <f t="shared" ca="1" si="58"/>
        <v>0.13461734762335281</v>
      </c>
    </row>
    <row r="957" spans="5:8" x14ac:dyDescent="0.3">
      <c r="E957" s="1">
        <f t="shared" si="59"/>
        <v>953</v>
      </c>
      <c r="F957" s="1">
        <f t="shared" ca="1" si="56"/>
        <v>1.0598194704204025</v>
      </c>
      <c r="G957" s="1">
        <f t="shared" ca="1" si="57"/>
        <v>1990.9292089032485</v>
      </c>
      <c r="H957" s="1">
        <f t="shared" ca="1" si="58"/>
        <v>0.19028282604446609</v>
      </c>
    </row>
    <row r="958" spans="5:8" x14ac:dyDescent="0.3">
      <c r="E958" s="1">
        <f t="shared" si="59"/>
        <v>954</v>
      </c>
      <c r="F958" s="1">
        <f t="shared" ca="1" si="56"/>
        <v>1.4844544901622139</v>
      </c>
      <c r="G958" s="1">
        <f t="shared" ca="1" si="57"/>
        <v>1063.6855639195355</v>
      </c>
      <c r="H958" s="1">
        <f t="shared" ca="1" si="58"/>
        <v>0.10166162323612114</v>
      </c>
    </row>
    <row r="959" spans="5:8" x14ac:dyDescent="0.3">
      <c r="E959" s="1">
        <f t="shared" si="59"/>
        <v>955</v>
      </c>
      <c r="F959" s="1">
        <f t="shared" ca="1" si="56"/>
        <v>1.2275065467694595</v>
      </c>
      <c r="G959" s="1">
        <f t="shared" ca="1" si="57"/>
        <v>1624.7635168105389</v>
      </c>
      <c r="H959" s="1">
        <f t="shared" ca="1" si="58"/>
        <v>0.15528658289310321</v>
      </c>
    </row>
    <row r="960" spans="5:8" x14ac:dyDescent="0.3">
      <c r="E960" s="1">
        <f t="shared" si="59"/>
        <v>956</v>
      </c>
      <c r="F960" s="1">
        <f t="shared" ca="1" si="56"/>
        <v>1.2738692558459068</v>
      </c>
      <c r="G960" s="1">
        <f t="shared" ca="1" si="57"/>
        <v>1523.5247462034815</v>
      </c>
      <c r="H960" s="1">
        <f t="shared" ca="1" si="58"/>
        <v>0.14561069924529116</v>
      </c>
    </row>
    <row r="961" spans="5:8" x14ac:dyDescent="0.3">
      <c r="E961" s="1">
        <f t="shared" si="59"/>
        <v>957</v>
      </c>
      <c r="F961" s="1">
        <f t="shared" ca="1" si="56"/>
        <v>1.1690906506791938</v>
      </c>
      <c r="G961" s="1">
        <f t="shared" ca="1" si="57"/>
        <v>1752.3219279106452</v>
      </c>
      <c r="H961" s="1">
        <f t="shared" ca="1" si="58"/>
        <v>0.16747796309955512</v>
      </c>
    </row>
    <row r="962" spans="5:8" x14ac:dyDescent="0.3">
      <c r="E962" s="1">
        <f t="shared" si="59"/>
        <v>958</v>
      </c>
      <c r="F962" s="1">
        <f t="shared" ca="1" si="56"/>
        <v>1.2651361318310654</v>
      </c>
      <c r="G962" s="1">
        <f t="shared" ca="1" si="57"/>
        <v>1542.5946141303896</v>
      </c>
      <c r="H962" s="1">
        <f t="shared" ca="1" si="58"/>
        <v>0.14743329963971993</v>
      </c>
    </row>
    <row r="963" spans="5:8" x14ac:dyDescent="0.3">
      <c r="E963" s="1">
        <f t="shared" si="59"/>
        <v>959</v>
      </c>
      <c r="F963" s="1">
        <f t="shared" ca="1" si="56"/>
        <v>1.1608797703477469</v>
      </c>
      <c r="G963" s="1">
        <f t="shared" ca="1" si="57"/>
        <v>1770.251411474401</v>
      </c>
      <c r="H963" s="1">
        <f t="shared" ca="1" si="58"/>
        <v>0.16919157139199092</v>
      </c>
    </row>
    <row r="964" spans="5:8" x14ac:dyDescent="0.3">
      <c r="E964" s="1">
        <f t="shared" si="59"/>
        <v>960</v>
      </c>
      <c r="F964" s="1">
        <f t="shared" ca="1" si="56"/>
        <v>1.1125896177949943</v>
      </c>
      <c r="G964" s="1">
        <f t="shared" ca="1" si="57"/>
        <v>1875.6989958424053</v>
      </c>
      <c r="H964" s="1">
        <f t="shared" ca="1" si="58"/>
        <v>0.17926971192224078</v>
      </c>
    </row>
    <row r="965" spans="5:8" x14ac:dyDescent="0.3">
      <c r="E965" s="1">
        <f t="shared" si="59"/>
        <v>961</v>
      </c>
      <c r="F965" s="1">
        <f t="shared" ref="F965:F1004" ca="1" si="60">_xlfn.NORM.INV(RAND(), $C$9, $C$9 * $C$10)</f>
        <v>1.4290804659165068</v>
      </c>
      <c r="G965" s="1">
        <f t="shared" ref="G965:G1004" ca="1" si="61">$C$7 - ($C$6 + $C$8 * $C$11) - (($C$6 + $C$8 * $C$11) * (1 - $C$12) * (F965 - $C$13))</f>
        <v>1184.6016676130675</v>
      </c>
      <c r="H965" s="1">
        <f t="shared" ref="H965:H1004" ca="1" si="62">G965 / $C$7</f>
        <v>0.11321816568986597</v>
      </c>
    </row>
    <row r="966" spans="5:8" x14ac:dyDescent="0.3">
      <c r="E966" s="1">
        <f t="shared" ref="E966:E1004" si="63">ROW()-4</f>
        <v>962</v>
      </c>
      <c r="F966" s="1">
        <f t="shared" ca="1" si="60"/>
        <v>1.0891361557992409</v>
      </c>
      <c r="G966" s="1">
        <f t="shared" ca="1" si="61"/>
        <v>1926.9125617928823</v>
      </c>
      <c r="H966" s="1">
        <f t="shared" ca="1" si="62"/>
        <v>0.18416444249191269</v>
      </c>
    </row>
    <row r="967" spans="5:8" x14ac:dyDescent="0.3">
      <c r="E967" s="1">
        <f t="shared" si="63"/>
        <v>963</v>
      </c>
      <c r="F967" s="1">
        <f t="shared" ca="1" si="60"/>
        <v>1.28407927238732</v>
      </c>
      <c r="G967" s="1">
        <f t="shared" ca="1" si="61"/>
        <v>1501.2298988332382</v>
      </c>
      <c r="H967" s="1">
        <f t="shared" ca="1" si="62"/>
        <v>0.14347987181814376</v>
      </c>
    </row>
    <row r="968" spans="5:8" x14ac:dyDescent="0.3">
      <c r="E968" s="1">
        <f t="shared" si="63"/>
        <v>964</v>
      </c>
      <c r="F968" s="1">
        <f t="shared" ca="1" si="60"/>
        <v>1.3378636929895555</v>
      </c>
      <c r="G968" s="1">
        <f t="shared" ca="1" si="61"/>
        <v>1383.7848933956816</v>
      </c>
      <c r="H968" s="1">
        <f t="shared" ca="1" si="62"/>
        <v>0.13225507917382029</v>
      </c>
    </row>
    <row r="969" spans="5:8" x14ac:dyDescent="0.3">
      <c r="E969" s="1">
        <f t="shared" si="63"/>
        <v>965</v>
      </c>
      <c r="F969" s="1">
        <f t="shared" ca="1" si="60"/>
        <v>1.5039557676392328</v>
      </c>
      <c r="G969" s="1">
        <f t="shared" ca="1" si="61"/>
        <v>1021.1020868887801</v>
      </c>
      <c r="H969" s="1">
        <f t="shared" ca="1" si="62"/>
        <v>9.7591712404547462E-2</v>
      </c>
    </row>
    <row r="970" spans="5:8" x14ac:dyDescent="0.3">
      <c r="E970" s="1">
        <f t="shared" si="63"/>
        <v>966</v>
      </c>
      <c r="F970" s="1">
        <f t="shared" ca="1" si="60"/>
        <v>1.1082623503813687</v>
      </c>
      <c r="G970" s="1">
        <f t="shared" ca="1" si="61"/>
        <v>1885.1481251484838</v>
      </c>
      <c r="H970" s="1">
        <f t="shared" ca="1" si="62"/>
        <v>0.18017281134937244</v>
      </c>
    </row>
    <row r="971" spans="5:8" x14ac:dyDescent="0.3">
      <c r="E971" s="1">
        <f t="shared" si="63"/>
        <v>967</v>
      </c>
      <c r="F971" s="1">
        <f t="shared" ca="1" si="60"/>
        <v>1.1856985539611715</v>
      </c>
      <c r="G971" s="1">
        <f t="shared" ca="1" si="61"/>
        <v>1716.0564951065367</v>
      </c>
      <c r="H971" s="1">
        <f t="shared" ca="1" si="62"/>
        <v>0.16401189860523144</v>
      </c>
    </row>
    <row r="972" spans="5:8" x14ac:dyDescent="0.3">
      <c r="E972" s="1">
        <f t="shared" si="63"/>
        <v>968</v>
      </c>
      <c r="F972" s="1">
        <f t="shared" ca="1" si="60"/>
        <v>1.3261688767679163</v>
      </c>
      <c r="G972" s="1">
        <f t="shared" ca="1" si="61"/>
        <v>1409.3219864676587</v>
      </c>
      <c r="H972" s="1">
        <f t="shared" ca="1" si="62"/>
        <v>0.13469578385431125</v>
      </c>
    </row>
    <row r="973" spans="5:8" x14ac:dyDescent="0.3">
      <c r="E973" s="1">
        <f t="shared" si="63"/>
        <v>969</v>
      </c>
      <c r="F973" s="1">
        <f t="shared" ca="1" si="60"/>
        <v>1.0287494453884438</v>
      </c>
      <c r="G973" s="1">
        <f t="shared" ca="1" si="61"/>
        <v>2058.7744923136593</v>
      </c>
      <c r="H973" s="1">
        <f t="shared" ca="1" si="62"/>
        <v>0.19676713106314242</v>
      </c>
    </row>
    <row r="974" spans="5:8" x14ac:dyDescent="0.3">
      <c r="E974" s="1">
        <f t="shared" si="63"/>
        <v>970</v>
      </c>
      <c r="F974" s="1">
        <f t="shared" ca="1" si="60"/>
        <v>1.3787357947153227</v>
      </c>
      <c r="G974" s="1">
        <f t="shared" ca="1" si="61"/>
        <v>1294.5355502647533</v>
      </c>
      <c r="H974" s="1">
        <f t="shared" ca="1" si="62"/>
        <v>0.12372508365332632</v>
      </c>
    </row>
    <row r="975" spans="5:8" x14ac:dyDescent="0.3">
      <c r="E975" s="1">
        <f t="shared" si="63"/>
        <v>971</v>
      </c>
      <c r="F975" s="1">
        <f t="shared" ca="1" si="60"/>
        <v>1.2652779924384485</v>
      </c>
      <c r="G975" s="1">
        <f t="shared" ca="1" si="61"/>
        <v>1542.2848437615928</v>
      </c>
      <c r="H975" s="1">
        <f t="shared" ca="1" si="62"/>
        <v>0.14740369337298986</v>
      </c>
    </row>
    <row r="976" spans="5:8" x14ac:dyDescent="0.3">
      <c r="E976" s="1">
        <f t="shared" si="63"/>
        <v>972</v>
      </c>
      <c r="F976" s="1">
        <f t="shared" ca="1" si="60"/>
        <v>1.2121913718547841</v>
      </c>
      <c r="G976" s="1">
        <f t="shared" ca="1" si="61"/>
        <v>1658.2061156335969</v>
      </c>
      <c r="H976" s="1">
        <f t="shared" ca="1" si="62"/>
        <v>0.15848285536018322</v>
      </c>
    </row>
    <row r="977" spans="5:8" x14ac:dyDescent="0.3">
      <c r="E977" s="1">
        <f t="shared" si="63"/>
        <v>973</v>
      </c>
      <c r="F977" s="1">
        <f t="shared" ca="1" si="60"/>
        <v>1.2277408907758982</v>
      </c>
      <c r="G977" s="1">
        <f t="shared" ca="1" si="61"/>
        <v>1624.2517973794791</v>
      </c>
      <c r="H977" s="1">
        <f t="shared" ca="1" si="62"/>
        <v>0.15523767536839139</v>
      </c>
    </row>
    <row r="978" spans="5:8" x14ac:dyDescent="0.3">
      <c r="E978" s="1">
        <f t="shared" si="63"/>
        <v>974</v>
      </c>
      <c r="F978" s="1">
        <f t="shared" ca="1" si="60"/>
        <v>1.3931474418087548</v>
      </c>
      <c r="G978" s="1">
        <f t="shared" ca="1" si="61"/>
        <v>1263.0659173803576</v>
      </c>
      <c r="H978" s="1">
        <f t="shared" ca="1" si="62"/>
        <v>0.12071737717484064</v>
      </c>
    </row>
    <row r="979" spans="5:8" x14ac:dyDescent="0.3">
      <c r="E979" s="1">
        <f t="shared" si="63"/>
        <v>975</v>
      </c>
      <c r="F979" s="1">
        <f t="shared" ca="1" si="60"/>
        <v>1.2408276153515081</v>
      </c>
      <c r="G979" s="1">
        <f t="shared" ca="1" si="61"/>
        <v>1595.6752984280629</v>
      </c>
      <c r="H979" s="1">
        <f t="shared" ca="1" si="62"/>
        <v>0.15250647982682433</v>
      </c>
    </row>
    <row r="980" spans="5:8" x14ac:dyDescent="0.3">
      <c r="E980" s="1">
        <f t="shared" si="63"/>
        <v>976</v>
      </c>
      <c r="F980" s="1">
        <f t="shared" ca="1" si="60"/>
        <v>1.3363826883416714</v>
      </c>
      <c r="G980" s="1">
        <f t="shared" ca="1" si="61"/>
        <v>1387.0188521699176</v>
      </c>
      <c r="H980" s="1">
        <f t="shared" ca="1" si="62"/>
        <v>0.13256416440503849</v>
      </c>
    </row>
    <row r="981" spans="5:8" x14ac:dyDescent="0.3">
      <c r="E981" s="1">
        <f t="shared" si="63"/>
        <v>977</v>
      </c>
      <c r="F981" s="1">
        <f t="shared" ca="1" si="60"/>
        <v>1.1792632575949851</v>
      </c>
      <c r="G981" s="1">
        <f t="shared" ca="1" si="61"/>
        <v>1730.1087691341506</v>
      </c>
      <c r="H981" s="1">
        <f t="shared" ca="1" si="62"/>
        <v>0.16535494305019122</v>
      </c>
    </row>
    <row r="982" spans="5:8" x14ac:dyDescent="0.3">
      <c r="E982" s="1">
        <f t="shared" si="63"/>
        <v>978</v>
      </c>
      <c r="F982" s="1">
        <f t="shared" ca="1" si="60"/>
        <v>0.99995132842737067</v>
      </c>
      <c r="G982" s="1">
        <f t="shared" ca="1" si="61"/>
        <v>2121.6587804627825</v>
      </c>
      <c r="H982" s="1">
        <f t="shared" ca="1" si="62"/>
        <v>0.20277728954055074</v>
      </c>
    </row>
    <row r="983" spans="5:8" x14ac:dyDescent="0.3">
      <c r="E983" s="1">
        <f t="shared" si="63"/>
        <v>979</v>
      </c>
      <c r="F983" s="1">
        <f t="shared" ca="1" si="60"/>
        <v>1.5198830851039684</v>
      </c>
      <c r="G983" s="1">
        <f t="shared" ca="1" si="61"/>
        <v>986.32279828984679</v>
      </c>
      <c r="H983" s="1">
        <f t="shared" ca="1" si="62"/>
        <v>9.42676859686368E-2</v>
      </c>
    </row>
    <row r="984" spans="5:8" x14ac:dyDescent="0.3">
      <c r="E984" s="1">
        <f t="shared" si="63"/>
        <v>980</v>
      </c>
      <c r="F984" s="1">
        <f t="shared" ca="1" si="60"/>
        <v>1.2277859929376898</v>
      </c>
      <c r="G984" s="1">
        <f t="shared" ca="1" si="61"/>
        <v>1624.1533111714371</v>
      </c>
      <c r="H984" s="1">
        <f t="shared" ca="1" si="62"/>
        <v>0.15522826256058847</v>
      </c>
    </row>
    <row r="985" spans="5:8" x14ac:dyDescent="0.3">
      <c r="E985" s="1">
        <f t="shared" si="63"/>
        <v>981</v>
      </c>
      <c r="F985" s="1">
        <f t="shared" ca="1" si="60"/>
        <v>1.2900234422000865</v>
      </c>
      <c r="G985" s="1">
        <f t="shared" ca="1" si="61"/>
        <v>1488.250061025836</v>
      </c>
      <c r="H985" s="1">
        <f t="shared" ca="1" si="62"/>
        <v>0.14223932533937073</v>
      </c>
    </row>
    <row r="986" spans="5:8" x14ac:dyDescent="0.3">
      <c r="E986" s="1">
        <f t="shared" si="63"/>
        <v>982</v>
      </c>
      <c r="F986" s="1">
        <f t="shared" ca="1" si="60"/>
        <v>1.233419935022164</v>
      </c>
      <c r="G986" s="1">
        <f t="shared" ca="1" si="61"/>
        <v>1611.8508943872271</v>
      </c>
      <c r="H986" s="1">
        <f t="shared" ca="1" si="62"/>
        <v>0.15405246051679508</v>
      </c>
    </row>
    <row r="987" spans="5:8" x14ac:dyDescent="0.3">
      <c r="E987" s="1">
        <f t="shared" si="63"/>
        <v>983</v>
      </c>
      <c r="F987" s="1">
        <f t="shared" ca="1" si="60"/>
        <v>1.0741606837229927</v>
      </c>
      <c r="G987" s="1">
        <f t="shared" ca="1" si="61"/>
        <v>1959.61337700538</v>
      </c>
      <c r="H987" s="1">
        <f t="shared" ca="1" si="62"/>
        <v>0.18728981907726083</v>
      </c>
    </row>
    <row r="988" spans="5:8" x14ac:dyDescent="0.3">
      <c r="E988" s="1">
        <f t="shared" si="63"/>
        <v>984</v>
      </c>
      <c r="F988" s="1">
        <f t="shared" ca="1" si="60"/>
        <v>1.2009325175381924</v>
      </c>
      <c r="G988" s="1">
        <f t="shared" ca="1" si="61"/>
        <v>1682.7912313906645</v>
      </c>
      <c r="H988" s="1">
        <f t="shared" ca="1" si="62"/>
        <v>0.16083257492025849</v>
      </c>
    </row>
    <row r="989" spans="5:8" x14ac:dyDescent="0.3">
      <c r="E989" s="1">
        <f t="shared" si="63"/>
        <v>985</v>
      </c>
      <c r="F989" s="1">
        <f t="shared" ca="1" si="60"/>
        <v>1.4410596204765309</v>
      </c>
      <c r="G989" s="1">
        <f t="shared" ca="1" si="61"/>
        <v>1158.443686236935</v>
      </c>
      <c r="H989" s="1">
        <f t="shared" ca="1" si="62"/>
        <v>0.11071811968239846</v>
      </c>
    </row>
    <row r="990" spans="5:8" x14ac:dyDescent="0.3">
      <c r="E990" s="1">
        <f t="shared" si="63"/>
        <v>986</v>
      </c>
      <c r="F990" s="1">
        <f t="shared" ca="1" si="60"/>
        <v>1.1306574412508488</v>
      </c>
      <c r="G990" s="1">
        <f t="shared" ca="1" si="61"/>
        <v>1836.2456448486153</v>
      </c>
      <c r="H990" s="1">
        <f t="shared" ca="1" si="62"/>
        <v>0.17549896252017733</v>
      </c>
    </row>
    <row r="991" spans="5:8" x14ac:dyDescent="0.3">
      <c r="E991" s="1">
        <f t="shared" si="63"/>
        <v>987</v>
      </c>
      <c r="F991" s="1">
        <f t="shared" ca="1" si="60"/>
        <v>1.2667298034897012</v>
      </c>
      <c r="G991" s="1">
        <f t="shared" ca="1" si="61"/>
        <v>1539.1146328548011</v>
      </c>
      <c r="H991" s="1">
        <f t="shared" ca="1" si="62"/>
        <v>0.1471007008367391</v>
      </c>
    </row>
    <row r="992" spans="5:8" x14ac:dyDescent="0.3">
      <c r="E992" s="1">
        <f t="shared" si="63"/>
        <v>988</v>
      </c>
      <c r="F992" s="1">
        <f t="shared" ca="1" si="60"/>
        <v>1.2454810218457537</v>
      </c>
      <c r="G992" s="1">
        <f t="shared" ca="1" si="61"/>
        <v>1585.5140036720659</v>
      </c>
      <c r="H992" s="1">
        <f t="shared" ca="1" si="62"/>
        <v>0.15153531527019648</v>
      </c>
    </row>
    <row r="993" spans="5:8" x14ac:dyDescent="0.3">
      <c r="E993" s="1">
        <f t="shared" si="63"/>
        <v>989</v>
      </c>
      <c r="F993" s="1">
        <f t="shared" ca="1" si="60"/>
        <v>1.0088630099341787</v>
      </c>
      <c r="G993" s="1">
        <f t="shared" ca="1" si="61"/>
        <v>2102.1990099324789</v>
      </c>
      <c r="H993" s="1">
        <f t="shared" ca="1" si="62"/>
        <v>0.20091742425045198</v>
      </c>
    </row>
    <row r="994" spans="5:8" x14ac:dyDescent="0.3">
      <c r="E994" s="1">
        <f t="shared" si="63"/>
        <v>990</v>
      </c>
      <c r="F994" s="1">
        <f t="shared" ca="1" si="60"/>
        <v>1.1454613590305358</v>
      </c>
      <c r="G994" s="1">
        <f t="shared" ca="1" si="61"/>
        <v>1803.9194398869461</v>
      </c>
      <c r="H994" s="1">
        <f t="shared" ca="1" si="62"/>
        <v>0.17240938926569302</v>
      </c>
    </row>
    <row r="995" spans="5:8" x14ac:dyDescent="0.3">
      <c r="E995" s="1">
        <f t="shared" si="63"/>
        <v>991</v>
      </c>
      <c r="F995" s="1">
        <f t="shared" ca="1" si="60"/>
        <v>0.84209985048892144</v>
      </c>
      <c r="G995" s="1">
        <f t="shared" ca="1" si="61"/>
        <v>2466.3472139761288</v>
      </c>
      <c r="H995" s="1">
        <f t="shared" ca="1" si="62"/>
        <v>0.2357208462177319</v>
      </c>
    </row>
    <row r="996" spans="5:8" x14ac:dyDescent="0.3">
      <c r="E996" s="1">
        <f t="shared" si="63"/>
        <v>992</v>
      </c>
      <c r="F996" s="1">
        <f t="shared" ca="1" si="60"/>
        <v>1.3967510139994537</v>
      </c>
      <c r="G996" s="1">
        <f t="shared" ca="1" si="61"/>
        <v>1255.1970670554429</v>
      </c>
      <c r="H996" s="1">
        <f t="shared" ca="1" si="62"/>
        <v>0.11996531272631586</v>
      </c>
    </row>
    <row r="997" spans="5:8" x14ac:dyDescent="0.3">
      <c r="E997" s="1">
        <f t="shared" si="63"/>
        <v>993</v>
      </c>
      <c r="F997" s="1">
        <f t="shared" ca="1" si="60"/>
        <v>1.0423748427751935</v>
      </c>
      <c r="G997" s="1">
        <f t="shared" ca="1" si="61"/>
        <v>2029.0217339450178</v>
      </c>
      <c r="H997" s="1">
        <f t="shared" ca="1" si="62"/>
        <v>0.1939235146654896</v>
      </c>
    </row>
    <row r="998" spans="5:8" x14ac:dyDescent="0.3">
      <c r="E998" s="1">
        <f t="shared" si="63"/>
        <v>994</v>
      </c>
      <c r="F998" s="1">
        <f t="shared" ca="1" si="60"/>
        <v>1.4214782093760765</v>
      </c>
      <c r="G998" s="1">
        <f t="shared" ca="1" si="61"/>
        <v>1201.2021450511647</v>
      </c>
      <c r="H998" s="1">
        <f t="shared" ca="1" si="62"/>
        <v>0.11480475437744096</v>
      </c>
    </row>
    <row r="999" spans="5:8" x14ac:dyDescent="0.3">
      <c r="E999" s="1">
        <f t="shared" si="63"/>
        <v>995</v>
      </c>
      <c r="F999" s="1">
        <f t="shared" ca="1" si="60"/>
        <v>1.1248225853385605</v>
      </c>
      <c r="G999" s="1">
        <f t="shared" ca="1" si="61"/>
        <v>1848.9867820900856</v>
      </c>
      <c r="H999" s="1">
        <f t="shared" ca="1" si="62"/>
        <v>0.17671669522030828</v>
      </c>
    </row>
    <row r="1000" spans="5:8" x14ac:dyDescent="0.3">
      <c r="E1000" s="1">
        <f t="shared" si="63"/>
        <v>996</v>
      </c>
      <c r="F1000" s="1">
        <f t="shared" ca="1" si="60"/>
        <v>1.2387556779206661</v>
      </c>
      <c r="G1000" s="1">
        <f t="shared" ca="1" si="61"/>
        <v>1600.1996328004852</v>
      </c>
      <c r="H1000" s="1">
        <f t="shared" ca="1" si="62"/>
        <v>0.15293889255476301</v>
      </c>
    </row>
    <row r="1001" spans="5:8" x14ac:dyDescent="0.3">
      <c r="E1001" s="1">
        <f t="shared" si="63"/>
        <v>997</v>
      </c>
      <c r="F1001" s="1">
        <f t="shared" ca="1" si="60"/>
        <v>1.2354653853764617</v>
      </c>
      <c r="G1001" s="1">
        <f t="shared" ca="1" si="61"/>
        <v>1607.3843978573238</v>
      </c>
      <c r="H1001" s="1">
        <f t="shared" ca="1" si="62"/>
        <v>0.15362557563388357</v>
      </c>
    </row>
    <row r="1002" spans="5:8" x14ac:dyDescent="0.3">
      <c r="E1002" s="1">
        <f t="shared" si="63"/>
        <v>998</v>
      </c>
      <c r="F1002" s="1">
        <f t="shared" ca="1" si="60"/>
        <v>1.0533296089580275</v>
      </c>
      <c r="G1002" s="1">
        <f t="shared" ca="1" si="61"/>
        <v>2005.100632639027</v>
      </c>
      <c r="H1002" s="1">
        <f t="shared" ca="1" si="62"/>
        <v>0.19163725820883371</v>
      </c>
    </row>
    <row r="1003" spans="5:8" x14ac:dyDescent="0.3">
      <c r="E1003" s="1">
        <f t="shared" si="63"/>
        <v>999</v>
      </c>
      <c r="F1003" s="1">
        <f t="shared" ca="1" si="60"/>
        <v>1.291952205344284</v>
      </c>
      <c r="G1003" s="1">
        <f t="shared" ca="1" si="61"/>
        <v>1484.0383656050876</v>
      </c>
      <c r="H1003" s="1">
        <f t="shared" ca="1" si="62"/>
        <v>0.14183679304263477</v>
      </c>
    </row>
    <row r="1004" spans="5:8" x14ac:dyDescent="0.3">
      <c r="E1004" s="1">
        <f t="shared" si="63"/>
        <v>1000</v>
      </c>
      <c r="F1004" s="1">
        <f t="shared" ca="1" si="60"/>
        <v>1.1405713210206587</v>
      </c>
      <c r="G1004" s="1">
        <f t="shared" ca="1" si="61"/>
        <v>1814.597449136264</v>
      </c>
      <c r="H1004" s="1">
        <f t="shared" ca="1" si="62"/>
        <v>0.17342993874952348</v>
      </c>
    </row>
  </sheetData>
  <mergeCells count="2">
    <mergeCell ref="B3:C3"/>
    <mergeCell ref="B5:C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1E739F7-3701-49C3-92C7-218DC772545F}">
          <x14:formula1>
            <xm:f>Assumptions!$B$4:$B$9</xm:f>
          </x14:formula1>
          <xm:sqref>B3:C3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16748-85D0-4A24-962D-4A0A81EFE80D}">
  <sheetPr codeName="Sheet5"/>
  <dimension ref="B3:G9"/>
  <sheetViews>
    <sheetView showGridLines="0" topLeftCell="B1" workbookViewId="0">
      <selection activeCell="B3" sqref="B3"/>
    </sheetView>
  </sheetViews>
  <sheetFormatPr defaultRowHeight="14.4" x14ac:dyDescent="0.3"/>
  <cols>
    <col min="2" max="2" width="18.21875" bestFit="1" customWidth="1"/>
    <col min="3" max="3" width="15.44140625" bestFit="1" customWidth="1"/>
    <col min="4" max="4" width="11.77734375" bestFit="1" customWidth="1"/>
    <col min="5" max="5" width="15.44140625" bestFit="1" customWidth="1"/>
    <col min="6" max="6" width="14.88671875" bestFit="1" customWidth="1"/>
    <col min="7" max="7" width="19.77734375" bestFit="1" customWidth="1"/>
  </cols>
  <sheetData>
    <row r="3" spans="2:7" x14ac:dyDescent="0.3">
      <c r="B3" s="3" t="s">
        <v>12</v>
      </c>
      <c r="C3" s="3" t="s">
        <v>13</v>
      </c>
      <c r="D3" s="3" t="s">
        <v>4</v>
      </c>
      <c r="E3" s="3" t="s">
        <v>11</v>
      </c>
      <c r="F3" s="3" t="s">
        <v>25</v>
      </c>
      <c r="G3" s="3" t="s">
        <v>10</v>
      </c>
    </row>
    <row r="4" spans="2:7" x14ac:dyDescent="0.3">
      <c r="B4" s="3" t="s">
        <v>18</v>
      </c>
      <c r="C4" s="3">
        <v>0.06</v>
      </c>
      <c r="D4" s="3">
        <f>D6-0.03</f>
        <v>1.1499999999999999</v>
      </c>
      <c r="E4" s="5">
        <v>0.4</v>
      </c>
      <c r="F4" s="5">
        <v>1.1599999999999999</v>
      </c>
      <c r="G4" s="5">
        <v>1.75</v>
      </c>
    </row>
    <row r="5" spans="2:7" x14ac:dyDescent="0.3">
      <c r="B5" s="3" t="s">
        <v>19</v>
      </c>
      <c r="C5" s="3">
        <v>0.1</v>
      </c>
      <c r="D5" s="3">
        <f>D6-0.015</f>
        <v>1.165</v>
      </c>
      <c r="E5" s="5">
        <v>0.6</v>
      </c>
      <c r="F5" s="5">
        <v>1.17</v>
      </c>
      <c r="G5" s="5">
        <v>2</v>
      </c>
    </row>
    <row r="6" spans="2:7" x14ac:dyDescent="0.3">
      <c r="B6" s="3" t="s">
        <v>14</v>
      </c>
      <c r="C6" s="3">
        <v>0.12</v>
      </c>
      <c r="D6" s="3">
        <v>1.18</v>
      </c>
      <c r="E6" s="5">
        <v>0.75</v>
      </c>
      <c r="F6" s="5">
        <v>1.18</v>
      </c>
      <c r="G6" s="5">
        <v>2.25</v>
      </c>
    </row>
    <row r="7" spans="2:7" x14ac:dyDescent="0.3">
      <c r="B7" s="3" t="s">
        <v>16</v>
      </c>
      <c r="C7" s="3">
        <v>0.15</v>
      </c>
      <c r="D7" s="3">
        <f>D6+0.03</f>
        <v>1.21</v>
      </c>
      <c r="E7" s="5">
        <v>0.85</v>
      </c>
      <c r="F7" s="5">
        <v>1.22</v>
      </c>
      <c r="G7" s="5">
        <v>2.6</v>
      </c>
    </row>
    <row r="8" spans="2:7" x14ac:dyDescent="0.3">
      <c r="B8" s="3" t="s">
        <v>15</v>
      </c>
      <c r="C8" s="3">
        <v>0.28000000000000003</v>
      </c>
      <c r="D8" s="3">
        <f>D6+0.05</f>
        <v>1.23</v>
      </c>
      <c r="E8" s="5">
        <v>0.9</v>
      </c>
      <c r="F8" s="5">
        <v>1.25</v>
      </c>
      <c r="G8" s="5">
        <v>3.2</v>
      </c>
    </row>
    <row r="9" spans="2:7" x14ac:dyDescent="0.3">
      <c r="B9" s="3" t="s">
        <v>17</v>
      </c>
      <c r="C9" s="3">
        <v>0.35</v>
      </c>
      <c r="D9" s="3">
        <f>D6+0.08</f>
        <v>1.26</v>
      </c>
      <c r="E9" s="5">
        <v>0.95</v>
      </c>
      <c r="F9" s="5">
        <v>1.3</v>
      </c>
      <c r="G9" s="5">
        <v>3.5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</vt:lpstr>
      <vt:lpstr>Assumptions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Rajas Koranne</dc:creator>
  <cp:lastModifiedBy>Rajas Koranne</cp:lastModifiedBy>
  <dcterms:created xsi:type="dcterms:W3CDTF">2026-02-03T18:50:25Z</dcterms:created>
  <dcterms:modified xsi:type="dcterms:W3CDTF">2026-02-05T03:29:26Z</dcterms:modified>
</cp:coreProperties>
</file>