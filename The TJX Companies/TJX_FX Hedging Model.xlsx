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54d43c501d0a7b/Documents/"/>
    </mc:Choice>
  </mc:AlternateContent>
  <xr:revisionPtr revIDLastSave="104" documentId="8_{FBCB9CE1-89E4-4C5F-A390-C28A5E6D4436}" xr6:coauthVersionLast="47" xr6:coauthVersionMax="47" xr10:uidLastSave="{0755B862-18B2-49CC-931F-1E54059F1888}"/>
  <bookViews>
    <workbookView xWindow="-108" yWindow="-108" windowWidth="23256" windowHeight="12456" xr2:uid="{263B7C2A-C62A-4B5A-BD2D-ACB6B925FB26}"/>
  </bookViews>
  <sheets>
    <sheet name="TJX_Terminal" sheetId="15" r:id="rId1"/>
    <sheet name="Assumption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04" i="15" l="1"/>
  <c r="E1003" i="15"/>
  <c r="E1002" i="15"/>
  <c r="E1001" i="15"/>
  <c r="E1000" i="15"/>
  <c r="E999" i="15"/>
  <c r="E998" i="15"/>
  <c r="E997" i="15"/>
  <c r="E996" i="15"/>
  <c r="E995" i="15"/>
  <c r="E994" i="15"/>
  <c r="E993" i="15"/>
  <c r="E992" i="15"/>
  <c r="E991" i="15"/>
  <c r="E990" i="15"/>
  <c r="E989" i="15"/>
  <c r="E988" i="15"/>
  <c r="E987" i="15"/>
  <c r="E986" i="15"/>
  <c r="E985" i="15"/>
  <c r="E984" i="15"/>
  <c r="E983" i="15"/>
  <c r="E982" i="15"/>
  <c r="E981" i="15"/>
  <c r="E980" i="15"/>
  <c r="E979" i="15"/>
  <c r="E978" i="15"/>
  <c r="E977" i="15"/>
  <c r="E976" i="15"/>
  <c r="E975" i="15"/>
  <c r="E974" i="15"/>
  <c r="E973" i="15"/>
  <c r="E972" i="15"/>
  <c r="E971" i="15"/>
  <c r="E970" i="15"/>
  <c r="E969" i="15"/>
  <c r="E968" i="15"/>
  <c r="E967" i="15"/>
  <c r="E966" i="15"/>
  <c r="E965" i="15"/>
  <c r="E964" i="15"/>
  <c r="E963" i="15"/>
  <c r="E962" i="15"/>
  <c r="E961" i="15"/>
  <c r="E960" i="15"/>
  <c r="E959" i="15"/>
  <c r="E958" i="15"/>
  <c r="E957" i="15"/>
  <c r="E956" i="15"/>
  <c r="E955" i="15"/>
  <c r="E954" i="15"/>
  <c r="E953" i="15"/>
  <c r="E952" i="15"/>
  <c r="E951" i="15"/>
  <c r="E950" i="15"/>
  <c r="E949" i="15"/>
  <c r="E948" i="15"/>
  <c r="E947" i="15"/>
  <c r="E946" i="15"/>
  <c r="E945" i="15"/>
  <c r="E944" i="15"/>
  <c r="E943" i="15"/>
  <c r="E942" i="15"/>
  <c r="E941" i="15"/>
  <c r="E940" i="15"/>
  <c r="E939" i="15"/>
  <c r="E938" i="15"/>
  <c r="E937" i="15"/>
  <c r="E936" i="15"/>
  <c r="E935" i="15"/>
  <c r="E934" i="15"/>
  <c r="E933" i="15"/>
  <c r="E932" i="15"/>
  <c r="E931" i="15"/>
  <c r="E930" i="15"/>
  <c r="E929" i="15"/>
  <c r="E928" i="15"/>
  <c r="E927" i="15"/>
  <c r="E926" i="15"/>
  <c r="E925" i="15"/>
  <c r="E924" i="15"/>
  <c r="E923" i="15"/>
  <c r="E922" i="15"/>
  <c r="E921" i="15"/>
  <c r="E920" i="15"/>
  <c r="E919" i="15"/>
  <c r="E918" i="15"/>
  <c r="E917" i="15"/>
  <c r="E916" i="15"/>
  <c r="E915" i="15"/>
  <c r="E914" i="15"/>
  <c r="E913" i="15"/>
  <c r="E912" i="15"/>
  <c r="E911" i="15"/>
  <c r="E910" i="15"/>
  <c r="E909" i="15"/>
  <c r="E908" i="15"/>
  <c r="E907" i="15"/>
  <c r="E906" i="15"/>
  <c r="E905" i="15"/>
  <c r="E904" i="15"/>
  <c r="E903" i="15"/>
  <c r="E902" i="15"/>
  <c r="E901" i="15"/>
  <c r="E900" i="15"/>
  <c r="E899" i="15"/>
  <c r="E898" i="15"/>
  <c r="E897" i="15"/>
  <c r="E896" i="15"/>
  <c r="E895" i="15"/>
  <c r="E894" i="15"/>
  <c r="E893" i="15"/>
  <c r="E892" i="15"/>
  <c r="E891" i="15"/>
  <c r="E890" i="15"/>
  <c r="E889" i="15"/>
  <c r="E888" i="15"/>
  <c r="E887" i="15"/>
  <c r="E886" i="15"/>
  <c r="E885" i="15"/>
  <c r="E884" i="15"/>
  <c r="E883" i="15"/>
  <c r="E882" i="15"/>
  <c r="E881" i="15"/>
  <c r="E880" i="15"/>
  <c r="E879" i="15"/>
  <c r="E878" i="15"/>
  <c r="E877" i="15"/>
  <c r="E876" i="15"/>
  <c r="E875" i="15"/>
  <c r="E874" i="15"/>
  <c r="E873" i="15"/>
  <c r="E872" i="15"/>
  <c r="E871" i="15"/>
  <c r="E870" i="15"/>
  <c r="E869" i="15"/>
  <c r="E868" i="15"/>
  <c r="E867" i="15"/>
  <c r="E866" i="15"/>
  <c r="E865" i="15"/>
  <c r="E864" i="15"/>
  <c r="E863" i="15"/>
  <c r="E862" i="15"/>
  <c r="E861" i="15"/>
  <c r="E860" i="15"/>
  <c r="E859" i="15"/>
  <c r="E858" i="15"/>
  <c r="E857" i="15"/>
  <c r="E856" i="15"/>
  <c r="E855" i="15"/>
  <c r="E854" i="15"/>
  <c r="E853" i="15"/>
  <c r="E852" i="15"/>
  <c r="E851" i="15"/>
  <c r="E850" i="15"/>
  <c r="E849" i="15"/>
  <c r="E848" i="15"/>
  <c r="E847" i="15"/>
  <c r="E846" i="15"/>
  <c r="E845" i="15"/>
  <c r="E844" i="15"/>
  <c r="E843" i="15"/>
  <c r="E842" i="15"/>
  <c r="E841" i="15"/>
  <c r="E840" i="15"/>
  <c r="E839" i="15"/>
  <c r="E838" i="15"/>
  <c r="E837" i="15"/>
  <c r="E836" i="15"/>
  <c r="E835" i="15"/>
  <c r="E834" i="15"/>
  <c r="E833" i="15"/>
  <c r="E832" i="15"/>
  <c r="E831" i="15"/>
  <c r="E830" i="15"/>
  <c r="E829" i="15"/>
  <c r="E828" i="15"/>
  <c r="E827" i="15"/>
  <c r="E826" i="15"/>
  <c r="E825" i="15"/>
  <c r="E824" i="15"/>
  <c r="E823" i="15"/>
  <c r="E822" i="15"/>
  <c r="E821" i="15"/>
  <c r="E820" i="15"/>
  <c r="E819" i="15"/>
  <c r="E818" i="15"/>
  <c r="E817" i="15"/>
  <c r="E816" i="15"/>
  <c r="E815" i="15"/>
  <c r="E814" i="15"/>
  <c r="E813" i="15"/>
  <c r="E812" i="15"/>
  <c r="E811" i="15"/>
  <c r="E810" i="15"/>
  <c r="E809" i="15"/>
  <c r="E808" i="15"/>
  <c r="E807" i="15"/>
  <c r="E806" i="15"/>
  <c r="E805" i="15"/>
  <c r="E804" i="15"/>
  <c r="E803" i="15"/>
  <c r="E802" i="15"/>
  <c r="E801" i="15"/>
  <c r="E800" i="15"/>
  <c r="E799" i="15"/>
  <c r="E798" i="15"/>
  <c r="E797" i="15"/>
  <c r="E796" i="15"/>
  <c r="E795" i="15"/>
  <c r="E794" i="15"/>
  <c r="E793" i="15"/>
  <c r="E792" i="15"/>
  <c r="E791" i="15"/>
  <c r="E790" i="15"/>
  <c r="E789" i="15"/>
  <c r="E788" i="15"/>
  <c r="E787" i="15"/>
  <c r="E786" i="15"/>
  <c r="E785" i="15"/>
  <c r="E784" i="15"/>
  <c r="E783" i="15"/>
  <c r="E782" i="15"/>
  <c r="E781" i="15"/>
  <c r="E780" i="15"/>
  <c r="E779" i="15"/>
  <c r="E778" i="15"/>
  <c r="E777" i="15"/>
  <c r="E776" i="15"/>
  <c r="E775" i="15"/>
  <c r="E774" i="15"/>
  <c r="E773" i="15"/>
  <c r="E772" i="15"/>
  <c r="E771" i="15"/>
  <c r="E770" i="15"/>
  <c r="E769" i="15"/>
  <c r="E768" i="15"/>
  <c r="E767" i="15"/>
  <c r="E766" i="15"/>
  <c r="E765" i="15"/>
  <c r="E764" i="15"/>
  <c r="E763" i="15"/>
  <c r="E762" i="15"/>
  <c r="E761" i="15"/>
  <c r="E760" i="15"/>
  <c r="E759" i="15"/>
  <c r="E758" i="15"/>
  <c r="E757" i="15"/>
  <c r="E756" i="15"/>
  <c r="E755" i="15"/>
  <c r="E754" i="15"/>
  <c r="E753" i="15"/>
  <c r="E752" i="15"/>
  <c r="E751" i="15"/>
  <c r="E750" i="15"/>
  <c r="E749" i="15"/>
  <c r="E748" i="15"/>
  <c r="E747" i="15"/>
  <c r="E746" i="15"/>
  <c r="E745" i="15"/>
  <c r="E744" i="15"/>
  <c r="E743" i="15"/>
  <c r="E742" i="15"/>
  <c r="E741" i="15"/>
  <c r="E740" i="15"/>
  <c r="E739" i="15"/>
  <c r="E738" i="15"/>
  <c r="E737" i="15"/>
  <c r="E736" i="15"/>
  <c r="E735" i="15"/>
  <c r="E734" i="15"/>
  <c r="E733" i="15"/>
  <c r="E732" i="15"/>
  <c r="E731" i="15"/>
  <c r="E730" i="15"/>
  <c r="E729" i="15"/>
  <c r="E728" i="15"/>
  <c r="E727" i="15"/>
  <c r="E726" i="15"/>
  <c r="E725" i="15"/>
  <c r="E724" i="15"/>
  <c r="E723" i="15"/>
  <c r="E722" i="15"/>
  <c r="E721" i="15"/>
  <c r="E720" i="15"/>
  <c r="E719" i="15"/>
  <c r="E718" i="15"/>
  <c r="E717" i="15"/>
  <c r="E716" i="15"/>
  <c r="E715" i="15"/>
  <c r="E714" i="15"/>
  <c r="E713" i="15"/>
  <c r="E712" i="15"/>
  <c r="E711" i="15"/>
  <c r="E710" i="15"/>
  <c r="E709" i="15"/>
  <c r="E708" i="15"/>
  <c r="E707" i="15"/>
  <c r="E706" i="15"/>
  <c r="E705" i="15"/>
  <c r="E704" i="15"/>
  <c r="E703" i="15"/>
  <c r="E702" i="15"/>
  <c r="E701" i="15"/>
  <c r="E700" i="15"/>
  <c r="E699" i="15"/>
  <c r="E698" i="15"/>
  <c r="E697" i="15"/>
  <c r="E696" i="15"/>
  <c r="E695" i="15"/>
  <c r="E694" i="15"/>
  <c r="E693" i="15"/>
  <c r="E692" i="15"/>
  <c r="E691" i="15"/>
  <c r="E690" i="15"/>
  <c r="E689" i="15"/>
  <c r="E688" i="15"/>
  <c r="E687" i="15"/>
  <c r="E686" i="15"/>
  <c r="E685" i="15"/>
  <c r="E684" i="15"/>
  <c r="E683" i="15"/>
  <c r="E682" i="15"/>
  <c r="E681" i="15"/>
  <c r="E680" i="15"/>
  <c r="E679" i="15"/>
  <c r="E678" i="15"/>
  <c r="E677" i="15"/>
  <c r="E676" i="15"/>
  <c r="E675" i="15"/>
  <c r="E674" i="15"/>
  <c r="E673" i="15"/>
  <c r="E672" i="15"/>
  <c r="E671" i="15"/>
  <c r="E670" i="15"/>
  <c r="E669" i="15"/>
  <c r="E668" i="15"/>
  <c r="E667" i="15"/>
  <c r="E666" i="15"/>
  <c r="E665" i="15"/>
  <c r="E664" i="15"/>
  <c r="E663" i="15"/>
  <c r="E662" i="15"/>
  <c r="E661" i="15"/>
  <c r="E660" i="15"/>
  <c r="E659" i="15"/>
  <c r="E658" i="15"/>
  <c r="E657" i="15"/>
  <c r="E656" i="15"/>
  <c r="E655" i="15"/>
  <c r="E654" i="15"/>
  <c r="E653" i="15"/>
  <c r="E652" i="15"/>
  <c r="E651" i="15"/>
  <c r="E650" i="15"/>
  <c r="E649" i="15"/>
  <c r="E648" i="15"/>
  <c r="E647" i="15"/>
  <c r="E646" i="15"/>
  <c r="E645" i="15"/>
  <c r="E644" i="15"/>
  <c r="E643" i="15"/>
  <c r="E642" i="15"/>
  <c r="E641" i="15"/>
  <c r="E640" i="15"/>
  <c r="E639" i="15"/>
  <c r="E638" i="15"/>
  <c r="E637" i="15"/>
  <c r="E636" i="15"/>
  <c r="E635" i="15"/>
  <c r="E634" i="15"/>
  <c r="E633" i="15"/>
  <c r="E632" i="15"/>
  <c r="E631" i="15"/>
  <c r="E630" i="15"/>
  <c r="E629" i="15"/>
  <c r="E628" i="15"/>
  <c r="E627" i="15"/>
  <c r="E626" i="15"/>
  <c r="E625" i="15"/>
  <c r="E624" i="15"/>
  <c r="E623" i="15"/>
  <c r="E622" i="15"/>
  <c r="E621" i="15"/>
  <c r="E620" i="15"/>
  <c r="E619" i="15"/>
  <c r="E618" i="15"/>
  <c r="E617" i="15"/>
  <c r="E616" i="15"/>
  <c r="E615" i="15"/>
  <c r="E614" i="15"/>
  <c r="E613" i="15"/>
  <c r="E612" i="15"/>
  <c r="E611" i="15"/>
  <c r="E610" i="15"/>
  <c r="E609" i="15"/>
  <c r="E608" i="15"/>
  <c r="E607" i="15"/>
  <c r="E606" i="15"/>
  <c r="E605" i="15"/>
  <c r="E604" i="15"/>
  <c r="E603" i="15"/>
  <c r="E602" i="15"/>
  <c r="E601" i="15"/>
  <c r="E600" i="15"/>
  <c r="E599" i="15"/>
  <c r="E598" i="15"/>
  <c r="E597" i="15"/>
  <c r="E596" i="15"/>
  <c r="E595" i="15"/>
  <c r="E594" i="15"/>
  <c r="E593" i="15"/>
  <c r="E592" i="15"/>
  <c r="E591" i="15"/>
  <c r="E590" i="15"/>
  <c r="E589" i="15"/>
  <c r="E588" i="15"/>
  <c r="E587" i="15"/>
  <c r="E586" i="15"/>
  <c r="E585" i="15"/>
  <c r="E584" i="15"/>
  <c r="E583" i="15"/>
  <c r="E582" i="15"/>
  <c r="E581" i="15"/>
  <c r="E580" i="15"/>
  <c r="E579" i="15"/>
  <c r="E578" i="15"/>
  <c r="E577" i="15"/>
  <c r="E576" i="15"/>
  <c r="E575" i="15"/>
  <c r="E574" i="15"/>
  <c r="E573" i="15"/>
  <c r="E572" i="15"/>
  <c r="E571" i="15"/>
  <c r="E570" i="15"/>
  <c r="E569" i="15"/>
  <c r="E568" i="15"/>
  <c r="E567" i="15"/>
  <c r="E566" i="15"/>
  <c r="E565" i="15"/>
  <c r="E564" i="15"/>
  <c r="E563" i="15"/>
  <c r="E562" i="15"/>
  <c r="E561" i="15"/>
  <c r="E560" i="15"/>
  <c r="E559" i="15"/>
  <c r="E558" i="15"/>
  <c r="E557" i="15"/>
  <c r="E556" i="15"/>
  <c r="E555" i="15"/>
  <c r="E554" i="15"/>
  <c r="E553" i="15"/>
  <c r="E552" i="15"/>
  <c r="E551" i="15"/>
  <c r="E550" i="15"/>
  <c r="E549" i="15"/>
  <c r="E548" i="15"/>
  <c r="E547" i="15"/>
  <c r="E546" i="15"/>
  <c r="E545" i="15"/>
  <c r="E544" i="15"/>
  <c r="E543" i="15"/>
  <c r="E542" i="15"/>
  <c r="E541" i="15"/>
  <c r="E540" i="15"/>
  <c r="E539" i="15"/>
  <c r="E538" i="15"/>
  <c r="E537" i="15"/>
  <c r="E536" i="15"/>
  <c r="E535" i="15"/>
  <c r="E534" i="15"/>
  <c r="E533" i="15"/>
  <c r="E532" i="15"/>
  <c r="E531" i="15"/>
  <c r="E530" i="15"/>
  <c r="E529" i="15"/>
  <c r="E528" i="15"/>
  <c r="E527" i="15"/>
  <c r="E526" i="15"/>
  <c r="E525" i="15"/>
  <c r="E524" i="15"/>
  <c r="E523" i="15"/>
  <c r="E522" i="15"/>
  <c r="E521" i="15"/>
  <c r="E520" i="15"/>
  <c r="E519" i="15"/>
  <c r="E518" i="15"/>
  <c r="E517" i="15"/>
  <c r="E516" i="15"/>
  <c r="E515" i="15"/>
  <c r="E514" i="15"/>
  <c r="E513" i="15"/>
  <c r="E512" i="15"/>
  <c r="E511" i="15"/>
  <c r="E510" i="15"/>
  <c r="E509" i="15"/>
  <c r="E508" i="15"/>
  <c r="E507" i="15"/>
  <c r="E506" i="15"/>
  <c r="E505" i="15"/>
  <c r="E504" i="15"/>
  <c r="E503" i="15"/>
  <c r="E502" i="15"/>
  <c r="E501" i="15"/>
  <c r="E500" i="15"/>
  <c r="E499" i="15"/>
  <c r="E498" i="15"/>
  <c r="E497" i="15"/>
  <c r="E496" i="15"/>
  <c r="E495" i="15"/>
  <c r="E494" i="15"/>
  <c r="E493" i="15"/>
  <c r="E492" i="15"/>
  <c r="E491" i="15"/>
  <c r="E490" i="15"/>
  <c r="E489" i="15"/>
  <c r="E488" i="15"/>
  <c r="E487" i="15"/>
  <c r="E486" i="15"/>
  <c r="E485" i="15"/>
  <c r="E484" i="15"/>
  <c r="E483" i="15"/>
  <c r="E482" i="15"/>
  <c r="E481" i="15"/>
  <c r="E480" i="15"/>
  <c r="E479" i="15"/>
  <c r="E478" i="15"/>
  <c r="E477" i="15"/>
  <c r="E476" i="15"/>
  <c r="E475" i="15"/>
  <c r="E474" i="15"/>
  <c r="E473" i="15"/>
  <c r="E472" i="15"/>
  <c r="E471" i="15"/>
  <c r="E470" i="15"/>
  <c r="E469" i="15"/>
  <c r="E468" i="15"/>
  <c r="E467" i="15"/>
  <c r="E466" i="15"/>
  <c r="E465" i="15"/>
  <c r="E464" i="15"/>
  <c r="E463" i="15"/>
  <c r="E462" i="15"/>
  <c r="E461" i="15"/>
  <c r="E460" i="15"/>
  <c r="E459" i="15"/>
  <c r="E458" i="15"/>
  <c r="E457" i="15"/>
  <c r="E456" i="15"/>
  <c r="E455" i="15"/>
  <c r="E454" i="15"/>
  <c r="E453" i="15"/>
  <c r="E452" i="15"/>
  <c r="E451" i="15"/>
  <c r="E450" i="15"/>
  <c r="E449" i="15"/>
  <c r="E448" i="15"/>
  <c r="E447" i="15"/>
  <c r="E446" i="15"/>
  <c r="E445" i="15"/>
  <c r="E444" i="15"/>
  <c r="E443" i="15"/>
  <c r="E442" i="15"/>
  <c r="E441" i="15"/>
  <c r="E440" i="15"/>
  <c r="E439" i="15"/>
  <c r="E438" i="15"/>
  <c r="E437" i="15"/>
  <c r="E436" i="15"/>
  <c r="E435" i="15"/>
  <c r="E434" i="15"/>
  <c r="E433" i="15"/>
  <c r="E432" i="15"/>
  <c r="E431" i="15"/>
  <c r="E430" i="15"/>
  <c r="E429" i="15"/>
  <c r="E428" i="15"/>
  <c r="E427" i="15"/>
  <c r="E426" i="15"/>
  <c r="E425" i="15"/>
  <c r="E424" i="15"/>
  <c r="E423" i="15"/>
  <c r="E422" i="15"/>
  <c r="E421" i="15"/>
  <c r="E420" i="15"/>
  <c r="E419" i="15"/>
  <c r="E418" i="15"/>
  <c r="E417" i="15"/>
  <c r="E416" i="15"/>
  <c r="E415" i="15"/>
  <c r="E414" i="15"/>
  <c r="E413" i="15"/>
  <c r="E412" i="15"/>
  <c r="E411" i="15"/>
  <c r="E410" i="15"/>
  <c r="E409" i="15"/>
  <c r="E408" i="15"/>
  <c r="E407" i="15"/>
  <c r="E406" i="15"/>
  <c r="E405" i="15"/>
  <c r="E404" i="15"/>
  <c r="E403" i="15"/>
  <c r="E402" i="15"/>
  <c r="E401" i="15"/>
  <c r="E400" i="15"/>
  <c r="E399" i="15"/>
  <c r="E398" i="15"/>
  <c r="E397" i="15"/>
  <c r="E396" i="15"/>
  <c r="E395" i="15"/>
  <c r="E394" i="15"/>
  <c r="E393" i="15"/>
  <c r="E392" i="15"/>
  <c r="E391" i="15"/>
  <c r="E390" i="15"/>
  <c r="E389" i="15"/>
  <c r="E388" i="15"/>
  <c r="E387" i="15"/>
  <c r="E386" i="15"/>
  <c r="E385" i="15"/>
  <c r="E384" i="15"/>
  <c r="E383" i="15"/>
  <c r="E382" i="15"/>
  <c r="E381" i="15"/>
  <c r="E380" i="15"/>
  <c r="E379" i="15"/>
  <c r="E378" i="15"/>
  <c r="E377" i="15"/>
  <c r="E376" i="15"/>
  <c r="E375" i="15"/>
  <c r="E374" i="15"/>
  <c r="E373" i="15"/>
  <c r="E372" i="15"/>
  <c r="E371" i="15"/>
  <c r="E370" i="15"/>
  <c r="E369" i="15"/>
  <c r="E368" i="15"/>
  <c r="E367" i="15"/>
  <c r="E366" i="15"/>
  <c r="E365" i="15"/>
  <c r="E364" i="15"/>
  <c r="E363" i="15"/>
  <c r="E362" i="15"/>
  <c r="E361" i="15"/>
  <c r="E360" i="15"/>
  <c r="E359" i="15"/>
  <c r="E358" i="15"/>
  <c r="E357" i="15"/>
  <c r="E356" i="15"/>
  <c r="E355" i="15"/>
  <c r="E354" i="15"/>
  <c r="E353" i="15"/>
  <c r="E352" i="15"/>
  <c r="E351" i="15"/>
  <c r="E350" i="15"/>
  <c r="E349" i="15"/>
  <c r="E348" i="15"/>
  <c r="E347" i="15"/>
  <c r="E346" i="15"/>
  <c r="E345" i="15"/>
  <c r="E344" i="15"/>
  <c r="E343" i="15"/>
  <c r="E342" i="15"/>
  <c r="E341" i="15"/>
  <c r="E340" i="15"/>
  <c r="E339" i="15"/>
  <c r="E338" i="15"/>
  <c r="E337" i="15"/>
  <c r="E336" i="15"/>
  <c r="E335" i="15"/>
  <c r="E334" i="15"/>
  <c r="E333" i="15"/>
  <c r="E332" i="15"/>
  <c r="E331" i="15"/>
  <c r="E330" i="15"/>
  <c r="E329" i="15"/>
  <c r="E328" i="15"/>
  <c r="E327" i="15"/>
  <c r="E326" i="15"/>
  <c r="E325" i="15"/>
  <c r="E324" i="15"/>
  <c r="E323" i="15"/>
  <c r="E322" i="15"/>
  <c r="E321" i="15"/>
  <c r="E320" i="15"/>
  <c r="E319" i="15"/>
  <c r="E318" i="15"/>
  <c r="E317" i="15"/>
  <c r="E316" i="15"/>
  <c r="E315" i="15"/>
  <c r="E314" i="15"/>
  <c r="E313" i="15"/>
  <c r="E312" i="15"/>
  <c r="E311" i="15"/>
  <c r="E310" i="15"/>
  <c r="E309" i="15"/>
  <c r="E308" i="15"/>
  <c r="E307" i="15"/>
  <c r="E306" i="15"/>
  <c r="E305" i="15"/>
  <c r="E304" i="15"/>
  <c r="E303" i="15"/>
  <c r="E302" i="15"/>
  <c r="E301" i="15"/>
  <c r="E300" i="15"/>
  <c r="E299" i="15"/>
  <c r="E298" i="15"/>
  <c r="E297" i="15"/>
  <c r="E296" i="15"/>
  <c r="E295" i="15"/>
  <c r="E294" i="15"/>
  <c r="E293" i="15"/>
  <c r="E292" i="15"/>
  <c r="E291" i="15"/>
  <c r="E290" i="15"/>
  <c r="E289" i="15"/>
  <c r="E288" i="15"/>
  <c r="E287" i="15"/>
  <c r="E286" i="15"/>
  <c r="E285" i="15"/>
  <c r="E284" i="15"/>
  <c r="E283" i="15"/>
  <c r="E282" i="15"/>
  <c r="E281" i="15"/>
  <c r="E280" i="15"/>
  <c r="E279" i="15"/>
  <c r="E278" i="15"/>
  <c r="E277" i="15"/>
  <c r="E276" i="15"/>
  <c r="E275" i="15"/>
  <c r="E274" i="15"/>
  <c r="E273" i="15"/>
  <c r="E272" i="15"/>
  <c r="E271" i="15"/>
  <c r="E270" i="15"/>
  <c r="E269" i="15"/>
  <c r="E268" i="15"/>
  <c r="E267" i="15"/>
  <c r="E266" i="15"/>
  <c r="E265" i="15"/>
  <c r="E264" i="15"/>
  <c r="E263" i="15"/>
  <c r="E262" i="15"/>
  <c r="E261" i="15"/>
  <c r="E260" i="15"/>
  <c r="E259" i="15"/>
  <c r="E258" i="15"/>
  <c r="E257" i="15"/>
  <c r="E256" i="15"/>
  <c r="E255" i="15"/>
  <c r="E254" i="15"/>
  <c r="E253" i="15"/>
  <c r="E252" i="15"/>
  <c r="E251" i="15"/>
  <c r="E250" i="15"/>
  <c r="E249" i="15"/>
  <c r="E248" i="15"/>
  <c r="E247" i="15"/>
  <c r="E246" i="15"/>
  <c r="E245" i="15"/>
  <c r="E244" i="15"/>
  <c r="E243" i="15"/>
  <c r="E242" i="15"/>
  <c r="E241" i="15"/>
  <c r="E240" i="15"/>
  <c r="E239" i="15"/>
  <c r="E238" i="15"/>
  <c r="E237" i="15"/>
  <c r="E236" i="15"/>
  <c r="E235" i="15"/>
  <c r="E234" i="15"/>
  <c r="E233" i="15"/>
  <c r="E232" i="15"/>
  <c r="E231" i="15"/>
  <c r="E230" i="15"/>
  <c r="E229" i="15"/>
  <c r="E228" i="15"/>
  <c r="E227" i="15"/>
  <c r="E226" i="15"/>
  <c r="E225" i="15"/>
  <c r="E224" i="15"/>
  <c r="E223" i="15"/>
  <c r="E222" i="15"/>
  <c r="E221" i="15"/>
  <c r="E220" i="15"/>
  <c r="E219" i="15"/>
  <c r="E218" i="15"/>
  <c r="E217" i="15"/>
  <c r="E216" i="15"/>
  <c r="E215" i="15"/>
  <c r="E214" i="15"/>
  <c r="E213" i="15"/>
  <c r="E212" i="15"/>
  <c r="E211" i="15"/>
  <c r="E210" i="15"/>
  <c r="E209" i="15"/>
  <c r="E208" i="15"/>
  <c r="E207" i="15"/>
  <c r="E206" i="15"/>
  <c r="E205" i="15"/>
  <c r="E204" i="15"/>
  <c r="E203" i="15"/>
  <c r="E202" i="15"/>
  <c r="E201" i="15"/>
  <c r="E200" i="15"/>
  <c r="E199" i="15"/>
  <c r="E198" i="15"/>
  <c r="E197" i="15"/>
  <c r="E196" i="15"/>
  <c r="E195" i="15"/>
  <c r="E194" i="15"/>
  <c r="E193" i="15"/>
  <c r="E192" i="15"/>
  <c r="E191" i="15"/>
  <c r="E190" i="15"/>
  <c r="E189" i="15"/>
  <c r="E188" i="15"/>
  <c r="E187" i="15"/>
  <c r="E186" i="15"/>
  <c r="E185" i="15"/>
  <c r="E184" i="15"/>
  <c r="E183" i="15"/>
  <c r="E182" i="15"/>
  <c r="E181" i="15"/>
  <c r="E180" i="15"/>
  <c r="E179" i="15"/>
  <c r="E178" i="15"/>
  <c r="E177" i="15"/>
  <c r="E176" i="15"/>
  <c r="E175" i="15"/>
  <c r="E174" i="15"/>
  <c r="E173" i="15"/>
  <c r="E172" i="15"/>
  <c r="E171" i="15"/>
  <c r="E170" i="15"/>
  <c r="E169" i="15"/>
  <c r="E168" i="15"/>
  <c r="E167" i="15"/>
  <c r="E166" i="15"/>
  <c r="E165" i="15"/>
  <c r="E164" i="15"/>
  <c r="E163" i="15"/>
  <c r="E162" i="15"/>
  <c r="E161" i="15"/>
  <c r="E160" i="15"/>
  <c r="E159" i="15"/>
  <c r="E158" i="15"/>
  <c r="E157" i="15"/>
  <c r="E156" i="15"/>
  <c r="E155" i="15"/>
  <c r="E154" i="15"/>
  <c r="E153" i="15"/>
  <c r="E152" i="15"/>
  <c r="E151" i="15"/>
  <c r="E150" i="15"/>
  <c r="E149" i="15"/>
  <c r="E148" i="15"/>
  <c r="E147" i="15"/>
  <c r="E146" i="15"/>
  <c r="E145" i="15"/>
  <c r="E144" i="15"/>
  <c r="E143" i="15"/>
  <c r="E142" i="15"/>
  <c r="E141" i="15"/>
  <c r="E140" i="15"/>
  <c r="E139" i="15"/>
  <c r="E138" i="15"/>
  <c r="E137" i="15"/>
  <c r="E136" i="15"/>
  <c r="E135" i="15"/>
  <c r="E134" i="15"/>
  <c r="E133" i="15"/>
  <c r="E132" i="15"/>
  <c r="E131" i="15"/>
  <c r="E130" i="15"/>
  <c r="E129" i="15"/>
  <c r="E128" i="15"/>
  <c r="E127" i="15"/>
  <c r="E126" i="15"/>
  <c r="E125" i="15"/>
  <c r="E124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111" i="15"/>
  <c r="E110" i="15"/>
  <c r="E109" i="15"/>
  <c r="E108" i="15"/>
  <c r="E107" i="15"/>
  <c r="E106" i="15"/>
  <c r="E105" i="15"/>
  <c r="E104" i="15"/>
  <c r="E103" i="15"/>
  <c r="E102" i="15"/>
  <c r="E101" i="15"/>
  <c r="E100" i="15"/>
  <c r="E99" i="15"/>
  <c r="E98" i="15"/>
  <c r="E97" i="15"/>
  <c r="E96" i="15"/>
  <c r="E95" i="15"/>
  <c r="E94" i="15"/>
  <c r="E93" i="15"/>
  <c r="E92" i="15"/>
  <c r="E91" i="15"/>
  <c r="E90" i="15"/>
  <c r="E89" i="15"/>
  <c r="E88" i="15"/>
  <c r="E87" i="15"/>
  <c r="E86" i="15"/>
  <c r="E85" i="15"/>
  <c r="E84" i="15"/>
  <c r="E83" i="15"/>
  <c r="E82" i="15"/>
  <c r="E81" i="15"/>
  <c r="E80" i="15"/>
  <c r="E79" i="15"/>
  <c r="E78" i="15"/>
  <c r="E77" i="15"/>
  <c r="E76" i="15"/>
  <c r="E75" i="15"/>
  <c r="E74" i="15"/>
  <c r="E73" i="15"/>
  <c r="E72" i="15"/>
  <c r="E71" i="15"/>
  <c r="E70" i="15"/>
  <c r="E69" i="15"/>
  <c r="E68" i="15"/>
  <c r="E67" i="15"/>
  <c r="E66" i="15"/>
  <c r="E65" i="15"/>
  <c r="E64" i="15"/>
  <c r="E63" i="15"/>
  <c r="E62" i="15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40" i="15"/>
  <c r="E39" i="15"/>
  <c r="E38" i="15"/>
  <c r="E37" i="15"/>
  <c r="E36" i="15"/>
  <c r="E35" i="15"/>
  <c r="E34" i="15"/>
  <c r="E33" i="15"/>
  <c r="E32" i="15"/>
  <c r="E31" i="15"/>
  <c r="E30" i="15"/>
  <c r="E29" i="15"/>
  <c r="E28" i="15"/>
  <c r="E27" i="15"/>
  <c r="E26" i="15"/>
  <c r="E25" i="15"/>
  <c r="E24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C9" i="15"/>
  <c r="C10" i="15"/>
  <c r="F580" i="15" s="1"/>
  <c r="C11" i="15"/>
  <c r="C12" i="15"/>
  <c r="C13" i="15"/>
  <c r="D4" i="5"/>
  <c r="D5" i="5"/>
  <c r="D9" i="5"/>
  <c r="D8" i="5"/>
  <c r="D7" i="5"/>
  <c r="G580" i="15" l="1"/>
  <c r="H580" i="15" s="1"/>
  <c r="F642" i="15"/>
  <c r="G642" i="15" s="1"/>
  <c r="H642" i="15" s="1"/>
  <c r="F517" i="15"/>
  <c r="G517" i="15" s="1"/>
  <c r="H517" i="15" s="1"/>
  <c r="F568" i="15"/>
  <c r="G568" i="15" s="1"/>
  <c r="H568" i="15" s="1"/>
  <c r="F516" i="15"/>
  <c r="G516" i="15" s="1"/>
  <c r="H516" i="15" s="1"/>
  <c r="F639" i="15"/>
  <c r="G639" i="15" s="1"/>
  <c r="H639" i="15" s="1"/>
  <c r="F374" i="15"/>
  <c r="G374" i="15" s="1"/>
  <c r="H374" i="15" s="1"/>
  <c r="F229" i="15"/>
  <c r="G229" i="15" s="1"/>
  <c r="H229" i="15" s="1"/>
  <c r="F160" i="15"/>
  <c r="G160" i="15" s="1"/>
  <c r="H160" i="15" s="1"/>
  <c r="F944" i="15"/>
  <c r="G944" i="15" s="1"/>
  <c r="H944" i="15" s="1"/>
  <c r="F938" i="15"/>
  <c r="G938" i="15" s="1"/>
  <c r="H938" i="15" s="1"/>
  <c r="F885" i="15"/>
  <c r="G885" i="15" s="1"/>
  <c r="H885" i="15" s="1"/>
  <c r="F391" i="15"/>
  <c r="G391" i="15" s="1"/>
  <c r="H391" i="15" s="1"/>
  <c r="F761" i="15"/>
  <c r="G761" i="15" s="1"/>
  <c r="H761" i="15" s="1"/>
  <c r="F149" i="15"/>
  <c r="G149" i="15" s="1"/>
  <c r="H149" i="15" s="1"/>
  <c r="F760" i="15"/>
  <c r="G760" i="15" s="1"/>
  <c r="H760" i="15" s="1"/>
  <c r="F89" i="15"/>
  <c r="G89" i="15" s="1"/>
  <c r="H89" i="15" s="1"/>
  <c r="F708" i="15"/>
  <c r="G708" i="15" s="1"/>
  <c r="H708" i="15" s="1"/>
  <c r="F85" i="15"/>
  <c r="G85" i="15" s="1"/>
  <c r="H85" i="15" s="1"/>
  <c r="F697" i="15"/>
  <c r="G697" i="15" s="1"/>
  <c r="H697" i="15" s="1"/>
  <c r="F7" i="15"/>
  <c r="G7" i="15" s="1"/>
  <c r="H7" i="15" s="1"/>
  <c r="F450" i="15"/>
  <c r="G450" i="15" s="1"/>
  <c r="H450" i="15" s="1"/>
  <c r="F1001" i="15"/>
  <c r="G1001" i="15" s="1"/>
  <c r="H1001" i="15" s="1"/>
  <c r="F449" i="15"/>
  <c r="G449" i="15" s="1"/>
  <c r="H449" i="15" s="1"/>
  <c r="F997" i="15"/>
  <c r="G997" i="15" s="1"/>
  <c r="H997" i="15" s="1"/>
  <c r="F230" i="15"/>
  <c r="G230" i="15" s="1"/>
  <c r="H230" i="15" s="1"/>
  <c r="F889" i="15"/>
  <c r="G889" i="15" s="1"/>
  <c r="H889" i="15" s="1"/>
  <c r="F304" i="15"/>
  <c r="G304" i="15" s="1"/>
  <c r="H304" i="15" s="1"/>
  <c r="F824" i="15"/>
  <c r="G824" i="15" s="1"/>
  <c r="H824" i="15" s="1"/>
  <c r="F313" i="15"/>
  <c r="G313" i="15" s="1"/>
  <c r="H313" i="15" s="1"/>
  <c r="F821" i="15"/>
  <c r="G821" i="15" s="1"/>
  <c r="H821" i="15" s="1"/>
  <c r="F8" i="15"/>
  <c r="G8" i="15" s="1"/>
  <c r="H8" i="15" s="1"/>
  <c r="F94" i="15"/>
  <c r="G94" i="15" s="1"/>
  <c r="H94" i="15" s="1"/>
  <c r="F165" i="15"/>
  <c r="G165" i="15" s="1"/>
  <c r="H165" i="15" s="1"/>
  <c r="F239" i="15"/>
  <c r="G239" i="15" s="1"/>
  <c r="H239" i="15" s="1"/>
  <c r="F314" i="15"/>
  <c r="G314" i="15" s="1"/>
  <c r="H314" i="15" s="1"/>
  <c r="F392" i="15"/>
  <c r="G392" i="15" s="1"/>
  <c r="H392" i="15" s="1"/>
  <c r="F456" i="15"/>
  <c r="G456" i="15" s="1"/>
  <c r="H456" i="15" s="1"/>
  <c r="F518" i="15"/>
  <c r="G518" i="15" s="1"/>
  <c r="H518" i="15" s="1"/>
  <c r="F583" i="15"/>
  <c r="G583" i="15" s="1"/>
  <c r="H583" i="15" s="1"/>
  <c r="F644" i="15"/>
  <c r="G644" i="15" s="1"/>
  <c r="H644" i="15" s="1"/>
  <c r="F709" i="15"/>
  <c r="G709" i="15" s="1"/>
  <c r="H709" i="15" s="1"/>
  <c r="F770" i="15"/>
  <c r="G770" i="15" s="1"/>
  <c r="H770" i="15" s="1"/>
  <c r="F825" i="15"/>
  <c r="G825" i="15" s="1"/>
  <c r="H825" i="15" s="1"/>
  <c r="F890" i="15"/>
  <c r="G890" i="15" s="1"/>
  <c r="H890" i="15" s="1"/>
  <c r="F945" i="15"/>
  <c r="G945" i="15" s="1"/>
  <c r="H945" i="15" s="1"/>
  <c r="F1002" i="15"/>
  <c r="G1002" i="15" s="1"/>
  <c r="H1002" i="15" s="1"/>
  <c r="F529" i="15"/>
  <c r="G529" i="15" s="1"/>
  <c r="H529" i="15" s="1"/>
  <c r="F900" i="15"/>
  <c r="G900" i="15" s="1"/>
  <c r="H900" i="15" s="1"/>
  <c r="F197" i="15"/>
  <c r="G197" i="15" s="1"/>
  <c r="H197" i="15" s="1"/>
  <c r="F135" i="15"/>
  <c r="G135" i="15" s="1"/>
  <c r="H135" i="15" s="1"/>
  <c r="F431" i="15"/>
  <c r="G431" i="15" s="1"/>
  <c r="H431" i="15" s="1"/>
  <c r="F991" i="15"/>
  <c r="G991" i="15" s="1"/>
  <c r="H991" i="15" s="1"/>
  <c r="F224" i="15"/>
  <c r="G224" i="15" s="1"/>
  <c r="H224" i="15" s="1"/>
  <c r="F9" i="15"/>
  <c r="G9" i="15" s="1"/>
  <c r="H9" i="15" s="1"/>
  <c r="F95" i="15"/>
  <c r="G95" i="15" s="1"/>
  <c r="H95" i="15" s="1"/>
  <c r="F166" i="15"/>
  <c r="G166" i="15" s="1"/>
  <c r="H166" i="15" s="1"/>
  <c r="F240" i="15"/>
  <c r="G240" i="15" s="1"/>
  <c r="H240" i="15" s="1"/>
  <c r="F319" i="15"/>
  <c r="G319" i="15" s="1"/>
  <c r="H319" i="15" s="1"/>
  <c r="F401" i="15"/>
  <c r="G401" i="15" s="1"/>
  <c r="H401" i="15" s="1"/>
  <c r="F457" i="15"/>
  <c r="G457" i="15" s="1"/>
  <c r="H457" i="15" s="1"/>
  <c r="F526" i="15"/>
  <c r="G526" i="15" s="1"/>
  <c r="H526" i="15" s="1"/>
  <c r="F586" i="15"/>
  <c r="G586" i="15" s="1"/>
  <c r="H586" i="15" s="1"/>
  <c r="F645" i="15"/>
  <c r="G645" i="15" s="1"/>
  <c r="H645" i="15" s="1"/>
  <c r="F712" i="15"/>
  <c r="G712" i="15" s="1"/>
  <c r="H712" i="15" s="1"/>
  <c r="F776" i="15"/>
  <c r="G776" i="15" s="1"/>
  <c r="H776" i="15" s="1"/>
  <c r="F832" i="15"/>
  <c r="G832" i="15" s="1"/>
  <c r="H832" i="15" s="1"/>
  <c r="F893" i="15"/>
  <c r="G893" i="15" s="1"/>
  <c r="H893" i="15" s="1"/>
  <c r="F948" i="15"/>
  <c r="G948" i="15" s="1"/>
  <c r="H948" i="15" s="1"/>
  <c r="F102" i="15"/>
  <c r="G102" i="15" s="1"/>
  <c r="H102" i="15" s="1"/>
  <c r="F103" i="15"/>
  <c r="G103" i="15" s="1"/>
  <c r="H103" i="15" s="1"/>
  <c r="F117" i="15"/>
  <c r="G117" i="15" s="1"/>
  <c r="H117" i="15" s="1"/>
  <c r="F133" i="15"/>
  <c r="G133" i="15" s="1"/>
  <c r="H133" i="15" s="1"/>
  <c r="F134" i="15"/>
  <c r="G134" i="15" s="1"/>
  <c r="H134" i="15" s="1"/>
  <c r="F618" i="15"/>
  <c r="G618" i="15" s="1"/>
  <c r="H618" i="15" s="1"/>
  <c r="F136" i="15"/>
  <c r="G136" i="15" s="1"/>
  <c r="H136" i="15" s="1"/>
  <c r="F222" i="15"/>
  <c r="G222" i="15" s="1"/>
  <c r="H222" i="15" s="1"/>
  <c r="F438" i="15"/>
  <c r="G438" i="15" s="1"/>
  <c r="H438" i="15" s="1"/>
  <c r="F696" i="15"/>
  <c r="G696" i="15" s="1"/>
  <c r="H696" i="15" s="1"/>
  <c r="F26" i="15"/>
  <c r="G26" i="15" s="1"/>
  <c r="H26" i="15" s="1"/>
  <c r="F96" i="15"/>
  <c r="G96" i="15" s="1"/>
  <c r="H96" i="15" s="1"/>
  <c r="F177" i="15"/>
  <c r="G177" i="15" s="1"/>
  <c r="H177" i="15" s="1"/>
  <c r="F241" i="15"/>
  <c r="G241" i="15" s="1"/>
  <c r="H241" i="15" s="1"/>
  <c r="F325" i="15"/>
  <c r="G325" i="15" s="1"/>
  <c r="H325" i="15" s="1"/>
  <c r="F402" i="15"/>
  <c r="G402" i="15" s="1"/>
  <c r="H402" i="15" s="1"/>
  <c r="F465" i="15"/>
  <c r="G465" i="15" s="1"/>
  <c r="H465" i="15" s="1"/>
  <c r="F527" i="15"/>
  <c r="G527" i="15" s="1"/>
  <c r="H527" i="15" s="1"/>
  <c r="F591" i="15"/>
  <c r="G591" i="15" s="1"/>
  <c r="H591" i="15" s="1"/>
  <c r="F646" i="15"/>
  <c r="G646" i="15" s="1"/>
  <c r="H646" i="15" s="1"/>
  <c r="F713" i="15"/>
  <c r="G713" i="15" s="1"/>
  <c r="H713" i="15" s="1"/>
  <c r="F784" i="15"/>
  <c r="G784" i="15" s="1"/>
  <c r="H784" i="15" s="1"/>
  <c r="F841" i="15"/>
  <c r="G841" i="15" s="1"/>
  <c r="H841" i="15" s="1"/>
  <c r="F894" i="15"/>
  <c r="G894" i="15" s="1"/>
  <c r="H894" i="15" s="1"/>
  <c r="F958" i="15"/>
  <c r="G958" i="15" s="1"/>
  <c r="H958" i="15" s="1"/>
  <c r="F181" i="15"/>
  <c r="G181" i="15" s="1"/>
  <c r="H181" i="15" s="1"/>
  <c r="F330" i="15"/>
  <c r="G330" i="15" s="1"/>
  <c r="H330" i="15" s="1"/>
  <c r="F471" i="15"/>
  <c r="G471" i="15" s="1"/>
  <c r="H471" i="15" s="1"/>
  <c r="F596" i="15"/>
  <c r="G596" i="15" s="1"/>
  <c r="H596" i="15" s="1"/>
  <c r="F724" i="15"/>
  <c r="G724" i="15" s="1"/>
  <c r="H724" i="15" s="1"/>
  <c r="F845" i="15"/>
  <c r="G845" i="15" s="1"/>
  <c r="H845" i="15" s="1"/>
  <c r="F962" i="15"/>
  <c r="G962" i="15" s="1"/>
  <c r="H962" i="15" s="1"/>
  <c r="F10" i="15"/>
  <c r="G10" i="15" s="1"/>
  <c r="H10" i="15" s="1"/>
  <c r="F271" i="15"/>
  <c r="G271" i="15" s="1"/>
  <c r="H271" i="15" s="1"/>
  <c r="F409" i="15"/>
  <c r="G409" i="15" s="1"/>
  <c r="H409" i="15" s="1"/>
  <c r="F535" i="15"/>
  <c r="G535" i="15" s="1"/>
  <c r="H535" i="15" s="1"/>
  <c r="F670" i="15"/>
  <c r="G670" i="15" s="1"/>
  <c r="H670" i="15" s="1"/>
  <c r="F788" i="15"/>
  <c r="G788" i="15" s="1"/>
  <c r="H788" i="15" s="1"/>
  <c r="F964" i="15"/>
  <c r="G964" i="15" s="1"/>
  <c r="H964" i="15" s="1"/>
  <c r="F191" i="15"/>
  <c r="G191" i="15" s="1"/>
  <c r="H191" i="15" s="1"/>
  <c r="F410" i="15"/>
  <c r="G410" i="15" s="1"/>
  <c r="H410" i="15" s="1"/>
  <c r="F541" i="15"/>
  <c r="G541" i="15" s="1"/>
  <c r="H541" i="15" s="1"/>
  <c r="F605" i="15"/>
  <c r="G605" i="15" s="1"/>
  <c r="H605" i="15" s="1"/>
  <c r="F673" i="15"/>
  <c r="G673" i="15" s="1"/>
  <c r="H673" i="15" s="1"/>
  <c r="F792" i="15"/>
  <c r="G792" i="15" s="1"/>
  <c r="H792" i="15" s="1"/>
  <c r="F850" i="15"/>
  <c r="G850" i="15" s="1"/>
  <c r="H850" i="15" s="1"/>
  <c r="F965" i="15"/>
  <c r="G965" i="15" s="1"/>
  <c r="H965" i="15" s="1"/>
  <c r="F29" i="15"/>
  <c r="G29" i="15" s="1"/>
  <c r="H29" i="15" s="1"/>
  <c r="F273" i="15"/>
  <c r="G273" i="15" s="1"/>
  <c r="H273" i="15" s="1"/>
  <c r="F349" i="15"/>
  <c r="G349" i="15" s="1"/>
  <c r="H349" i="15" s="1"/>
  <c r="F485" i="15"/>
  <c r="G485" i="15" s="1"/>
  <c r="H485" i="15" s="1"/>
  <c r="F544" i="15"/>
  <c r="G544" i="15" s="1"/>
  <c r="H544" i="15" s="1"/>
  <c r="F674" i="15"/>
  <c r="G674" i="15" s="1"/>
  <c r="H674" i="15" s="1"/>
  <c r="F793" i="15"/>
  <c r="G793" i="15" s="1"/>
  <c r="H793" i="15" s="1"/>
  <c r="F855" i="15"/>
  <c r="G855" i="15" s="1"/>
  <c r="H855" i="15" s="1"/>
  <c r="F967" i="15"/>
  <c r="G967" i="15" s="1"/>
  <c r="H967" i="15" s="1"/>
  <c r="F352" i="15"/>
  <c r="G352" i="15" s="1"/>
  <c r="H352" i="15" s="1"/>
  <c r="F545" i="15"/>
  <c r="G545" i="15" s="1"/>
  <c r="H545" i="15" s="1"/>
  <c r="F676" i="15"/>
  <c r="G676" i="15" s="1"/>
  <c r="H676" i="15" s="1"/>
  <c r="F794" i="15"/>
  <c r="G794" i="15" s="1"/>
  <c r="H794" i="15" s="1"/>
  <c r="F858" i="15"/>
  <c r="G858" i="15" s="1"/>
  <c r="H858" i="15" s="1"/>
  <c r="F968" i="15"/>
  <c r="G968" i="15" s="1"/>
  <c r="H968" i="15" s="1"/>
  <c r="F57" i="15"/>
  <c r="G57" i="15" s="1"/>
  <c r="H57" i="15" s="1"/>
  <c r="F209" i="15"/>
  <c r="G209" i="15" s="1"/>
  <c r="H209" i="15" s="1"/>
  <c r="F360" i="15"/>
  <c r="G360" i="15" s="1"/>
  <c r="H360" i="15" s="1"/>
  <c r="F430" i="15"/>
  <c r="G430" i="15" s="1"/>
  <c r="H430" i="15" s="1"/>
  <c r="F487" i="15"/>
  <c r="G487" i="15" s="1"/>
  <c r="H487" i="15" s="1"/>
  <c r="F682" i="15"/>
  <c r="G682" i="15" s="1"/>
  <c r="H682" i="15" s="1"/>
  <c r="F920" i="15"/>
  <c r="G920" i="15" s="1"/>
  <c r="H920" i="15" s="1"/>
  <c r="F62" i="15"/>
  <c r="G62" i="15" s="1"/>
  <c r="H62" i="15" s="1"/>
  <c r="F210" i="15"/>
  <c r="G210" i="15" s="1"/>
  <c r="H210" i="15" s="1"/>
  <c r="F285" i="15"/>
  <c r="G285" i="15" s="1"/>
  <c r="H285" i="15" s="1"/>
  <c r="F488" i="15"/>
  <c r="G488" i="15" s="1"/>
  <c r="H488" i="15" s="1"/>
  <c r="F623" i="15"/>
  <c r="G623" i="15" s="1"/>
  <c r="H623" i="15" s="1"/>
  <c r="F749" i="15"/>
  <c r="G749" i="15" s="1"/>
  <c r="H749" i="15" s="1"/>
  <c r="F862" i="15"/>
  <c r="G862" i="15" s="1"/>
  <c r="H862" i="15" s="1"/>
  <c r="F986" i="15"/>
  <c r="G986" i="15" s="1"/>
  <c r="H986" i="15" s="1"/>
  <c r="F286" i="15"/>
  <c r="G286" i="15" s="1"/>
  <c r="H286" i="15" s="1"/>
  <c r="F504" i="15"/>
  <c r="G504" i="15" s="1"/>
  <c r="H504" i="15" s="1"/>
  <c r="F630" i="15"/>
  <c r="G630" i="15" s="1"/>
  <c r="H630" i="15" s="1"/>
  <c r="F751" i="15"/>
  <c r="G751" i="15" s="1"/>
  <c r="H751" i="15" s="1"/>
  <c r="F865" i="15"/>
  <c r="G865" i="15" s="1"/>
  <c r="H865" i="15" s="1"/>
  <c r="F72" i="15"/>
  <c r="G72" i="15" s="1"/>
  <c r="H72" i="15" s="1"/>
  <c r="F695" i="15"/>
  <c r="G695" i="15" s="1"/>
  <c r="H695" i="15" s="1"/>
  <c r="F992" i="15"/>
  <c r="G992" i="15" s="1"/>
  <c r="H992" i="15" s="1"/>
  <c r="F5" i="15"/>
  <c r="G5" i="15" s="1"/>
  <c r="H5" i="15" s="1"/>
  <c r="F146" i="15"/>
  <c r="G146" i="15" s="1"/>
  <c r="H146" i="15" s="1"/>
  <c r="F303" i="15"/>
  <c r="G303" i="15" s="1"/>
  <c r="H303" i="15" s="1"/>
  <c r="F373" i="15"/>
  <c r="G373" i="15" s="1"/>
  <c r="H373" i="15" s="1"/>
  <c r="F510" i="15"/>
  <c r="G510" i="15" s="1"/>
  <c r="H510" i="15" s="1"/>
  <c r="F634" i="15"/>
  <c r="G634" i="15" s="1"/>
  <c r="H634" i="15" s="1"/>
  <c r="F820" i="15"/>
  <c r="G820" i="15" s="1"/>
  <c r="H820" i="15" s="1"/>
  <c r="F31" i="15"/>
  <c r="G31" i="15" s="1"/>
  <c r="H31" i="15" s="1"/>
  <c r="F101" i="15"/>
  <c r="G101" i="15" s="1"/>
  <c r="H101" i="15" s="1"/>
  <c r="F178" i="15"/>
  <c r="G178" i="15" s="1"/>
  <c r="H178" i="15" s="1"/>
  <c r="F255" i="15"/>
  <c r="G255" i="15" s="1"/>
  <c r="H255" i="15" s="1"/>
  <c r="F329" i="15"/>
  <c r="G329" i="15" s="1"/>
  <c r="H329" i="15" s="1"/>
  <c r="F407" i="15"/>
  <c r="G407" i="15" s="1"/>
  <c r="H407" i="15" s="1"/>
  <c r="F466" i="15"/>
  <c r="G466" i="15" s="1"/>
  <c r="H466" i="15" s="1"/>
  <c r="F528" i="15"/>
  <c r="G528" i="15" s="1"/>
  <c r="H528" i="15" s="1"/>
  <c r="F594" i="15"/>
  <c r="G594" i="15" s="1"/>
  <c r="H594" i="15" s="1"/>
  <c r="F657" i="15"/>
  <c r="G657" i="15" s="1"/>
  <c r="H657" i="15" s="1"/>
  <c r="F722" i="15"/>
  <c r="G722" i="15" s="1"/>
  <c r="H722" i="15" s="1"/>
  <c r="F785" i="15"/>
  <c r="G785" i="15" s="1"/>
  <c r="H785" i="15" s="1"/>
  <c r="F842" i="15"/>
  <c r="G842" i="15" s="1"/>
  <c r="H842" i="15" s="1"/>
  <c r="F895" i="15"/>
  <c r="G895" i="15" s="1"/>
  <c r="H895" i="15" s="1"/>
  <c r="F959" i="15"/>
  <c r="G959" i="15" s="1"/>
  <c r="H959" i="15" s="1"/>
  <c r="F32" i="15"/>
  <c r="G32" i="15" s="1"/>
  <c r="H32" i="15" s="1"/>
  <c r="F266" i="15"/>
  <c r="G266" i="15" s="1"/>
  <c r="H266" i="15" s="1"/>
  <c r="F408" i="15"/>
  <c r="G408" i="15" s="1"/>
  <c r="H408" i="15" s="1"/>
  <c r="F658" i="15"/>
  <c r="G658" i="15" s="1"/>
  <c r="H658" i="15" s="1"/>
  <c r="F786" i="15"/>
  <c r="G786" i="15" s="1"/>
  <c r="H786" i="15" s="1"/>
  <c r="F898" i="15"/>
  <c r="G898" i="15" s="1"/>
  <c r="H898" i="15" s="1"/>
  <c r="F39" i="15"/>
  <c r="G39" i="15" s="1"/>
  <c r="H39" i="15" s="1"/>
  <c r="F190" i="15"/>
  <c r="G190" i="15" s="1"/>
  <c r="H190" i="15" s="1"/>
  <c r="F345" i="15"/>
  <c r="G345" i="15" s="1"/>
  <c r="H345" i="15" s="1"/>
  <c r="F478" i="15"/>
  <c r="G478" i="15" s="1"/>
  <c r="H478" i="15" s="1"/>
  <c r="F597" i="15"/>
  <c r="G597" i="15" s="1"/>
  <c r="H597" i="15" s="1"/>
  <c r="F735" i="15"/>
  <c r="G735" i="15" s="1"/>
  <c r="H735" i="15" s="1"/>
  <c r="F849" i="15"/>
  <c r="G849" i="15" s="1"/>
  <c r="H849" i="15" s="1"/>
  <c r="F40" i="15"/>
  <c r="G40" i="15" s="1"/>
  <c r="H40" i="15" s="1"/>
  <c r="F272" i="15"/>
  <c r="G272" i="15" s="1"/>
  <c r="H272" i="15" s="1"/>
  <c r="F346" i="15"/>
  <c r="G346" i="15" s="1"/>
  <c r="H346" i="15" s="1"/>
  <c r="F481" i="15"/>
  <c r="G481" i="15" s="1"/>
  <c r="H481" i="15" s="1"/>
  <c r="F736" i="15"/>
  <c r="G736" i="15" s="1"/>
  <c r="H736" i="15" s="1"/>
  <c r="F910" i="15"/>
  <c r="G910" i="15" s="1"/>
  <c r="H910" i="15" s="1"/>
  <c r="F41" i="15"/>
  <c r="G41" i="15" s="1"/>
  <c r="H41" i="15" s="1"/>
  <c r="F413" i="15"/>
  <c r="G413" i="15" s="1"/>
  <c r="H413" i="15" s="1"/>
  <c r="F608" i="15"/>
  <c r="G608" i="15" s="1"/>
  <c r="H608" i="15" s="1"/>
  <c r="F737" i="15"/>
  <c r="G737" i="15" s="1"/>
  <c r="H737" i="15" s="1"/>
  <c r="F913" i="15"/>
  <c r="G913" i="15" s="1"/>
  <c r="H913" i="15" s="1"/>
  <c r="F50" i="15"/>
  <c r="G50" i="15" s="1"/>
  <c r="H50" i="15" s="1"/>
  <c r="F208" i="15"/>
  <c r="G208" i="15" s="1"/>
  <c r="H208" i="15" s="1"/>
  <c r="F281" i="15"/>
  <c r="G281" i="15" s="1"/>
  <c r="H281" i="15" s="1"/>
  <c r="F420" i="15"/>
  <c r="G420" i="15" s="1"/>
  <c r="H420" i="15" s="1"/>
  <c r="F486" i="15"/>
  <c r="G486" i="15" s="1"/>
  <c r="H486" i="15" s="1"/>
  <c r="F617" i="15"/>
  <c r="G617" i="15" s="1"/>
  <c r="H617" i="15" s="1"/>
  <c r="F745" i="15"/>
  <c r="G745" i="15" s="1"/>
  <c r="H745" i="15" s="1"/>
  <c r="F914" i="15"/>
  <c r="G914" i="15" s="1"/>
  <c r="H914" i="15" s="1"/>
  <c r="F282" i="15"/>
  <c r="G282" i="15" s="1"/>
  <c r="H282" i="15" s="1"/>
  <c r="F560" i="15"/>
  <c r="G560" i="15" s="1"/>
  <c r="H560" i="15" s="1"/>
  <c r="F746" i="15"/>
  <c r="G746" i="15" s="1"/>
  <c r="H746" i="15" s="1"/>
  <c r="F802" i="15"/>
  <c r="G802" i="15" s="1"/>
  <c r="H802" i="15" s="1"/>
  <c r="F861" i="15"/>
  <c r="G861" i="15" s="1"/>
  <c r="H861" i="15" s="1"/>
  <c r="F982" i="15"/>
  <c r="G982" i="15" s="1"/>
  <c r="H982" i="15" s="1"/>
  <c r="F361" i="15"/>
  <c r="G361" i="15" s="1"/>
  <c r="H361" i="15" s="1"/>
  <c r="F564" i="15"/>
  <c r="G564" i="15" s="1"/>
  <c r="H564" i="15" s="1"/>
  <c r="F685" i="15"/>
  <c r="G685" i="15" s="1"/>
  <c r="H685" i="15" s="1"/>
  <c r="F807" i="15"/>
  <c r="G807" i="15" s="1"/>
  <c r="H807" i="15" s="1"/>
  <c r="F921" i="15"/>
  <c r="G921" i="15" s="1"/>
  <c r="H921" i="15" s="1"/>
  <c r="F71" i="15"/>
  <c r="G71" i="15" s="1"/>
  <c r="H71" i="15" s="1"/>
  <c r="F144" i="15"/>
  <c r="G144" i="15" s="1"/>
  <c r="H144" i="15" s="1"/>
  <c r="F367" i="15"/>
  <c r="G367" i="15" s="1"/>
  <c r="H367" i="15" s="1"/>
  <c r="F432" i="15"/>
  <c r="G432" i="15" s="1"/>
  <c r="H432" i="15" s="1"/>
  <c r="F565" i="15"/>
  <c r="G565" i="15" s="1"/>
  <c r="H565" i="15" s="1"/>
  <c r="F686" i="15"/>
  <c r="G686" i="15" s="1"/>
  <c r="H686" i="15" s="1"/>
  <c r="F809" i="15"/>
  <c r="G809" i="15" s="1"/>
  <c r="H809" i="15" s="1"/>
  <c r="F930" i="15"/>
  <c r="G930" i="15" s="1"/>
  <c r="H930" i="15" s="1"/>
  <c r="F145" i="15"/>
  <c r="G145" i="15" s="1"/>
  <c r="H145" i="15" s="1"/>
  <c r="F223" i="15"/>
  <c r="G223" i="15" s="1"/>
  <c r="H223" i="15" s="1"/>
  <c r="F297" i="15"/>
  <c r="G297" i="15" s="1"/>
  <c r="H297" i="15" s="1"/>
  <c r="F368" i="15"/>
  <c r="G368" i="15" s="1"/>
  <c r="H368" i="15" s="1"/>
  <c r="F509" i="15"/>
  <c r="G509" i="15" s="1"/>
  <c r="H509" i="15" s="1"/>
  <c r="F566" i="15"/>
  <c r="G566" i="15" s="1"/>
  <c r="H566" i="15" s="1"/>
  <c r="F633" i="15"/>
  <c r="G633" i="15" s="1"/>
  <c r="H633" i="15" s="1"/>
  <c r="F752" i="15"/>
  <c r="G752" i="15" s="1"/>
  <c r="H752" i="15" s="1"/>
  <c r="F816" i="15"/>
  <c r="G816" i="15" s="1"/>
  <c r="H816" i="15" s="1"/>
  <c r="F866" i="15"/>
  <c r="G866" i="15" s="1"/>
  <c r="H866" i="15" s="1"/>
  <c r="F932" i="15"/>
  <c r="G932" i="15" s="1"/>
  <c r="H932" i="15" s="1"/>
  <c r="F73" i="15"/>
  <c r="G73" i="15" s="1"/>
  <c r="H73" i="15" s="1"/>
  <c r="F448" i="15"/>
  <c r="G448" i="15" s="1"/>
  <c r="H448" i="15" s="1"/>
  <c r="F567" i="15"/>
  <c r="G567" i="15" s="1"/>
  <c r="H567" i="15" s="1"/>
  <c r="F753" i="15"/>
  <c r="G753" i="15" s="1"/>
  <c r="H753" i="15" s="1"/>
  <c r="F881" i="15"/>
  <c r="G881" i="15" s="1"/>
  <c r="H881" i="15" s="1"/>
  <c r="F933" i="15"/>
  <c r="G933" i="15" s="1"/>
  <c r="H933" i="15" s="1"/>
  <c r="F993" i="15"/>
  <c r="G993" i="15" s="1"/>
  <c r="H993" i="15" s="1"/>
  <c r="F6" i="15"/>
  <c r="G6" i="15" s="1"/>
  <c r="H6" i="15" s="1"/>
  <c r="F53" i="15"/>
  <c r="G53" i="15" s="1"/>
  <c r="H53" i="15" s="1"/>
  <c r="F981" i="15"/>
  <c r="G981" i="15" s="1"/>
  <c r="H981" i="15" s="1"/>
  <c r="F929" i="15"/>
  <c r="G929" i="15" s="1"/>
  <c r="H929" i="15" s="1"/>
  <c r="F873" i="15"/>
  <c r="G873" i="15" s="1"/>
  <c r="H873" i="15" s="1"/>
  <c r="F823" i="15"/>
  <c r="G823" i="15" s="1"/>
  <c r="H823" i="15" s="1"/>
  <c r="F773" i="15"/>
  <c r="G773" i="15" s="1"/>
  <c r="H773" i="15" s="1"/>
  <c r="F721" i="15"/>
  <c r="G721" i="15" s="1"/>
  <c r="H721" i="15" s="1"/>
  <c r="F669" i="15"/>
  <c r="G669" i="15" s="1"/>
  <c r="H669" i="15" s="1"/>
  <c r="F607" i="15"/>
  <c r="G607" i="15" s="1"/>
  <c r="H607" i="15" s="1"/>
  <c r="F557" i="15"/>
  <c r="G557" i="15" s="1"/>
  <c r="H557" i="15" s="1"/>
  <c r="F490" i="15"/>
  <c r="G490" i="15" s="1"/>
  <c r="H490" i="15" s="1"/>
  <c r="F447" i="15"/>
  <c r="G447" i="15" s="1"/>
  <c r="H447" i="15" s="1"/>
  <c r="F383" i="15"/>
  <c r="G383" i="15" s="1"/>
  <c r="H383" i="15" s="1"/>
  <c r="F318" i="15"/>
  <c r="G318" i="15" s="1"/>
  <c r="H318" i="15" s="1"/>
  <c r="F254" i="15"/>
  <c r="G254" i="15" s="1"/>
  <c r="H254" i="15" s="1"/>
  <c r="F189" i="15"/>
  <c r="G189" i="15" s="1"/>
  <c r="H189" i="15" s="1"/>
  <c r="F125" i="15"/>
  <c r="G125" i="15" s="1"/>
  <c r="H125" i="15" s="1"/>
  <c r="F54" i="15"/>
  <c r="G54" i="15" s="1"/>
  <c r="H54" i="15" s="1"/>
  <c r="F969" i="15"/>
  <c r="G969" i="15" s="1"/>
  <c r="H969" i="15" s="1"/>
  <c r="F922" i="15"/>
  <c r="G922" i="15" s="1"/>
  <c r="H922" i="15" s="1"/>
  <c r="F872" i="15"/>
  <c r="G872" i="15" s="1"/>
  <c r="H872" i="15" s="1"/>
  <c r="F822" i="15"/>
  <c r="G822" i="15" s="1"/>
  <c r="H822" i="15" s="1"/>
  <c r="F772" i="15"/>
  <c r="G772" i="15" s="1"/>
  <c r="H772" i="15" s="1"/>
  <c r="F718" i="15"/>
  <c r="G718" i="15" s="1"/>
  <c r="H718" i="15" s="1"/>
  <c r="F662" i="15"/>
  <c r="G662" i="15" s="1"/>
  <c r="H662" i="15" s="1"/>
  <c r="F606" i="15"/>
  <c r="G606" i="15" s="1"/>
  <c r="H606" i="15" s="1"/>
  <c r="F554" i="15"/>
  <c r="G554" i="15" s="1"/>
  <c r="H554" i="15" s="1"/>
  <c r="F489" i="15"/>
  <c r="G489" i="15" s="1"/>
  <c r="H489" i="15" s="1"/>
  <c r="F439" i="15"/>
  <c r="G439" i="15" s="1"/>
  <c r="H439" i="15" s="1"/>
  <c r="F377" i="15"/>
  <c r="G377" i="15" s="1"/>
  <c r="H377" i="15" s="1"/>
  <c r="F317" i="15"/>
  <c r="G317" i="15" s="1"/>
  <c r="H317" i="15" s="1"/>
  <c r="F253" i="15"/>
  <c r="G253" i="15" s="1"/>
  <c r="H253" i="15" s="1"/>
  <c r="F186" i="15"/>
  <c r="G186" i="15" s="1"/>
  <c r="H186" i="15" s="1"/>
  <c r="F118" i="15"/>
  <c r="G118" i="15" s="1"/>
  <c r="H118" i="15" s="1"/>
  <c r="F990" i="15"/>
  <c r="G990" i="15" s="1"/>
  <c r="H990" i="15" s="1"/>
  <c r="F953" i="15"/>
  <c r="G953" i="15" s="1"/>
  <c r="H953" i="15" s="1"/>
  <c r="F919" i="15"/>
  <c r="G919" i="15" s="1"/>
  <c r="H919" i="15" s="1"/>
  <c r="F884" i="15"/>
  <c r="G884" i="15" s="1"/>
  <c r="H884" i="15" s="1"/>
  <c r="F847" i="15"/>
  <c r="G847" i="15" s="1"/>
  <c r="H847" i="15" s="1"/>
  <c r="F813" i="15"/>
  <c r="G813" i="15" s="1"/>
  <c r="H813" i="15" s="1"/>
  <c r="F775" i="15"/>
  <c r="G775" i="15" s="1"/>
  <c r="H775" i="15" s="1"/>
  <c r="F744" i="15"/>
  <c r="G744" i="15" s="1"/>
  <c r="H744" i="15" s="1"/>
  <c r="F703" i="15"/>
  <c r="G703" i="15" s="1"/>
  <c r="H703" i="15" s="1"/>
  <c r="F666" i="15"/>
  <c r="G666" i="15" s="1"/>
  <c r="H666" i="15" s="1"/>
  <c r="F629" i="15"/>
  <c r="G629" i="15" s="1"/>
  <c r="H629" i="15" s="1"/>
  <c r="F590" i="15"/>
  <c r="G590" i="15" s="1"/>
  <c r="H590" i="15" s="1"/>
  <c r="F551" i="15"/>
  <c r="G551" i="15" s="1"/>
  <c r="H551" i="15" s="1"/>
  <c r="F512" i="15"/>
  <c r="G512" i="15" s="1"/>
  <c r="H512" i="15" s="1"/>
  <c r="F477" i="15"/>
  <c r="G477" i="15" s="1"/>
  <c r="H477" i="15" s="1"/>
  <c r="F437" i="15"/>
  <c r="G437" i="15" s="1"/>
  <c r="H437" i="15" s="1"/>
  <c r="F398" i="15"/>
  <c r="G398" i="15" s="1"/>
  <c r="H398" i="15" s="1"/>
  <c r="F351" i="15"/>
  <c r="G351" i="15" s="1"/>
  <c r="H351" i="15" s="1"/>
  <c r="F310" i="15"/>
  <c r="G310" i="15" s="1"/>
  <c r="H310" i="15" s="1"/>
  <c r="F262" i="15"/>
  <c r="G262" i="15" s="1"/>
  <c r="H262" i="15" s="1"/>
  <c r="F221" i="15"/>
  <c r="G221" i="15" s="1"/>
  <c r="H221" i="15" s="1"/>
  <c r="F176" i="15"/>
  <c r="G176" i="15" s="1"/>
  <c r="H176" i="15" s="1"/>
  <c r="F127" i="15"/>
  <c r="G127" i="15" s="1"/>
  <c r="H127" i="15" s="1"/>
  <c r="F82" i="15"/>
  <c r="G82" i="15" s="1"/>
  <c r="H82" i="15" s="1"/>
  <c r="F38" i="15"/>
  <c r="G38" i="15" s="1"/>
  <c r="H38" i="15" s="1"/>
  <c r="F989" i="15"/>
  <c r="G989" i="15" s="1"/>
  <c r="H989" i="15" s="1"/>
  <c r="F952" i="15"/>
  <c r="G952" i="15" s="1"/>
  <c r="H952" i="15" s="1"/>
  <c r="F918" i="15"/>
  <c r="G918" i="15" s="1"/>
  <c r="H918" i="15" s="1"/>
  <c r="F882" i="15"/>
  <c r="G882" i="15" s="1"/>
  <c r="H882" i="15" s="1"/>
  <c r="F846" i="15"/>
  <c r="G846" i="15" s="1"/>
  <c r="H846" i="15" s="1"/>
  <c r="F810" i="15"/>
  <c r="G810" i="15" s="1"/>
  <c r="H810" i="15" s="1"/>
  <c r="F774" i="15"/>
  <c r="G774" i="15" s="1"/>
  <c r="H774" i="15" s="1"/>
  <c r="F741" i="15"/>
  <c r="G741" i="15" s="1"/>
  <c r="H741" i="15" s="1"/>
  <c r="F702" i="15"/>
  <c r="G702" i="15" s="1"/>
  <c r="H702" i="15" s="1"/>
  <c r="F665" i="15"/>
  <c r="G665" i="15" s="1"/>
  <c r="H665" i="15" s="1"/>
  <c r="F624" i="15"/>
  <c r="G624" i="15" s="1"/>
  <c r="H624" i="15" s="1"/>
  <c r="F589" i="15"/>
  <c r="G589" i="15" s="1"/>
  <c r="H589" i="15" s="1"/>
  <c r="F550" i="15"/>
  <c r="G550" i="15" s="1"/>
  <c r="H550" i="15" s="1"/>
  <c r="F511" i="15"/>
  <c r="G511" i="15" s="1"/>
  <c r="H511" i="15" s="1"/>
  <c r="F472" i="15"/>
  <c r="G472" i="15" s="1"/>
  <c r="H472" i="15" s="1"/>
  <c r="F433" i="15"/>
  <c r="G433" i="15" s="1"/>
  <c r="H433" i="15" s="1"/>
  <c r="F393" i="15"/>
  <c r="G393" i="15" s="1"/>
  <c r="H393" i="15" s="1"/>
  <c r="F350" i="15"/>
  <c r="G350" i="15" s="1"/>
  <c r="H350" i="15" s="1"/>
  <c r="F305" i="15"/>
  <c r="G305" i="15" s="1"/>
  <c r="H305" i="15" s="1"/>
  <c r="F261" i="15"/>
  <c r="G261" i="15" s="1"/>
  <c r="H261" i="15" s="1"/>
  <c r="F218" i="15"/>
  <c r="G218" i="15" s="1"/>
  <c r="H218" i="15" s="1"/>
  <c r="F167" i="15"/>
  <c r="G167" i="15" s="1"/>
  <c r="H167" i="15" s="1"/>
  <c r="F126" i="15"/>
  <c r="G126" i="15" s="1"/>
  <c r="H126" i="15" s="1"/>
  <c r="F81" i="15"/>
  <c r="G81" i="15" s="1"/>
  <c r="H81" i="15" s="1"/>
  <c r="F37" i="15"/>
  <c r="G37" i="15" s="1"/>
  <c r="H37" i="15" s="1"/>
  <c r="F943" i="15"/>
  <c r="G943" i="15" s="1"/>
  <c r="H943" i="15" s="1"/>
  <c r="F871" i="15"/>
  <c r="G871" i="15" s="1"/>
  <c r="H871" i="15" s="1"/>
  <c r="F801" i="15"/>
  <c r="G801" i="15" s="1"/>
  <c r="H801" i="15" s="1"/>
  <c r="F727" i="15"/>
  <c r="G727" i="15" s="1"/>
  <c r="H727" i="15" s="1"/>
  <c r="F616" i="15"/>
  <c r="G616" i="15" s="1"/>
  <c r="H616" i="15" s="1"/>
  <c r="F538" i="15"/>
  <c r="G538" i="15" s="1"/>
  <c r="H538" i="15" s="1"/>
  <c r="F462" i="15"/>
  <c r="G462" i="15" s="1"/>
  <c r="H462" i="15" s="1"/>
  <c r="F382" i="15"/>
  <c r="G382" i="15" s="1"/>
  <c r="H382" i="15" s="1"/>
  <c r="F293" i="15"/>
  <c r="G293" i="15" s="1"/>
  <c r="H293" i="15" s="1"/>
  <c r="F159" i="15"/>
  <c r="G159" i="15" s="1"/>
  <c r="H159" i="15" s="1"/>
  <c r="F978" i="15"/>
  <c r="G978" i="15" s="1"/>
  <c r="H978" i="15" s="1"/>
  <c r="F942" i="15"/>
  <c r="G942" i="15" s="1"/>
  <c r="H942" i="15" s="1"/>
  <c r="F905" i="15"/>
  <c r="G905" i="15" s="1"/>
  <c r="H905" i="15" s="1"/>
  <c r="F870" i="15"/>
  <c r="G870" i="15" s="1"/>
  <c r="H870" i="15" s="1"/>
  <c r="F834" i="15"/>
  <c r="G834" i="15" s="1"/>
  <c r="H834" i="15" s="1"/>
  <c r="F800" i="15"/>
  <c r="G800" i="15" s="1"/>
  <c r="H800" i="15" s="1"/>
  <c r="F765" i="15"/>
  <c r="G765" i="15" s="1"/>
  <c r="H765" i="15" s="1"/>
  <c r="F726" i="15"/>
  <c r="G726" i="15" s="1"/>
  <c r="H726" i="15" s="1"/>
  <c r="F693" i="15"/>
  <c r="G693" i="15" s="1"/>
  <c r="H693" i="15" s="1"/>
  <c r="F648" i="15"/>
  <c r="G648" i="15" s="1"/>
  <c r="H648" i="15" s="1"/>
  <c r="F615" i="15"/>
  <c r="G615" i="15" s="1"/>
  <c r="H615" i="15" s="1"/>
  <c r="F577" i="15"/>
  <c r="G577" i="15" s="1"/>
  <c r="H577" i="15" s="1"/>
  <c r="F537" i="15"/>
  <c r="G537" i="15" s="1"/>
  <c r="H537" i="15" s="1"/>
  <c r="F500" i="15"/>
  <c r="G500" i="15" s="1"/>
  <c r="H500" i="15" s="1"/>
  <c r="F461" i="15"/>
  <c r="G461" i="15" s="1"/>
  <c r="H461" i="15" s="1"/>
  <c r="F422" i="15"/>
  <c r="G422" i="15" s="1"/>
  <c r="H422" i="15" s="1"/>
  <c r="F381" i="15"/>
  <c r="G381" i="15" s="1"/>
  <c r="H381" i="15" s="1"/>
  <c r="F336" i="15"/>
  <c r="G336" i="15" s="1"/>
  <c r="H336" i="15" s="1"/>
  <c r="F288" i="15"/>
  <c r="G288" i="15" s="1"/>
  <c r="H288" i="15" s="1"/>
  <c r="F249" i="15"/>
  <c r="G249" i="15" s="1"/>
  <c r="H249" i="15" s="1"/>
  <c r="F199" i="15"/>
  <c r="G199" i="15" s="1"/>
  <c r="H199" i="15" s="1"/>
  <c r="F158" i="15"/>
  <c r="G158" i="15" s="1"/>
  <c r="H158" i="15" s="1"/>
  <c r="F113" i="15"/>
  <c r="G113" i="15" s="1"/>
  <c r="H113" i="15" s="1"/>
  <c r="F69" i="15"/>
  <c r="G69" i="15" s="1"/>
  <c r="H69" i="15" s="1"/>
  <c r="F21" i="15"/>
  <c r="G21" i="15" s="1"/>
  <c r="H21" i="15" s="1"/>
  <c r="F980" i="15"/>
  <c r="G980" i="15" s="1"/>
  <c r="H980" i="15" s="1"/>
  <c r="F909" i="15"/>
  <c r="G909" i="15" s="1"/>
  <c r="H909" i="15" s="1"/>
  <c r="F836" i="15"/>
  <c r="G836" i="15" s="1"/>
  <c r="H836" i="15" s="1"/>
  <c r="F768" i="15"/>
  <c r="G768" i="15" s="1"/>
  <c r="H768" i="15" s="1"/>
  <c r="F694" i="15"/>
  <c r="G694" i="15" s="1"/>
  <c r="H694" i="15" s="1"/>
  <c r="F656" i="15"/>
  <c r="G656" i="15" s="1"/>
  <c r="H656" i="15" s="1"/>
  <c r="F578" i="15"/>
  <c r="G578" i="15" s="1"/>
  <c r="H578" i="15" s="1"/>
  <c r="F501" i="15"/>
  <c r="G501" i="15" s="1"/>
  <c r="H501" i="15" s="1"/>
  <c r="F425" i="15"/>
  <c r="G425" i="15" s="1"/>
  <c r="H425" i="15" s="1"/>
  <c r="F341" i="15"/>
  <c r="G341" i="15" s="1"/>
  <c r="H341" i="15" s="1"/>
  <c r="F250" i="15"/>
  <c r="G250" i="15" s="1"/>
  <c r="H250" i="15" s="1"/>
  <c r="F207" i="15"/>
  <c r="G207" i="15" s="1"/>
  <c r="H207" i="15" s="1"/>
  <c r="F114" i="15"/>
  <c r="G114" i="15" s="1"/>
  <c r="H114" i="15" s="1"/>
  <c r="F70" i="15"/>
  <c r="G70" i="15" s="1"/>
  <c r="H70" i="15" s="1"/>
  <c r="F25" i="15"/>
  <c r="G25" i="15" s="1"/>
  <c r="H25" i="15" s="1"/>
  <c r="F970" i="15"/>
  <c r="G970" i="15" s="1"/>
  <c r="H970" i="15" s="1"/>
  <c r="F941" i="15"/>
  <c r="G941" i="15" s="1"/>
  <c r="H941" i="15" s="1"/>
  <c r="F904" i="15"/>
  <c r="G904" i="15" s="1"/>
  <c r="H904" i="15" s="1"/>
  <c r="F869" i="15"/>
  <c r="G869" i="15" s="1"/>
  <c r="H869" i="15" s="1"/>
  <c r="F833" i="15"/>
  <c r="G833" i="15" s="1"/>
  <c r="H833" i="15" s="1"/>
  <c r="F797" i="15"/>
  <c r="G797" i="15" s="1"/>
  <c r="H797" i="15" s="1"/>
  <c r="F762" i="15"/>
  <c r="G762" i="15" s="1"/>
  <c r="H762" i="15" s="1"/>
  <c r="F725" i="15"/>
  <c r="G725" i="15" s="1"/>
  <c r="H725" i="15" s="1"/>
  <c r="F687" i="15"/>
  <c r="G687" i="15" s="1"/>
  <c r="H687" i="15" s="1"/>
  <c r="F647" i="15"/>
  <c r="G647" i="15" s="1"/>
  <c r="H647" i="15" s="1"/>
  <c r="F614" i="15"/>
  <c r="G614" i="15" s="1"/>
  <c r="H614" i="15" s="1"/>
  <c r="F569" i="15"/>
  <c r="G569" i="15" s="1"/>
  <c r="H569" i="15" s="1"/>
  <c r="F536" i="15"/>
  <c r="G536" i="15" s="1"/>
  <c r="H536" i="15" s="1"/>
  <c r="F498" i="15"/>
  <c r="G498" i="15" s="1"/>
  <c r="H498" i="15" s="1"/>
  <c r="F458" i="15"/>
  <c r="G458" i="15" s="1"/>
  <c r="H458" i="15" s="1"/>
  <c r="F421" i="15"/>
  <c r="G421" i="15" s="1"/>
  <c r="H421" i="15" s="1"/>
  <c r="F378" i="15"/>
  <c r="G378" i="15" s="1"/>
  <c r="H378" i="15" s="1"/>
  <c r="F335" i="15"/>
  <c r="G335" i="15" s="1"/>
  <c r="H335" i="15" s="1"/>
  <c r="F287" i="15"/>
  <c r="G287" i="15" s="1"/>
  <c r="H287" i="15" s="1"/>
  <c r="F242" i="15"/>
  <c r="G242" i="15" s="1"/>
  <c r="H242" i="15" s="1"/>
  <c r="F198" i="15"/>
  <c r="G198" i="15" s="1"/>
  <c r="H198" i="15" s="1"/>
  <c r="F157" i="15"/>
  <c r="G157" i="15" s="1"/>
  <c r="H157" i="15" s="1"/>
  <c r="F104" i="15"/>
  <c r="G104" i="15" s="1"/>
  <c r="H104" i="15" s="1"/>
  <c r="F63" i="15"/>
  <c r="G63" i="15" s="1"/>
  <c r="H63" i="15" s="1"/>
  <c r="F984" i="15"/>
  <c r="G984" i="15" s="1"/>
  <c r="H984" i="15" s="1"/>
  <c r="F961" i="15"/>
  <c r="G961" i="15" s="1"/>
  <c r="H961" i="15" s="1"/>
  <c r="F937" i="15"/>
  <c r="G937" i="15" s="1"/>
  <c r="H937" i="15" s="1"/>
  <c r="F912" i="15"/>
  <c r="G912" i="15" s="1"/>
  <c r="H912" i="15" s="1"/>
  <c r="F888" i="15"/>
  <c r="G888" i="15" s="1"/>
  <c r="H888" i="15" s="1"/>
  <c r="F864" i="15"/>
  <c r="G864" i="15" s="1"/>
  <c r="H864" i="15" s="1"/>
  <c r="F840" i="15"/>
  <c r="G840" i="15" s="1"/>
  <c r="H840" i="15" s="1"/>
  <c r="F815" i="15"/>
  <c r="G815" i="15" s="1"/>
  <c r="H815" i="15" s="1"/>
  <c r="F791" i="15"/>
  <c r="G791" i="15" s="1"/>
  <c r="H791" i="15" s="1"/>
  <c r="F767" i="15"/>
  <c r="G767" i="15" s="1"/>
  <c r="H767" i="15" s="1"/>
  <c r="F743" i="15"/>
  <c r="G743" i="15" s="1"/>
  <c r="H743" i="15" s="1"/>
  <c r="F717" i="15"/>
  <c r="G717" i="15" s="1"/>
  <c r="H717" i="15" s="1"/>
  <c r="F689" i="15"/>
  <c r="G689" i="15" s="1"/>
  <c r="H689" i="15" s="1"/>
  <c r="F664" i="15"/>
  <c r="G664" i="15" s="1"/>
  <c r="H664" i="15" s="1"/>
  <c r="F638" i="15"/>
  <c r="G638" i="15" s="1"/>
  <c r="H638" i="15" s="1"/>
  <c r="F610" i="15"/>
  <c r="G610" i="15" s="1"/>
  <c r="H610" i="15" s="1"/>
  <c r="F585" i="15"/>
  <c r="G585" i="15" s="1"/>
  <c r="H585" i="15" s="1"/>
  <c r="F559" i="15"/>
  <c r="G559" i="15" s="1"/>
  <c r="H559" i="15" s="1"/>
  <c r="F532" i="15"/>
  <c r="G532" i="15" s="1"/>
  <c r="H532" i="15" s="1"/>
  <c r="F506" i="15"/>
  <c r="G506" i="15" s="1"/>
  <c r="H506" i="15" s="1"/>
  <c r="F480" i="15"/>
  <c r="G480" i="15" s="1"/>
  <c r="H480" i="15" s="1"/>
  <c r="F453" i="15"/>
  <c r="G453" i="15" s="1"/>
  <c r="H453" i="15" s="1"/>
  <c r="F429" i="15"/>
  <c r="G429" i="15" s="1"/>
  <c r="H429" i="15" s="1"/>
  <c r="F400" i="15"/>
  <c r="G400" i="15" s="1"/>
  <c r="H400" i="15" s="1"/>
  <c r="F370" i="15"/>
  <c r="G370" i="15" s="1"/>
  <c r="H370" i="15" s="1"/>
  <c r="F338" i="15"/>
  <c r="G338" i="15" s="1"/>
  <c r="H338" i="15" s="1"/>
  <c r="F309" i="15"/>
  <c r="G309" i="15" s="1"/>
  <c r="H309" i="15" s="1"/>
  <c r="F277" i="15"/>
  <c r="G277" i="15" s="1"/>
  <c r="H277" i="15" s="1"/>
  <c r="F246" i="15"/>
  <c r="G246" i="15" s="1"/>
  <c r="H246" i="15" s="1"/>
  <c r="F217" i="15"/>
  <c r="G217" i="15" s="1"/>
  <c r="H217" i="15" s="1"/>
  <c r="F185" i="15"/>
  <c r="G185" i="15" s="1"/>
  <c r="H185" i="15" s="1"/>
  <c r="F154" i="15"/>
  <c r="G154" i="15" s="1"/>
  <c r="H154" i="15" s="1"/>
  <c r="F122" i="15"/>
  <c r="G122" i="15" s="1"/>
  <c r="H122" i="15" s="1"/>
  <c r="F93" i="15"/>
  <c r="G93" i="15" s="1"/>
  <c r="H93" i="15" s="1"/>
  <c r="F61" i="15"/>
  <c r="G61" i="15" s="1"/>
  <c r="H61" i="15" s="1"/>
  <c r="F30" i="15"/>
  <c r="G30" i="15" s="1"/>
  <c r="H30" i="15" s="1"/>
  <c r="F983" i="15"/>
  <c r="G983" i="15" s="1"/>
  <c r="H983" i="15" s="1"/>
  <c r="F960" i="15"/>
  <c r="G960" i="15" s="1"/>
  <c r="H960" i="15" s="1"/>
  <c r="F934" i="15"/>
  <c r="G934" i="15" s="1"/>
  <c r="H934" i="15" s="1"/>
  <c r="F911" i="15"/>
  <c r="G911" i="15" s="1"/>
  <c r="H911" i="15" s="1"/>
  <c r="F886" i="15"/>
  <c r="G886" i="15" s="1"/>
  <c r="H886" i="15" s="1"/>
  <c r="F863" i="15"/>
  <c r="G863" i="15" s="1"/>
  <c r="H863" i="15" s="1"/>
  <c r="F839" i="15"/>
  <c r="G839" i="15" s="1"/>
  <c r="H839" i="15" s="1"/>
  <c r="F814" i="15"/>
  <c r="G814" i="15" s="1"/>
  <c r="H814" i="15" s="1"/>
  <c r="F790" i="15"/>
  <c r="G790" i="15" s="1"/>
  <c r="H790" i="15" s="1"/>
  <c r="F766" i="15"/>
  <c r="G766" i="15" s="1"/>
  <c r="H766" i="15" s="1"/>
  <c r="F742" i="15"/>
  <c r="G742" i="15" s="1"/>
  <c r="H742" i="15" s="1"/>
  <c r="F714" i="15"/>
  <c r="G714" i="15" s="1"/>
  <c r="H714" i="15" s="1"/>
  <c r="F688" i="15"/>
  <c r="G688" i="15" s="1"/>
  <c r="H688" i="15" s="1"/>
  <c r="F663" i="15"/>
  <c r="G663" i="15" s="1"/>
  <c r="H663" i="15" s="1"/>
  <c r="F637" i="15"/>
  <c r="G637" i="15" s="1"/>
  <c r="H637" i="15" s="1"/>
  <c r="F609" i="15"/>
  <c r="G609" i="15" s="1"/>
  <c r="H609" i="15" s="1"/>
  <c r="F584" i="15"/>
  <c r="G584" i="15" s="1"/>
  <c r="H584" i="15" s="1"/>
  <c r="F558" i="15"/>
  <c r="G558" i="15" s="1"/>
  <c r="H558" i="15" s="1"/>
  <c r="F530" i="15"/>
  <c r="G530" i="15" s="1"/>
  <c r="H530" i="15" s="1"/>
  <c r="F505" i="15"/>
  <c r="G505" i="15" s="1"/>
  <c r="H505" i="15" s="1"/>
  <c r="F479" i="15"/>
  <c r="G479" i="15" s="1"/>
  <c r="H479" i="15" s="1"/>
  <c r="F452" i="15"/>
  <c r="G452" i="15" s="1"/>
  <c r="H452" i="15" s="1"/>
  <c r="F426" i="15"/>
  <c r="G426" i="15" s="1"/>
  <c r="H426" i="15" s="1"/>
  <c r="F399" i="15"/>
  <c r="G399" i="15" s="1"/>
  <c r="H399" i="15" s="1"/>
  <c r="F369" i="15"/>
  <c r="G369" i="15" s="1"/>
  <c r="H369" i="15" s="1"/>
  <c r="F337" i="15"/>
  <c r="G337" i="15" s="1"/>
  <c r="H337" i="15" s="1"/>
  <c r="F306" i="15"/>
  <c r="G306" i="15" s="1"/>
  <c r="H306" i="15" s="1"/>
  <c r="F274" i="15"/>
  <c r="G274" i="15" s="1"/>
  <c r="H274" i="15" s="1"/>
  <c r="F245" i="15"/>
  <c r="G245" i="15" s="1"/>
  <c r="H245" i="15" s="1"/>
  <c r="F213" i="15"/>
  <c r="G213" i="15" s="1"/>
  <c r="H213" i="15" s="1"/>
  <c r="F182" i="15"/>
  <c r="G182" i="15" s="1"/>
  <c r="H182" i="15" s="1"/>
  <c r="F153" i="15"/>
  <c r="G153" i="15" s="1"/>
  <c r="H153" i="15" s="1"/>
  <c r="F121" i="15"/>
  <c r="G121" i="15" s="1"/>
  <c r="H121" i="15" s="1"/>
  <c r="F90" i="15"/>
  <c r="G90" i="15" s="1"/>
  <c r="H90" i="15" s="1"/>
  <c r="F58" i="15"/>
  <c r="G58" i="15" s="1"/>
  <c r="H58" i="15" s="1"/>
  <c r="F11" i="15"/>
  <c r="G11" i="15" s="1"/>
  <c r="H11" i="15" s="1"/>
  <c r="F27" i="15"/>
  <c r="G27" i="15" s="1"/>
  <c r="H27" i="15" s="1"/>
  <c r="F43" i="15"/>
  <c r="G43" i="15" s="1"/>
  <c r="H43" i="15" s="1"/>
  <c r="F59" i="15"/>
  <c r="G59" i="15" s="1"/>
  <c r="H59" i="15" s="1"/>
  <c r="F75" i="15"/>
  <c r="G75" i="15" s="1"/>
  <c r="H75" i="15" s="1"/>
  <c r="F91" i="15"/>
  <c r="G91" i="15" s="1"/>
  <c r="H91" i="15" s="1"/>
  <c r="F107" i="15"/>
  <c r="G107" i="15" s="1"/>
  <c r="H107" i="15" s="1"/>
  <c r="F123" i="15"/>
  <c r="G123" i="15" s="1"/>
  <c r="H123" i="15" s="1"/>
  <c r="F139" i="15"/>
  <c r="G139" i="15" s="1"/>
  <c r="H139" i="15" s="1"/>
  <c r="F155" i="15"/>
  <c r="G155" i="15" s="1"/>
  <c r="H155" i="15" s="1"/>
  <c r="F171" i="15"/>
  <c r="G171" i="15" s="1"/>
  <c r="H171" i="15" s="1"/>
  <c r="F187" i="15"/>
  <c r="G187" i="15" s="1"/>
  <c r="H187" i="15" s="1"/>
  <c r="F203" i="15"/>
  <c r="G203" i="15" s="1"/>
  <c r="H203" i="15" s="1"/>
  <c r="F219" i="15"/>
  <c r="G219" i="15" s="1"/>
  <c r="H219" i="15" s="1"/>
  <c r="F235" i="15"/>
  <c r="G235" i="15" s="1"/>
  <c r="H235" i="15" s="1"/>
  <c r="F251" i="15"/>
  <c r="G251" i="15" s="1"/>
  <c r="H251" i="15" s="1"/>
  <c r="F267" i="15"/>
  <c r="G267" i="15" s="1"/>
  <c r="H267" i="15" s="1"/>
  <c r="F283" i="15"/>
  <c r="G283" i="15" s="1"/>
  <c r="H283" i="15" s="1"/>
  <c r="F299" i="15"/>
  <c r="G299" i="15" s="1"/>
  <c r="H299" i="15" s="1"/>
  <c r="F315" i="15"/>
  <c r="G315" i="15" s="1"/>
  <c r="H315" i="15" s="1"/>
  <c r="F331" i="15"/>
  <c r="G331" i="15" s="1"/>
  <c r="H331" i="15" s="1"/>
  <c r="F347" i="15"/>
  <c r="G347" i="15" s="1"/>
  <c r="H347" i="15" s="1"/>
  <c r="F363" i="15"/>
  <c r="G363" i="15" s="1"/>
  <c r="H363" i="15" s="1"/>
  <c r="F379" i="15"/>
  <c r="G379" i="15" s="1"/>
  <c r="H379" i="15" s="1"/>
  <c r="F395" i="15"/>
  <c r="G395" i="15" s="1"/>
  <c r="H395" i="15" s="1"/>
  <c r="F411" i="15"/>
  <c r="G411" i="15" s="1"/>
  <c r="H411" i="15" s="1"/>
  <c r="F427" i="15"/>
  <c r="G427" i="15" s="1"/>
  <c r="H427" i="15" s="1"/>
  <c r="F443" i="15"/>
  <c r="G443" i="15" s="1"/>
  <c r="H443" i="15" s="1"/>
  <c r="F459" i="15"/>
  <c r="G459" i="15" s="1"/>
  <c r="H459" i="15" s="1"/>
  <c r="F475" i="15"/>
  <c r="G475" i="15" s="1"/>
  <c r="H475" i="15" s="1"/>
  <c r="F491" i="15"/>
  <c r="G491" i="15" s="1"/>
  <c r="H491" i="15" s="1"/>
  <c r="F507" i="15"/>
  <c r="G507" i="15" s="1"/>
  <c r="H507" i="15" s="1"/>
  <c r="F523" i="15"/>
  <c r="G523" i="15" s="1"/>
  <c r="H523" i="15" s="1"/>
  <c r="F539" i="15"/>
  <c r="G539" i="15" s="1"/>
  <c r="H539" i="15" s="1"/>
  <c r="F555" i="15"/>
  <c r="G555" i="15" s="1"/>
  <c r="H555" i="15" s="1"/>
  <c r="F571" i="15"/>
  <c r="G571" i="15" s="1"/>
  <c r="H571" i="15" s="1"/>
  <c r="F587" i="15"/>
  <c r="G587" i="15" s="1"/>
  <c r="H587" i="15" s="1"/>
  <c r="F603" i="15"/>
  <c r="G603" i="15" s="1"/>
  <c r="H603" i="15" s="1"/>
  <c r="F619" i="15"/>
  <c r="G619" i="15" s="1"/>
  <c r="H619" i="15" s="1"/>
  <c r="F635" i="15"/>
  <c r="G635" i="15" s="1"/>
  <c r="H635" i="15" s="1"/>
  <c r="F651" i="15"/>
  <c r="G651" i="15" s="1"/>
  <c r="H651" i="15" s="1"/>
  <c r="F667" i="15"/>
  <c r="G667" i="15" s="1"/>
  <c r="H667" i="15" s="1"/>
  <c r="F683" i="15"/>
  <c r="G683" i="15" s="1"/>
  <c r="H683" i="15" s="1"/>
  <c r="F699" i="15"/>
  <c r="G699" i="15" s="1"/>
  <c r="H699" i="15" s="1"/>
  <c r="F715" i="15"/>
  <c r="G715" i="15" s="1"/>
  <c r="H715" i="15" s="1"/>
  <c r="F731" i="15"/>
  <c r="G731" i="15" s="1"/>
  <c r="H731" i="15" s="1"/>
  <c r="F747" i="15"/>
  <c r="G747" i="15" s="1"/>
  <c r="H747" i="15" s="1"/>
  <c r="F763" i="15"/>
  <c r="G763" i="15" s="1"/>
  <c r="H763" i="15" s="1"/>
  <c r="F779" i="15"/>
  <c r="G779" i="15" s="1"/>
  <c r="H779" i="15" s="1"/>
  <c r="F795" i="15"/>
  <c r="G795" i="15" s="1"/>
  <c r="H795" i="15" s="1"/>
  <c r="F811" i="15"/>
  <c r="G811" i="15" s="1"/>
  <c r="H811" i="15" s="1"/>
  <c r="F827" i="15"/>
  <c r="G827" i="15" s="1"/>
  <c r="H827" i="15" s="1"/>
  <c r="F843" i="15"/>
  <c r="G843" i="15" s="1"/>
  <c r="H843" i="15" s="1"/>
  <c r="F859" i="15"/>
  <c r="G859" i="15" s="1"/>
  <c r="H859" i="15" s="1"/>
  <c r="F875" i="15"/>
  <c r="G875" i="15" s="1"/>
  <c r="H875" i="15" s="1"/>
  <c r="F891" i="15"/>
  <c r="G891" i="15" s="1"/>
  <c r="H891" i="15" s="1"/>
  <c r="F907" i="15"/>
  <c r="G907" i="15" s="1"/>
  <c r="H907" i="15" s="1"/>
  <c r="F923" i="15"/>
  <c r="G923" i="15" s="1"/>
  <c r="H923" i="15" s="1"/>
  <c r="F939" i="15"/>
  <c r="G939" i="15" s="1"/>
  <c r="H939" i="15" s="1"/>
  <c r="F955" i="15"/>
  <c r="G955" i="15" s="1"/>
  <c r="H955" i="15" s="1"/>
  <c r="F971" i="15"/>
  <c r="G971" i="15" s="1"/>
  <c r="H971" i="15" s="1"/>
  <c r="F987" i="15"/>
  <c r="G987" i="15" s="1"/>
  <c r="H987" i="15" s="1"/>
  <c r="F1003" i="15"/>
  <c r="G1003" i="15" s="1"/>
  <c r="H1003" i="15" s="1"/>
  <c r="F12" i="15"/>
  <c r="G12" i="15" s="1"/>
  <c r="H12" i="15" s="1"/>
  <c r="F28" i="15"/>
  <c r="G28" i="15" s="1"/>
  <c r="H28" i="15" s="1"/>
  <c r="F44" i="15"/>
  <c r="G44" i="15" s="1"/>
  <c r="H44" i="15" s="1"/>
  <c r="F60" i="15"/>
  <c r="G60" i="15" s="1"/>
  <c r="H60" i="15" s="1"/>
  <c r="F76" i="15"/>
  <c r="G76" i="15" s="1"/>
  <c r="H76" i="15" s="1"/>
  <c r="F92" i="15"/>
  <c r="G92" i="15" s="1"/>
  <c r="H92" i="15" s="1"/>
  <c r="F108" i="15"/>
  <c r="G108" i="15" s="1"/>
  <c r="H108" i="15" s="1"/>
  <c r="F124" i="15"/>
  <c r="G124" i="15" s="1"/>
  <c r="H124" i="15" s="1"/>
  <c r="F140" i="15"/>
  <c r="G140" i="15" s="1"/>
  <c r="H140" i="15" s="1"/>
  <c r="F156" i="15"/>
  <c r="G156" i="15" s="1"/>
  <c r="H156" i="15" s="1"/>
  <c r="F172" i="15"/>
  <c r="G172" i="15" s="1"/>
  <c r="H172" i="15" s="1"/>
  <c r="F188" i="15"/>
  <c r="G188" i="15" s="1"/>
  <c r="H188" i="15" s="1"/>
  <c r="F204" i="15"/>
  <c r="G204" i="15" s="1"/>
  <c r="H204" i="15" s="1"/>
  <c r="F220" i="15"/>
  <c r="G220" i="15" s="1"/>
  <c r="H220" i="15" s="1"/>
  <c r="F236" i="15"/>
  <c r="G236" i="15" s="1"/>
  <c r="H236" i="15" s="1"/>
  <c r="F252" i="15"/>
  <c r="G252" i="15" s="1"/>
  <c r="H252" i="15" s="1"/>
  <c r="F268" i="15"/>
  <c r="G268" i="15" s="1"/>
  <c r="H268" i="15" s="1"/>
  <c r="F284" i="15"/>
  <c r="G284" i="15" s="1"/>
  <c r="H284" i="15" s="1"/>
  <c r="F300" i="15"/>
  <c r="G300" i="15" s="1"/>
  <c r="H300" i="15" s="1"/>
  <c r="F316" i="15"/>
  <c r="G316" i="15" s="1"/>
  <c r="H316" i="15" s="1"/>
  <c r="F332" i="15"/>
  <c r="G332" i="15" s="1"/>
  <c r="H332" i="15" s="1"/>
  <c r="F348" i="15"/>
  <c r="G348" i="15" s="1"/>
  <c r="H348" i="15" s="1"/>
  <c r="F364" i="15"/>
  <c r="G364" i="15" s="1"/>
  <c r="H364" i="15" s="1"/>
  <c r="F380" i="15"/>
  <c r="G380" i="15" s="1"/>
  <c r="H380" i="15" s="1"/>
  <c r="F396" i="15"/>
  <c r="G396" i="15" s="1"/>
  <c r="H396" i="15" s="1"/>
  <c r="F412" i="15"/>
  <c r="G412" i="15" s="1"/>
  <c r="H412" i="15" s="1"/>
  <c r="F428" i="15"/>
  <c r="G428" i="15" s="1"/>
  <c r="H428" i="15" s="1"/>
  <c r="F444" i="15"/>
  <c r="G444" i="15" s="1"/>
  <c r="H444" i="15" s="1"/>
  <c r="F460" i="15"/>
  <c r="G460" i="15" s="1"/>
  <c r="H460" i="15" s="1"/>
  <c r="F476" i="15"/>
  <c r="G476" i="15" s="1"/>
  <c r="H476" i="15" s="1"/>
  <c r="F492" i="15"/>
  <c r="G492" i="15" s="1"/>
  <c r="H492" i="15" s="1"/>
  <c r="F508" i="15"/>
  <c r="G508" i="15" s="1"/>
  <c r="H508" i="15" s="1"/>
  <c r="F524" i="15"/>
  <c r="G524" i="15" s="1"/>
  <c r="H524" i="15" s="1"/>
  <c r="F540" i="15"/>
  <c r="G540" i="15" s="1"/>
  <c r="H540" i="15" s="1"/>
  <c r="F556" i="15"/>
  <c r="G556" i="15" s="1"/>
  <c r="H556" i="15" s="1"/>
  <c r="F572" i="15"/>
  <c r="G572" i="15" s="1"/>
  <c r="H572" i="15" s="1"/>
  <c r="F588" i="15"/>
  <c r="G588" i="15" s="1"/>
  <c r="H588" i="15" s="1"/>
  <c r="F604" i="15"/>
  <c r="G604" i="15" s="1"/>
  <c r="H604" i="15" s="1"/>
  <c r="F620" i="15"/>
  <c r="G620" i="15" s="1"/>
  <c r="H620" i="15" s="1"/>
  <c r="F636" i="15"/>
  <c r="G636" i="15" s="1"/>
  <c r="H636" i="15" s="1"/>
  <c r="F652" i="15"/>
  <c r="G652" i="15" s="1"/>
  <c r="H652" i="15" s="1"/>
  <c r="F668" i="15"/>
  <c r="G668" i="15" s="1"/>
  <c r="H668" i="15" s="1"/>
  <c r="F684" i="15"/>
  <c r="G684" i="15" s="1"/>
  <c r="H684" i="15" s="1"/>
  <c r="F700" i="15"/>
  <c r="G700" i="15" s="1"/>
  <c r="H700" i="15" s="1"/>
  <c r="F716" i="15"/>
  <c r="G716" i="15" s="1"/>
  <c r="H716" i="15" s="1"/>
  <c r="F732" i="15"/>
  <c r="G732" i="15" s="1"/>
  <c r="H732" i="15" s="1"/>
  <c r="F748" i="15"/>
  <c r="G748" i="15" s="1"/>
  <c r="H748" i="15" s="1"/>
  <c r="F764" i="15"/>
  <c r="G764" i="15" s="1"/>
  <c r="H764" i="15" s="1"/>
  <c r="F780" i="15"/>
  <c r="G780" i="15" s="1"/>
  <c r="H780" i="15" s="1"/>
  <c r="F796" i="15"/>
  <c r="G796" i="15" s="1"/>
  <c r="H796" i="15" s="1"/>
  <c r="F812" i="15"/>
  <c r="G812" i="15" s="1"/>
  <c r="H812" i="15" s="1"/>
  <c r="F828" i="15"/>
  <c r="G828" i="15" s="1"/>
  <c r="H828" i="15" s="1"/>
  <c r="F844" i="15"/>
  <c r="G844" i="15" s="1"/>
  <c r="H844" i="15" s="1"/>
  <c r="F860" i="15"/>
  <c r="G860" i="15" s="1"/>
  <c r="H860" i="15" s="1"/>
  <c r="F876" i="15"/>
  <c r="G876" i="15" s="1"/>
  <c r="H876" i="15" s="1"/>
  <c r="F892" i="15"/>
  <c r="G892" i="15" s="1"/>
  <c r="H892" i="15" s="1"/>
  <c r="F908" i="15"/>
  <c r="G908" i="15" s="1"/>
  <c r="H908" i="15" s="1"/>
  <c r="F924" i="15"/>
  <c r="G924" i="15" s="1"/>
  <c r="H924" i="15" s="1"/>
  <c r="F940" i="15"/>
  <c r="G940" i="15" s="1"/>
  <c r="H940" i="15" s="1"/>
  <c r="F956" i="15"/>
  <c r="G956" i="15" s="1"/>
  <c r="H956" i="15" s="1"/>
  <c r="F972" i="15"/>
  <c r="G972" i="15" s="1"/>
  <c r="H972" i="15" s="1"/>
  <c r="F988" i="15"/>
  <c r="G988" i="15" s="1"/>
  <c r="H988" i="15" s="1"/>
  <c r="F1004" i="15"/>
  <c r="G1004" i="15" s="1"/>
  <c r="H1004" i="15" s="1"/>
  <c r="F19" i="15"/>
  <c r="G19" i="15" s="1"/>
  <c r="H19" i="15" s="1"/>
  <c r="F35" i="15"/>
  <c r="G35" i="15" s="1"/>
  <c r="H35" i="15" s="1"/>
  <c r="F51" i="15"/>
  <c r="G51" i="15" s="1"/>
  <c r="H51" i="15" s="1"/>
  <c r="F67" i="15"/>
  <c r="G67" i="15" s="1"/>
  <c r="H67" i="15" s="1"/>
  <c r="F83" i="15"/>
  <c r="G83" i="15" s="1"/>
  <c r="H83" i="15" s="1"/>
  <c r="F99" i="15"/>
  <c r="G99" i="15" s="1"/>
  <c r="H99" i="15" s="1"/>
  <c r="F115" i="15"/>
  <c r="G115" i="15" s="1"/>
  <c r="H115" i="15" s="1"/>
  <c r="F131" i="15"/>
  <c r="G131" i="15" s="1"/>
  <c r="H131" i="15" s="1"/>
  <c r="F147" i="15"/>
  <c r="G147" i="15" s="1"/>
  <c r="H147" i="15" s="1"/>
  <c r="F163" i="15"/>
  <c r="G163" i="15" s="1"/>
  <c r="H163" i="15" s="1"/>
  <c r="F179" i="15"/>
  <c r="G179" i="15" s="1"/>
  <c r="H179" i="15" s="1"/>
  <c r="F195" i="15"/>
  <c r="G195" i="15" s="1"/>
  <c r="H195" i="15" s="1"/>
  <c r="F211" i="15"/>
  <c r="G211" i="15" s="1"/>
  <c r="H211" i="15" s="1"/>
  <c r="F227" i="15"/>
  <c r="G227" i="15" s="1"/>
  <c r="H227" i="15" s="1"/>
  <c r="F243" i="15"/>
  <c r="G243" i="15" s="1"/>
  <c r="H243" i="15" s="1"/>
  <c r="F259" i="15"/>
  <c r="G259" i="15" s="1"/>
  <c r="H259" i="15" s="1"/>
  <c r="F275" i="15"/>
  <c r="G275" i="15" s="1"/>
  <c r="H275" i="15" s="1"/>
  <c r="F291" i="15"/>
  <c r="G291" i="15" s="1"/>
  <c r="H291" i="15" s="1"/>
  <c r="F307" i="15"/>
  <c r="G307" i="15" s="1"/>
  <c r="H307" i="15" s="1"/>
  <c r="F323" i="15"/>
  <c r="G323" i="15" s="1"/>
  <c r="H323" i="15" s="1"/>
  <c r="F339" i="15"/>
  <c r="G339" i="15" s="1"/>
  <c r="H339" i="15" s="1"/>
  <c r="F355" i="15"/>
  <c r="G355" i="15" s="1"/>
  <c r="H355" i="15" s="1"/>
  <c r="F371" i="15"/>
  <c r="G371" i="15" s="1"/>
  <c r="H371" i="15" s="1"/>
  <c r="F387" i="15"/>
  <c r="G387" i="15" s="1"/>
  <c r="H387" i="15" s="1"/>
  <c r="F403" i="15"/>
  <c r="G403" i="15" s="1"/>
  <c r="H403" i="15" s="1"/>
  <c r="F419" i="15"/>
  <c r="G419" i="15" s="1"/>
  <c r="H419" i="15" s="1"/>
  <c r="F435" i="15"/>
  <c r="G435" i="15" s="1"/>
  <c r="H435" i="15" s="1"/>
  <c r="F451" i="15"/>
  <c r="G451" i="15" s="1"/>
  <c r="H451" i="15" s="1"/>
  <c r="F467" i="15"/>
  <c r="G467" i="15" s="1"/>
  <c r="H467" i="15" s="1"/>
  <c r="F483" i="15"/>
  <c r="G483" i="15" s="1"/>
  <c r="H483" i="15" s="1"/>
  <c r="F499" i="15"/>
  <c r="G499" i="15" s="1"/>
  <c r="H499" i="15" s="1"/>
  <c r="F515" i="15"/>
  <c r="G515" i="15" s="1"/>
  <c r="H515" i="15" s="1"/>
  <c r="F531" i="15"/>
  <c r="G531" i="15" s="1"/>
  <c r="H531" i="15" s="1"/>
  <c r="F547" i="15"/>
  <c r="G547" i="15" s="1"/>
  <c r="H547" i="15" s="1"/>
  <c r="F563" i="15"/>
  <c r="G563" i="15" s="1"/>
  <c r="H563" i="15" s="1"/>
  <c r="F579" i="15"/>
  <c r="G579" i="15" s="1"/>
  <c r="H579" i="15" s="1"/>
  <c r="F595" i="15"/>
  <c r="G595" i="15" s="1"/>
  <c r="H595" i="15" s="1"/>
  <c r="F611" i="15"/>
  <c r="G611" i="15" s="1"/>
  <c r="H611" i="15" s="1"/>
  <c r="F627" i="15"/>
  <c r="G627" i="15" s="1"/>
  <c r="H627" i="15" s="1"/>
  <c r="F643" i="15"/>
  <c r="G643" i="15" s="1"/>
  <c r="H643" i="15" s="1"/>
  <c r="F659" i="15"/>
  <c r="G659" i="15" s="1"/>
  <c r="H659" i="15" s="1"/>
  <c r="F675" i="15"/>
  <c r="G675" i="15" s="1"/>
  <c r="H675" i="15" s="1"/>
  <c r="F691" i="15"/>
  <c r="G691" i="15" s="1"/>
  <c r="H691" i="15" s="1"/>
  <c r="F707" i="15"/>
  <c r="G707" i="15" s="1"/>
  <c r="H707" i="15" s="1"/>
  <c r="F723" i="15"/>
  <c r="G723" i="15" s="1"/>
  <c r="H723" i="15" s="1"/>
  <c r="F739" i="15"/>
  <c r="G739" i="15" s="1"/>
  <c r="H739" i="15" s="1"/>
  <c r="F755" i="15"/>
  <c r="G755" i="15" s="1"/>
  <c r="H755" i="15" s="1"/>
  <c r="F771" i="15"/>
  <c r="G771" i="15" s="1"/>
  <c r="H771" i="15" s="1"/>
  <c r="F787" i="15"/>
  <c r="G787" i="15" s="1"/>
  <c r="H787" i="15" s="1"/>
  <c r="F803" i="15"/>
  <c r="G803" i="15" s="1"/>
  <c r="H803" i="15" s="1"/>
  <c r="F819" i="15"/>
  <c r="G819" i="15" s="1"/>
  <c r="H819" i="15" s="1"/>
  <c r="F835" i="15"/>
  <c r="G835" i="15" s="1"/>
  <c r="H835" i="15" s="1"/>
  <c r="F851" i="15"/>
  <c r="G851" i="15" s="1"/>
  <c r="H851" i="15" s="1"/>
  <c r="F867" i="15"/>
  <c r="G867" i="15" s="1"/>
  <c r="H867" i="15" s="1"/>
  <c r="F883" i="15"/>
  <c r="G883" i="15" s="1"/>
  <c r="H883" i="15" s="1"/>
  <c r="F899" i="15"/>
  <c r="G899" i="15" s="1"/>
  <c r="H899" i="15" s="1"/>
  <c r="F915" i="15"/>
  <c r="G915" i="15" s="1"/>
  <c r="H915" i="15" s="1"/>
  <c r="F931" i="15"/>
  <c r="G931" i="15" s="1"/>
  <c r="H931" i="15" s="1"/>
  <c r="F947" i="15"/>
  <c r="G947" i="15" s="1"/>
  <c r="H947" i="15" s="1"/>
  <c r="F963" i="15"/>
  <c r="G963" i="15" s="1"/>
  <c r="H963" i="15" s="1"/>
  <c r="F979" i="15"/>
  <c r="G979" i="15" s="1"/>
  <c r="H979" i="15" s="1"/>
  <c r="F995" i="15"/>
  <c r="G995" i="15" s="1"/>
  <c r="H995" i="15" s="1"/>
  <c r="F20" i="15"/>
  <c r="G20" i="15" s="1"/>
  <c r="H20" i="15" s="1"/>
  <c r="F36" i="15"/>
  <c r="G36" i="15" s="1"/>
  <c r="H36" i="15" s="1"/>
  <c r="F52" i="15"/>
  <c r="G52" i="15" s="1"/>
  <c r="H52" i="15" s="1"/>
  <c r="F68" i="15"/>
  <c r="G68" i="15" s="1"/>
  <c r="H68" i="15" s="1"/>
  <c r="F84" i="15"/>
  <c r="G84" i="15" s="1"/>
  <c r="H84" i="15" s="1"/>
  <c r="F100" i="15"/>
  <c r="G100" i="15" s="1"/>
  <c r="H100" i="15" s="1"/>
  <c r="F116" i="15"/>
  <c r="G116" i="15" s="1"/>
  <c r="H116" i="15" s="1"/>
  <c r="F132" i="15"/>
  <c r="G132" i="15" s="1"/>
  <c r="H132" i="15" s="1"/>
  <c r="F148" i="15"/>
  <c r="G148" i="15" s="1"/>
  <c r="H148" i="15" s="1"/>
  <c r="F164" i="15"/>
  <c r="G164" i="15" s="1"/>
  <c r="H164" i="15" s="1"/>
  <c r="F180" i="15"/>
  <c r="G180" i="15" s="1"/>
  <c r="H180" i="15" s="1"/>
  <c r="F196" i="15"/>
  <c r="G196" i="15" s="1"/>
  <c r="H196" i="15" s="1"/>
  <c r="F212" i="15"/>
  <c r="G212" i="15" s="1"/>
  <c r="H212" i="15" s="1"/>
  <c r="F228" i="15"/>
  <c r="G228" i="15" s="1"/>
  <c r="H228" i="15" s="1"/>
  <c r="F244" i="15"/>
  <c r="G244" i="15" s="1"/>
  <c r="H244" i="15" s="1"/>
  <c r="F260" i="15"/>
  <c r="G260" i="15" s="1"/>
  <c r="H260" i="15" s="1"/>
  <c r="F276" i="15"/>
  <c r="G276" i="15" s="1"/>
  <c r="H276" i="15" s="1"/>
  <c r="F292" i="15"/>
  <c r="G292" i="15" s="1"/>
  <c r="H292" i="15" s="1"/>
  <c r="F308" i="15"/>
  <c r="G308" i="15" s="1"/>
  <c r="H308" i="15" s="1"/>
  <c r="F324" i="15"/>
  <c r="G324" i="15" s="1"/>
  <c r="H324" i="15" s="1"/>
  <c r="F340" i="15"/>
  <c r="G340" i="15" s="1"/>
  <c r="H340" i="15" s="1"/>
  <c r="F356" i="15"/>
  <c r="G356" i="15" s="1"/>
  <c r="H356" i="15" s="1"/>
  <c r="F372" i="15"/>
  <c r="G372" i="15" s="1"/>
  <c r="H372" i="15" s="1"/>
  <c r="F13" i="15"/>
  <c r="G13" i="15" s="1"/>
  <c r="H13" i="15" s="1"/>
  <c r="F33" i="15"/>
  <c r="G33" i="15" s="1"/>
  <c r="H33" i="15" s="1"/>
  <c r="F55" i="15"/>
  <c r="G55" i="15" s="1"/>
  <c r="H55" i="15" s="1"/>
  <c r="F77" i="15"/>
  <c r="G77" i="15" s="1"/>
  <c r="H77" i="15" s="1"/>
  <c r="F97" i="15"/>
  <c r="G97" i="15" s="1"/>
  <c r="H97" i="15" s="1"/>
  <c r="F119" i="15"/>
  <c r="G119" i="15" s="1"/>
  <c r="H119" i="15" s="1"/>
  <c r="F141" i="15"/>
  <c r="G141" i="15" s="1"/>
  <c r="H141" i="15" s="1"/>
  <c r="F161" i="15"/>
  <c r="G161" i="15" s="1"/>
  <c r="H161" i="15" s="1"/>
  <c r="F183" i="15"/>
  <c r="G183" i="15" s="1"/>
  <c r="H183" i="15" s="1"/>
  <c r="F205" i="15"/>
  <c r="G205" i="15" s="1"/>
  <c r="H205" i="15" s="1"/>
  <c r="F225" i="15"/>
  <c r="G225" i="15" s="1"/>
  <c r="H225" i="15" s="1"/>
  <c r="F247" i="15"/>
  <c r="G247" i="15" s="1"/>
  <c r="H247" i="15" s="1"/>
  <c r="F269" i="15"/>
  <c r="G269" i="15" s="1"/>
  <c r="H269" i="15" s="1"/>
  <c r="F289" i="15"/>
  <c r="G289" i="15" s="1"/>
  <c r="H289" i="15" s="1"/>
  <c r="F311" i="15"/>
  <c r="G311" i="15" s="1"/>
  <c r="H311" i="15" s="1"/>
  <c r="F333" i="15"/>
  <c r="G333" i="15" s="1"/>
  <c r="H333" i="15" s="1"/>
  <c r="F353" i="15"/>
  <c r="G353" i="15" s="1"/>
  <c r="H353" i="15" s="1"/>
  <c r="F375" i="15"/>
  <c r="G375" i="15" s="1"/>
  <c r="H375" i="15" s="1"/>
  <c r="F394" i="15"/>
  <c r="G394" i="15" s="1"/>
  <c r="H394" i="15" s="1"/>
  <c r="F415" i="15"/>
  <c r="G415" i="15" s="1"/>
  <c r="H415" i="15" s="1"/>
  <c r="F434" i="15"/>
  <c r="G434" i="15" s="1"/>
  <c r="H434" i="15" s="1"/>
  <c r="F454" i="15"/>
  <c r="G454" i="15" s="1"/>
  <c r="H454" i="15" s="1"/>
  <c r="F473" i="15"/>
  <c r="G473" i="15" s="1"/>
  <c r="H473" i="15" s="1"/>
  <c r="F494" i="15"/>
  <c r="G494" i="15" s="1"/>
  <c r="H494" i="15" s="1"/>
  <c r="F513" i="15"/>
  <c r="G513" i="15" s="1"/>
  <c r="H513" i="15" s="1"/>
  <c r="F533" i="15"/>
  <c r="G533" i="15" s="1"/>
  <c r="H533" i="15" s="1"/>
  <c r="F552" i="15"/>
  <c r="G552" i="15" s="1"/>
  <c r="H552" i="15" s="1"/>
  <c r="F573" i="15"/>
  <c r="G573" i="15" s="1"/>
  <c r="H573" i="15" s="1"/>
  <c r="F592" i="15"/>
  <c r="G592" i="15" s="1"/>
  <c r="H592" i="15" s="1"/>
  <c r="F612" i="15"/>
  <c r="G612" i="15" s="1"/>
  <c r="H612" i="15" s="1"/>
  <c r="F631" i="15"/>
  <c r="G631" i="15" s="1"/>
  <c r="H631" i="15" s="1"/>
  <c r="F650" i="15"/>
  <c r="G650" i="15" s="1"/>
  <c r="H650" i="15" s="1"/>
  <c r="F671" i="15"/>
  <c r="G671" i="15" s="1"/>
  <c r="H671" i="15" s="1"/>
  <c r="F690" i="15"/>
  <c r="G690" i="15" s="1"/>
  <c r="H690" i="15" s="1"/>
  <c r="F710" i="15"/>
  <c r="G710" i="15" s="1"/>
  <c r="H710" i="15" s="1"/>
  <c r="F729" i="15"/>
  <c r="G729" i="15" s="1"/>
  <c r="H729" i="15" s="1"/>
  <c r="F750" i="15"/>
  <c r="G750" i="15" s="1"/>
  <c r="H750" i="15" s="1"/>
  <c r="F769" i="15"/>
  <c r="G769" i="15" s="1"/>
  <c r="H769" i="15" s="1"/>
  <c r="F789" i="15"/>
  <c r="G789" i="15" s="1"/>
  <c r="H789" i="15" s="1"/>
  <c r="F808" i="15"/>
  <c r="G808" i="15" s="1"/>
  <c r="H808" i="15" s="1"/>
  <c r="F829" i="15"/>
  <c r="G829" i="15" s="1"/>
  <c r="H829" i="15" s="1"/>
  <c r="F848" i="15"/>
  <c r="G848" i="15" s="1"/>
  <c r="H848" i="15" s="1"/>
  <c r="F868" i="15"/>
  <c r="G868" i="15" s="1"/>
  <c r="H868" i="15" s="1"/>
  <c r="F887" i="15"/>
  <c r="G887" i="15" s="1"/>
  <c r="H887" i="15" s="1"/>
  <c r="F906" i="15"/>
  <c r="G906" i="15" s="1"/>
  <c r="H906" i="15" s="1"/>
  <c r="F927" i="15"/>
  <c r="G927" i="15" s="1"/>
  <c r="H927" i="15" s="1"/>
  <c r="F946" i="15"/>
  <c r="G946" i="15" s="1"/>
  <c r="H946" i="15" s="1"/>
  <c r="F966" i="15"/>
  <c r="G966" i="15" s="1"/>
  <c r="H966" i="15" s="1"/>
  <c r="F985" i="15"/>
  <c r="G985" i="15" s="1"/>
  <c r="H985" i="15" s="1"/>
  <c r="F14" i="15"/>
  <c r="G14" i="15" s="1"/>
  <c r="H14" i="15" s="1"/>
  <c r="F34" i="15"/>
  <c r="G34" i="15" s="1"/>
  <c r="H34" i="15" s="1"/>
  <c r="F56" i="15"/>
  <c r="G56" i="15" s="1"/>
  <c r="H56" i="15" s="1"/>
  <c r="F78" i="15"/>
  <c r="G78" i="15" s="1"/>
  <c r="H78" i="15" s="1"/>
  <c r="F98" i="15"/>
  <c r="G98" i="15" s="1"/>
  <c r="H98" i="15" s="1"/>
  <c r="F120" i="15"/>
  <c r="G120" i="15" s="1"/>
  <c r="H120" i="15" s="1"/>
  <c r="F142" i="15"/>
  <c r="G142" i="15" s="1"/>
  <c r="H142" i="15" s="1"/>
  <c r="F162" i="15"/>
  <c r="G162" i="15" s="1"/>
  <c r="H162" i="15" s="1"/>
  <c r="F184" i="15"/>
  <c r="G184" i="15" s="1"/>
  <c r="H184" i="15" s="1"/>
  <c r="F206" i="15"/>
  <c r="G206" i="15" s="1"/>
  <c r="H206" i="15" s="1"/>
  <c r="F226" i="15"/>
  <c r="G226" i="15" s="1"/>
  <c r="H226" i="15" s="1"/>
  <c r="F248" i="15"/>
  <c r="G248" i="15" s="1"/>
  <c r="H248" i="15" s="1"/>
  <c r="F270" i="15"/>
  <c r="G270" i="15" s="1"/>
  <c r="H270" i="15" s="1"/>
  <c r="F290" i="15"/>
  <c r="G290" i="15" s="1"/>
  <c r="H290" i="15" s="1"/>
  <c r="F312" i="15"/>
  <c r="G312" i="15" s="1"/>
  <c r="H312" i="15" s="1"/>
  <c r="F334" i="15"/>
  <c r="G334" i="15" s="1"/>
  <c r="H334" i="15" s="1"/>
  <c r="F354" i="15"/>
  <c r="G354" i="15" s="1"/>
  <c r="H354" i="15" s="1"/>
  <c r="F376" i="15"/>
  <c r="G376" i="15" s="1"/>
  <c r="H376" i="15" s="1"/>
  <c r="F397" i="15"/>
  <c r="G397" i="15" s="1"/>
  <c r="H397" i="15" s="1"/>
  <c r="F416" i="15"/>
  <c r="G416" i="15" s="1"/>
  <c r="H416" i="15" s="1"/>
  <c r="F436" i="15"/>
  <c r="G436" i="15" s="1"/>
  <c r="H436" i="15" s="1"/>
  <c r="F455" i="15"/>
  <c r="G455" i="15" s="1"/>
  <c r="H455" i="15" s="1"/>
  <c r="F474" i="15"/>
  <c r="G474" i="15" s="1"/>
  <c r="H474" i="15" s="1"/>
  <c r="F495" i="15"/>
  <c r="G495" i="15" s="1"/>
  <c r="H495" i="15" s="1"/>
  <c r="F514" i="15"/>
  <c r="G514" i="15" s="1"/>
  <c r="H514" i="15" s="1"/>
  <c r="F534" i="15"/>
  <c r="G534" i="15" s="1"/>
  <c r="H534" i="15" s="1"/>
  <c r="F553" i="15"/>
  <c r="G553" i="15" s="1"/>
  <c r="H553" i="15" s="1"/>
  <c r="F574" i="15"/>
  <c r="G574" i="15" s="1"/>
  <c r="H574" i="15" s="1"/>
  <c r="F593" i="15"/>
  <c r="G593" i="15" s="1"/>
  <c r="H593" i="15" s="1"/>
  <c r="F613" i="15"/>
  <c r="G613" i="15" s="1"/>
  <c r="H613" i="15" s="1"/>
  <c r="F632" i="15"/>
  <c r="G632" i="15" s="1"/>
  <c r="H632" i="15" s="1"/>
  <c r="F653" i="15"/>
  <c r="G653" i="15" s="1"/>
  <c r="H653" i="15" s="1"/>
  <c r="F672" i="15"/>
  <c r="G672" i="15" s="1"/>
  <c r="H672" i="15" s="1"/>
  <c r="F692" i="15"/>
  <c r="G692" i="15" s="1"/>
  <c r="H692" i="15" s="1"/>
  <c r="F711" i="15"/>
  <c r="G711" i="15" s="1"/>
  <c r="H711" i="15" s="1"/>
  <c r="F730" i="15"/>
  <c r="G730" i="15" s="1"/>
  <c r="H730" i="15" s="1"/>
  <c r="F22" i="15"/>
  <c r="G22" i="15" s="1"/>
  <c r="H22" i="15" s="1"/>
  <c r="F42" i="15"/>
  <c r="G42" i="15" s="1"/>
  <c r="H42" i="15" s="1"/>
  <c r="F64" i="15"/>
  <c r="G64" i="15" s="1"/>
  <c r="H64" i="15" s="1"/>
  <c r="F86" i="15"/>
  <c r="G86" i="15" s="1"/>
  <c r="H86" i="15" s="1"/>
  <c r="F106" i="15"/>
  <c r="G106" i="15" s="1"/>
  <c r="H106" i="15" s="1"/>
  <c r="F128" i="15"/>
  <c r="G128" i="15" s="1"/>
  <c r="H128" i="15" s="1"/>
  <c r="F150" i="15"/>
  <c r="G150" i="15" s="1"/>
  <c r="H150" i="15" s="1"/>
  <c r="F170" i="15"/>
  <c r="G170" i="15" s="1"/>
  <c r="H170" i="15" s="1"/>
  <c r="F192" i="15"/>
  <c r="G192" i="15" s="1"/>
  <c r="H192" i="15" s="1"/>
  <c r="F214" i="15"/>
  <c r="G214" i="15" s="1"/>
  <c r="H214" i="15" s="1"/>
  <c r="F234" i="15"/>
  <c r="G234" i="15" s="1"/>
  <c r="H234" i="15" s="1"/>
  <c r="F256" i="15"/>
  <c r="G256" i="15" s="1"/>
  <c r="H256" i="15" s="1"/>
  <c r="F278" i="15"/>
  <c r="G278" i="15" s="1"/>
  <c r="H278" i="15" s="1"/>
  <c r="F298" i="15"/>
  <c r="G298" i="15" s="1"/>
  <c r="H298" i="15" s="1"/>
  <c r="F320" i="15"/>
  <c r="G320" i="15" s="1"/>
  <c r="H320" i="15" s="1"/>
  <c r="F342" i="15"/>
  <c r="G342" i="15" s="1"/>
  <c r="H342" i="15" s="1"/>
  <c r="F362" i="15"/>
  <c r="G362" i="15" s="1"/>
  <c r="H362" i="15" s="1"/>
  <c r="F384" i="15"/>
  <c r="G384" i="15" s="1"/>
  <c r="H384" i="15" s="1"/>
  <c r="F404" i="15"/>
  <c r="G404" i="15" s="1"/>
  <c r="H404" i="15" s="1"/>
  <c r="F423" i="15"/>
  <c r="G423" i="15" s="1"/>
  <c r="H423" i="15" s="1"/>
  <c r="F442" i="15"/>
  <c r="G442" i="15" s="1"/>
  <c r="H442" i="15" s="1"/>
  <c r="F463" i="15"/>
  <c r="G463" i="15" s="1"/>
  <c r="H463" i="15" s="1"/>
  <c r="F482" i="15"/>
  <c r="G482" i="15" s="1"/>
  <c r="H482" i="15" s="1"/>
  <c r="F502" i="15"/>
  <c r="G502" i="15" s="1"/>
  <c r="H502" i="15" s="1"/>
  <c r="F521" i="15"/>
  <c r="G521" i="15" s="1"/>
  <c r="H521" i="15" s="1"/>
  <c r="F542" i="15"/>
  <c r="G542" i="15" s="1"/>
  <c r="H542" i="15" s="1"/>
  <c r="F561" i="15"/>
  <c r="G561" i="15" s="1"/>
  <c r="H561" i="15" s="1"/>
  <c r="F581" i="15"/>
  <c r="G581" i="15" s="1"/>
  <c r="H581" i="15" s="1"/>
  <c r="F600" i="15"/>
  <c r="G600" i="15" s="1"/>
  <c r="H600" i="15" s="1"/>
  <c r="F621" i="15"/>
  <c r="G621" i="15" s="1"/>
  <c r="H621" i="15" s="1"/>
  <c r="F640" i="15"/>
  <c r="G640" i="15" s="1"/>
  <c r="H640" i="15" s="1"/>
  <c r="F660" i="15"/>
  <c r="G660" i="15" s="1"/>
  <c r="H660" i="15" s="1"/>
  <c r="F679" i="15"/>
  <c r="G679" i="15" s="1"/>
  <c r="H679" i="15" s="1"/>
  <c r="F698" i="15"/>
  <c r="G698" i="15" s="1"/>
  <c r="H698" i="15" s="1"/>
  <c r="F719" i="15"/>
  <c r="G719" i="15" s="1"/>
  <c r="H719" i="15" s="1"/>
  <c r="F738" i="15"/>
  <c r="G738" i="15" s="1"/>
  <c r="H738" i="15" s="1"/>
  <c r="F758" i="15"/>
  <c r="G758" i="15" s="1"/>
  <c r="H758" i="15" s="1"/>
  <c r="F777" i="15"/>
  <c r="G777" i="15" s="1"/>
  <c r="H777" i="15" s="1"/>
  <c r="F798" i="15"/>
  <c r="G798" i="15" s="1"/>
  <c r="H798" i="15" s="1"/>
  <c r="F817" i="15"/>
  <c r="G817" i="15" s="1"/>
  <c r="H817" i="15" s="1"/>
  <c r="F837" i="15"/>
  <c r="G837" i="15" s="1"/>
  <c r="H837" i="15" s="1"/>
  <c r="F856" i="15"/>
  <c r="G856" i="15" s="1"/>
  <c r="H856" i="15" s="1"/>
  <c r="F877" i="15"/>
  <c r="G877" i="15" s="1"/>
  <c r="H877" i="15" s="1"/>
  <c r="F896" i="15"/>
  <c r="G896" i="15" s="1"/>
  <c r="H896" i="15" s="1"/>
  <c r="F916" i="15"/>
  <c r="G916" i="15" s="1"/>
  <c r="H916" i="15" s="1"/>
  <c r="F935" i="15"/>
  <c r="G935" i="15" s="1"/>
  <c r="H935" i="15" s="1"/>
  <c r="F954" i="15"/>
  <c r="G954" i="15" s="1"/>
  <c r="H954" i="15" s="1"/>
  <c r="F975" i="15"/>
  <c r="G975" i="15" s="1"/>
  <c r="H975" i="15" s="1"/>
  <c r="F994" i="15"/>
  <c r="G994" i="15" s="1"/>
  <c r="H994" i="15" s="1"/>
  <c r="F46" i="15"/>
  <c r="G46" i="15" s="1"/>
  <c r="H46" i="15" s="1"/>
  <c r="F66" i="15"/>
  <c r="G66" i="15" s="1"/>
  <c r="H66" i="15" s="1"/>
  <c r="F88" i="15"/>
  <c r="G88" i="15" s="1"/>
  <c r="H88" i="15" s="1"/>
  <c r="F152" i="15"/>
  <c r="G152" i="15" s="1"/>
  <c r="H152" i="15" s="1"/>
  <c r="F216" i="15"/>
  <c r="G216" i="15" s="1"/>
  <c r="H216" i="15" s="1"/>
  <c r="F258" i="15"/>
  <c r="G258" i="15" s="1"/>
  <c r="H258" i="15" s="1"/>
  <c r="F302" i="15"/>
  <c r="G302" i="15" s="1"/>
  <c r="H302" i="15" s="1"/>
  <c r="F344" i="15"/>
  <c r="G344" i="15" s="1"/>
  <c r="H344" i="15" s="1"/>
  <c r="F386" i="15"/>
  <c r="G386" i="15" s="1"/>
  <c r="H386" i="15" s="1"/>
  <c r="F23" i="15"/>
  <c r="G23" i="15" s="1"/>
  <c r="H23" i="15" s="1"/>
  <c r="F45" i="15"/>
  <c r="G45" i="15" s="1"/>
  <c r="H45" i="15" s="1"/>
  <c r="F65" i="15"/>
  <c r="G65" i="15" s="1"/>
  <c r="H65" i="15" s="1"/>
  <c r="F87" i="15"/>
  <c r="G87" i="15" s="1"/>
  <c r="H87" i="15" s="1"/>
  <c r="F109" i="15"/>
  <c r="G109" i="15" s="1"/>
  <c r="H109" i="15" s="1"/>
  <c r="F129" i="15"/>
  <c r="G129" i="15" s="1"/>
  <c r="H129" i="15" s="1"/>
  <c r="F151" i="15"/>
  <c r="G151" i="15" s="1"/>
  <c r="H151" i="15" s="1"/>
  <c r="F173" i="15"/>
  <c r="G173" i="15" s="1"/>
  <c r="H173" i="15" s="1"/>
  <c r="F193" i="15"/>
  <c r="G193" i="15" s="1"/>
  <c r="H193" i="15" s="1"/>
  <c r="F215" i="15"/>
  <c r="G215" i="15" s="1"/>
  <c r="H215" i="15" s="1"/>
  <c r="F237" i="15"/>
  <c r="G237" i="15" s="1"/>
  <c r="H237" i="15" s="1"/>
  <c r="F257" i="15"/>
  <c r="G257" i="15" s="1"/>
  <c r="H257" i="15" s="1"/>
  <c r="F279" i="15"/>
  <c r="G279" i="15" s="1"/>
  <c r="H279" i="15" s="1"/>
  <c r="F301" i="15"/>
  <c r="G301" i="15" s="1"/>
  <c r="H301" i="15" s="1"/>
  <c r="F321" i="15"/>
  <c r="G321" i="15" s="1"/>
  <c r="H321" i="15" s="1"/>
  <c r="F343" i="15"/>
  <c r="G343" i="15" s="1"/>
  <c r="H343" i="15" s="1"/>
  <c r="F365" i="15"/>
  <c r="G365" i="15" s="1"/>
  <c r="H365" i="15" s="1"/>
  <c r="F385" i="15"/>
  <c r="G385" i="15" s="1"/>
  <c r="H385" i="15" s="1"/>
  <c r="F405" i="15"/>
  <c r="G405" i="15" s="1"/>
  <c r="H405" i="15" s="1"/>
  <c r="F424" i="15"/>
  <c r="G424" i="15" s="1"/>
  <c r="H424" i="15" s="1"/>
  <c r="F445" i="15"/>
  <c r="G445" i="15" s="1"/>
  <c r="H445" i="15" s="1"/>
  <c r="F464" i="15"/>
  <c r="G464" i="15" s="1"/>
  <c r="H464" i="15" s="1"/>
  <c r="F484" i="15"/>
  <c r="G484" i="15" s="1"/>
  <c r="H484" i="15" s="1"/>
  <c r="F503" i="15"/>
  <c r="G503" i="15" s="1"/>
  <c r="H503" i="15" s="1"/>
  <c r="F522" i="15"/>
  <c r="G522" i="15" s="1"/>
  <c r="H522" i="15" s="1"/>
  <c r="F543" i="15"/>
  <c r="G543" i="15" s="1"/>
  <c r="H543" i="15" s="1"/>
  <c r="F562" i="15"/>
  <c r="G562" i="15" s="1"/>
  <c r="H562" i="15" s="1"/>
  <c r="F582" i="15"/>
  <c r="G582" i="15" s="1"/>
  <c r="H582" i="15" s="1"/>
  <c r="F601" i="15"/>
  <c r="G601" i="15" s="1"/>
  <c r="H601" i="15" s="1"/>
  <c r="F622" i="15"/>
  <c r="G622" i="15" s="1"/>
  <c r="H622" i="15" s="1"/>
  <c r="F641" i="15"/>
  <c r="G641" i="15" s="1"/>
  <c r="H641" i="15" s="1"/>
  <c r="F661" i="15"/>
  <c r="G661" i="15" s="1"/>
  <c r="H661" i="15" s="1"/>
  <c r="F680" i="15"/>
  <c r="G680" i="15" s="1"/>
  <c r="H680" i="15" s="1"/>
  <c r="F701" i="15"/>
  <c r="G701" i="15" s="1"/>
  <c r="H701" i="15" s="1"/>
  <c r="F720" i="15"/>
  <c r="G720" i="15" s="1"/>
  <c r="H720" i="15" s="1"/>
  <c r="F740" i="15"/>
  <c r="G740" i="15" s="1"/>
  <c r="H740" i="15" s="1"/>
  <c r="F759" i="15"/>
  <c r="G759" i="15" s="1"/>
  <c r="H759" i="15" s="1"/>
  <c r="F778" i="15"/>
  <c r="G778" i="15" s="1"/>
  <c r="H778" i="15" s="1"/>
  <c r="F799" i="15"/>
  <c r="G799" i="15" s="1"/>
  <c r="H799" i="15" s="1"/>
  <c r="F818" i="15"/>
  <c r="G818" i="15" s="1"/>
  <c r="H818" i="15" s="1"/>
  <c r="F838" i="15"/>
  <c r="G838" i="15" s="1"/>
  <c r="H838" i="15" s="1"/>
  <c r="F857" i="15"/>
  <c r="G857" i="15" s="1"/>
  <c r="H857" i="15" s="1"/>
  <c r="F878" i="15"/>
  <c r="G878" i="15" s="1"/>
  <c r="H878" i="15" s="1"/>
  <c r="F897" i="15"/>
  <c r="G897" i="15" s="1"/>
  <c r="H897" i="15" s="1"/>
  <c r="F917" i="15"/>
  <c r="G917" i="15" s="1"/>
  <c r="H917" i="15" s="1"/>
  <c r="F936" i="15"/>
  <c r="G936" i="15" s="1"/>
  <c r="H936" i="15" s="1"/>
  <c r="F957" i="15"/>
  <c r="G957" i="15" s="1"/>
  <c r="H957" i="15" s="1"/>
  <c r="F976" i="15"/>
  <c r="G976" i="15" s="1"/>
  <c r="H976" i="15" s="1"/>
  <c r="F996" i="15"/>
  <c r="G996" i="15" s="1"/>
  <c r="H996" i="15" s="1"/>
  <c r="F24" i="15"/>
  <c r="G24" i="15" s="1"/>
  <c r="H24" i="15" s="1"/>
  <c r="F110" i="15"/>
  <c r="G110" i="15" s="1"/>
  <c r="H110" i="15" s="1"/>
  <c r="F130" i="15"/>
  <c r="G130" i="15" s="1"/>
  <c r="H130" i="15" s="1"/>
  <c r="F174" i="15"/>
  <c r="G174" i="15" s="1"/>
  <c r="H174" i="15" s="1"/>
  <c r="F194" i="15"/>
  <c r="G194" i="15" s="1"/>
  <c r="H194" i="15" s="1"/>
  <c r="F238" i="15"/>
  <c r="G238" i="15" s="1"/>
  <c r="H238" i="15" s="1"/>
  <c r="F280" i="15"/>
  <c r="G280" i="15" s="1"/>
  <c r="H280" i="15" s="1"/>
  <c r="F322" i="15"/>
  <c r="G322" i="15" s="1"/>
  <c r="H322" i="15" s="1"/>
  <c r="F366" i="15"/>
  <c r="G366" i="15" s="1"/>
  <c r="H366" i="15" s="1"/>
  <c r="F406" i="15"/>
  <c r="G406" i="15" s="1"/>
  <c r="H406" i="15" s="1"/>
  <c r="F977" i="15"/>
  <c r="G977" i="15" s="1"/>
  <c r="H977" i="15" s="1"/>
  <c r="F928" i="15"/>
  <c r="G928" i="15" s="1"/>
  <c r="H928" i="15" s="1"/>
  <c r="F854" i="15"/>
  <c r="G854" i="15" s="1"/>
  <c r="H854" i="15" s="1"/>
  <c r="F806" i="15"/>
  <c r="G806" i="15" s="1"/>
  <c r="H806" i="15" s="1"/>
  <c r="F757" i="15"/>
  <c r="G757" i="15" s="1"/>
  <c r="H757" i="15" s="1"/>
  <c r="F734" i="15"/>
  <c r="G734" i="15" s="1"/>
  <c r="H734" i="15" s="1"/>
  <c r="F681" i="15"/>
  <c r="G681" i="15" s="1"/>
  <c r="H681" i="15" s="1"/>
  <c r="F628" i="15"/>
  <c r="G628" i="15" s="1"/>
  <c r="H628" i="15" s="1"/>
  <c r="F576" i="15"/>
  <c r="G576" i="15" s="1"/>
  <c r="H576" i="15" s="1"/>
  <c r="F497" i="15"/>
  <c r="G497" i="15" s="1"/>
  <c r="H497" i="15" s="1"/>
  <c r="F359" i="15"/>
  <c r="G359" i="15" s="1"/>
  <c r="H359" i="15" s="1"/>
  <c r="F999" i="15"/>
  <c r="G999" i="15" s="1"/>
  <c r="H999" i="15" s="1"/>
  <c r="F974" i="15"/>
  <c r="G974" i="15" s="1"/>
  <c r="H974" i="15" s="1"/>
  <c r="F950" i="15"/>
  <c r="G950" i="15" s="1"/>
  <c r="H950" i="15" s="1"/>
  <c r="F926" i="15"/>
  <c r="G926" i="15" s="1"/>
  <c r="H926" i="15" s="1"/>
  <c r="F902" i="15"/>
  <c r="G902" i="15" s="1"/>
  <c r="H902" i="15" s="1"/>
  <c r="F879" i="15"/>
  <c r="G879" i="15" s="1"/>
  <c r="H879" i="15" s="1"/>
  <c r="F853" i="15"/>
  <c r="G853" i="15" s="1"/>
  <c r="H853" i="15" s="1"/>
  <c r="F830" i="15"/>
  <c r="G830" i="15" s="1"/>
  <c r="H830" i="15" s="1"/>
  <c r="F805" i="15"/>
  <c r="G805" i="15" s="1"/>
  <c r="H805" i="15" s="1"/>
  <c r="F782" i="15"/>
  <c r="G782" i="15" s="1"/>
  <c r="H782" i="15" s="1"/>
  <c r="F756" i="15"/>
  <c r="G756" i="15" s="1"/>
  <c r="H756" i="15" s="1"/>
  <c r="F733" i="15"/>
  <c r="G733" i="15" s="1"/>
  <c r="H733" i="15" s="1"/>
  <c r="F705" i="15"/>
  <c r="G705" i="15" s="1"/>
  <c r="H705" i="15" s="1"/>
  <c r="F678" i="15"/>
  <c r="G678" i="15" s="1"/>
  <c r="H678" i="15" s="1"/>
  <c r="F654" i="15"/>
  <c r="G654" i="15" s="1"/>
  <c r="H654" i="15" s="1"/>
  <c r="F626" i="15"/>
  <c r="G626" i="15" s="1"/>
  <c r="H626" i="15" s="1"/>
  <c r="F599" i="15"/>
  <c r="G599" i="15" s="1"/>
  <c r="H599" i="15" s="1"/>
  <c r="F575" i="15"/>
  <c r="G575" i="15" s="1"/>
  <c r="H575" i="15" s="1"/>
  <c r="F548" i="15"/>
  <c r="G548" i="15" s="1"/>
  <c r="H548" i="15" s="1"/>
  <c r="F520" i="15"/>
  <c r="G520" i="15" s="1"/>
  <c r="H520" i="15" s="1"/>
  <c r="F496" i="15"/>
  <c r="G496" i="15" s="1"/>
  <c r="H496" i="15" s="1"/>
  <c r="F469" i="15"/>
  <c r="G469" i="15" s="1"/>
  <c r="H469" i="15" s="1"/>
  <c r="F441" i="15"/>
  <c r="G441" i="15" s="1"/>
  <c r="H441" i="15" s="1"/>
  <c r="F417" i="15"/>
  <c r="G417" i="15" s="1"/>
  <c r="H417" i="15" s="1"/>
  <c r="F389" i="15"/>
  <c r="G389" i="15" s="1"/>
  <c r="H389" i="15" s="1"/>
  <c r="F358" i="15"/>
  <c r="G358" i="15" s="1"/>
  <c r="H358" i="15" s="1"/>
  <c r="F327" i="15"/>
  <c r="G327" i="15" s="1"/>
  <c r="H327" i="15" s="1"/>
  <c r="F295" i="15"/>
  <c r="G295" i="15" s="1"/>
  <c r="H295" i="15" s="1"/>
  <c r="F264" i="15"/>
  <c r="G264" i="15" s="1"/>
  <c r="H264" i="15" s="1"/>
  <c r="F232" i="15"/>
  <c r="G232" i="15" s="1"/>
  <c r="H232" i="15" s="1"/>
  <c r="F201" i="15"/>
  <c r="G201" i="15" s="1"/>
  <c r="H201" i="15" s="1"/>
  <c r="F169" i="15"/>
  <c r="G169" i="15" s="1"/>
  <c r="H169" i="15" s="1"/>
  <c r="F138" i="15"/>
  <c r="G138" i="15" s="1"/>
  <c r="H138" i="15" s="1"/>
  <c r="F111" i="15"/>
  <c r="G111" i="15" s="1"/>
  <c r="H111" i="15" s="1"/>
  <c r="F79" i="15"/>
  <c r="G79" i="15" s="1"/>
  <c r="H79" i="15" s="1"/>
  <c r="F48" i="15"/>
  <c r="G48" i="15" s="1"/>
  <c r="H48" i="15" s="1"/>
  <c r="F16" i="15"/>
  <c r="G16" i="15" s="1"/>
  <c r="H16" i="15" s="1"/>
  <c r="F18" i="15"/>
  <c r="G18" i="15" s="1"/>
  <c r="H18" i="15" s="1"/>
  <c r="F1000" i="15"/>
  <c r="G1000" i="15" s="1"/>
  <c r="H1000" i="15" s="1"/>
  <c r="F951" i="15"/>
  <c r="G951" i="15" s="1"/>
  <c r="H951" i="15" s="1"/>
  <c r="F903" i="15"/>
  <c r="G903" i="15" s="1"/>
  <c r="H903" i="15" s="1"/>
  <c r="F880" i="15"/>
  <c r="G880" i="15" s="1"/>
  <c r="H880" i="15" s="1"/>
  <c r="F831" i="15"/>
  <c r="G831" i="15" s="1"/>
  <c r="H831" i="15" s="1"/>
  <c r="F783" i="15"/>
  <c r="G783" i="15" s="1"/>
  <c r="H783" i="15" s="1"/>
  <c r="F706" i="15"/>
  <c r="G706" i="15" s="1"/>
  <c r="H706" i="15" s="1"/>
  <c r="F655" i="15"/>
  <c r="G655" i="15" s="1"/>
  <c r="H655" i="15" s="1"/>
  <c r="F602" i="15"/>
  <c r="G602" i="15" s="1"/>
  <c r="H602" i="15" s="1"/>
  <c r="F549" i="15"/>
  <c r="G549" i="15" s="1"/>
  <c r="H549" i="15" s="1"/>
  <c r="F525" i="15"/>
  <c r="G525" i="15" s="1"/>
  <c r="H525" i="15" s="1"/>
  <c r="F470" i="15"/>
  <c r="G470" i="15" s="1"/>
  <c r="H470" i="15" s="1"/>
  <c r="F446" i="15"/>
  <c r="G446" i="15" s="1"/>
  <c r="H446" i="15" s="1"/>
  <c r="F418" i="15"/>
  <c r="G418" i="15" s="1"/>
  <c r="H418" i="15" s="1"/>
  <c r="F390" i="15"/>
  <c r="G390" i="15" s="1"/>
  <c r="H390" i="15" s="1"/>
  <c r="F328" i="15"/>
  <c r="G328" i="15" s="1"/>
  <c r="H328" i="15" s="1"/>
  <c r="F296" i="15"/>
  <c r="G296" i="15" s="1"/>
  <c r="H296" i="15" s="1"/>
  <c r="F265" i="15"/>
  <c r="G265" i="15" s="1"/>
  <c r="H265" i="15" s="1"/>
  <c r="F233" i="15"/>
  <c r="G233" i="15" s="1"/>
  <c r="H233" i="15" s="1"/>
  <c r="F202" i="15"/>
  <c r="G202" i="15" s="1"/>
  <c r="H202" i="15" s="1"/>
  <c r="F175" i="15"/>
  <c r="G175" i="15" s="1"/>
  <c r="H175" i="15" s="1"/>
  <c r="F143" i="15"/>
  <c r="G143" i="15" s="1"/>
  <c r="H143" i="15" s="1"/>
  <c r="F112" i="15"/>
  <c r="G112" i="15" s="1"/>
  <c r="H112" i="15" s="1"/>
  <c r="F80" i="15"/>
  <c r="G80" i="15" s="1"/>
  <c r="H80" i="15" s="1"/>
  <c r="F49" i="15"/>
  <c r="G49" i="15" s="1"/>
  <c r="H49" i="15" s="1"/>
  <c r="F17" i="15"/>
  <c r="G17" i="15" s="1"/>
  <c r="H17" i="15" s="1"/>
  <c r="F998" i="15"/>
  <c r="G998" i="15" s="1"/>
  <c r="H998" i="15" s="1"/>
  <c r="F973" i="15"/>
  <c r="G973" i="15" s="1"/>
  <c r="H973" i="15" s="1"/>
  <c r="F949" i="15"/>
  <c r="G949" i="15" s="1"/>
  <c r="H949" i="15" s="1"/>
  <c r="F925" i="15"/>
  <c r="G925" i="15" s="1"/>
  <c r="H925" i="15" s="1"/>
  <c r="F901" i="15"/>
  <c r="G901" i="15" s="1"/>
  <c r="H901" i="15" s="1"/>
  <c r="F874" i="15"/>
  <c r="G874" i="15" s="1"/>
  <c r="H874" i="15" s="1"/>
  <c r="F852" i="15"/>
  <c r="G852" i="15" s="1"/>
  <c r="H852" i="15" s="1"/>
  <c r="F826" i="15"/>
  <c r="G826" i="15" s="1"/>
  <c r="H826" i="15" s="1"/>
  <c r="F804" i="15"/>
  <c r="G804" i="15" s="1"/>
  <c r="H804" i="15" s="1"/>
  <c r="F781" i="15"/>
  <c r="G781" i="15" s="1"/>
  <c r="H781" i="15" s="1"/>
  <c r="F754" i="15"/>
  <c r="G754" i="15" s="1"/>
  <c r="H754" i="15" s="1"/>
  <c r="F728" i="15"/>
  <c r="G728" i="15" s="1"/>
  <c r="H728" i="15" s="1"/>
  <c r="F704" i="15"/>
  <c r="G704" i="15" s="1"/>
  <c r="H704" i="15" s="1"/>
  <c r="F677" i="15"/>
  <c r="G677" i="15" s="1"/>
  <c r="H677" i="15" s="1"/>
  <c r="F649" i="15"/>
  <c r="G649" i="15" s="1"/>
  <c r="H649" i="15" s="1"/>
  <c r="F625" i="15"/>
  <c r="G625" i="15" s="1"/>
  <c r="H625" i="15" s="1"/>
  <c r="F598" i="15"/>
  <c r="G598" i="15" s="1"/>
  <c r="H598" i="15" s="1"/>
  <c r="F570" i="15"/>
  <c r="G570" i="15" s="1"/>
  <c r="H570" i="15" s="1"/>
  <c r="F546" i="15"/>
  <c r="G546" i="15" s="1"/>
  <c r="H546" i="15" s="1"/>
  <c r="F519" i="15"/>
  <c r="G519" i="15" s="1"/>
  <c r="H519" i="15" s="1"/>
  <c r="F493" i="15"/>
  <c r="G493" i="15" s="1"/>
  <c r="H493" i="15" s="1"/>
  <c r="F468" i="15"/>
  <c r="G468" i="15" s="1"/>
  <c r="H468" i="15" s="1"/>
  <c r="F440" i="15"/>
  <c r="G440" i="15" s="1"/>
  <c r="H440" i="15" s="1"/>
  <c r="F414" i="15"/>
  <c r="G414" i="15" s="1"/>
  <c r="H414" i="15" s="1"/>
  <c r="F388" i="15"/>
  <c r="G388" i="15" s="1"/>
  <c r="H388" i="15" s="1"/>
  <c r="F357" i="15"/>
  <c r="G357" i="15" s="1"/>
  <c r="H357" i="15" s="1"/>
  <c r="F326" i="15"/>
  <c r="G326" i="15" s="1"/>
  <c r="H326" i="15" s="1"/>
  <c r="F294" i="15"/>
  <c r="G294" i="15" s="1"/>
  <c r="H294" i="15" s="1"/>
  <c r="F263" i="15"/>
  <c r="G263" i="15" s="1"/>
  <c r="H263" i="15" s="1"/>
  <c r="F231" i="15"/>
  <c r="G231" i="15" s="1"/>
  <c r="H231" i="15" s="1"/>
  <c r="F200" i="15"/>
  <c r="G200" i="15" s="1"/>
  <c r="H200" i="15" s="1"/>
  <c r="F168" i="15"/>
  <c r="G168" i="15" s="1"/>
  <c r="H168" i="15" s="1"/>
  <c r="F137" i="15"/>
  <c r="G137" i="15" s="1"/>
  <c r="H137" i="15" s="1"/>
  <c r="F105" i="15"/>
  <c r="G105" i="15" s="1"/>
  <c r="H105" i="15" s="1"/>
  <c r="F74" i="15"/>
  <c r="G74" i="15" s="1"/>
  <c r="H74" i="15" s="1"/>
  <c r="F47" i="15"/>
  <c r="G47" i="15" s="1"/>
  <c r="H47" i="15" s="1"/>
  <c r="F15" i="15"/>
  <c r="G15" i="15" s="1"/>
  <c r="H15" i="15" s="1"/>
  <c r="K5" i="15" l="1"/>
</calcChain>
</file>

<file path=xl/sharedStrings.xml><?xml version="1.0" encoding="utf-8"?>
<sst xmlns="http://schemas.openxmlformats.org/spreadsheetml/2006/main" count="29" uniqueCount="27">
  <si>
    <t>TJX STRATEGIC INPUTS</t>
  </si>
  <si>
    <t>Inventory Cost ($M)</t>
  </si>
  <si>
    <t>Retail Target ($M)</t>
  </si>
  <si>
    <t>Base Freight ($M)</t>
  </si>
  <si>
    <t>FX Spot</t>
  </si>
  <si>
    <t>Volatility (%)</t>
  </si>
  <si>
    <t>Trial</t>
  </si>
  <si>
    <t>FX Rate</t>
  </si>
  <si>
    <t>Profit $</t>
  </si>
  <si>
    <t>Margin %</t>
  </si>
  <si>
    <t>Freight Multiplier</t>
  </si>
  <si>
    <t>Hedge Ratio</t>
  </si>
  <si>
    <t>Scenario Name</t>
  </si>
  <si>
    <t>FX Volatility</t>
  </si>
  <si>
    <t>Baseline</t>
  </si>
  <si>
    <t>Market Crisis</t>
  </si>
  <si>
    <t>Inflationary</t>
  </si>
  <si>
    <t>Black Swan</t>
  </si>
  <si>
    <t>Low Volatility</t>
  </si>
  <si>
    <t>Stable Market</t>
  </si>
  <si>
    <t>The TJX Companies: FX Risk Hedging Model</t>
  </si>
  <si>
    <t>Freight Mult</t>
  </si>
  <si>
    <t>Scenario Selector:</t>
  </si>
  <si>
    <t>Hedged Rate</t>
  </si>
  <si>
    <t>FX Spot (EUR/USD)</t>
  </si>
  <si>
    <t>Hedge Rate</t>
  </si>
  <si>
    <t>SImulated Net Profit at 95% VaR: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</si>
</sst>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Color10]&quot;$&quot;\ #,##0.00\ &quot;M&quot;\ ;[Red]&quot;$&quot;\ \-#,##0.00\ &quot;M&quot;\ ;[White]&quot;$&quot;\ 0.00\ &quot;M&quot;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C8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00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right"/>
    </xf>
    <xf numFmtId="2" fontId="0" fillId="0" borderId="0" xfId="0" applyNumberFormat="1" applyAlignment="1">
      <alignment horizontal="center"/>
    </xf>
    <xf numFmtId="0" fontId="3" fillId="3" borderId="2" xfId="0" applyFont="1" applyFill="1" applyBorder="1"/>
    <xf numFmtId="0" fontId="0" fillId="3" borderId="3" xfId="0" applyFill="1" applyBorder="1"/>
    <xf numFmtId="0" fontId="4" fillId="3" borderId="3" xfId="0" applyFont="1" applyFill="1" applyBorder="1"/>
    <xf numFmtId="0" fontId="0" fillId="3" borderId="4" xfId="0" applyFill="1" applyBorder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0" xfId="0" applyFont="1" applyAlignment="1">
      <alignment horizontal="right"/>
    </xf>
    <xf numFmtId="164" fontId="7" fillId="0" borderId="0" xfId="0" applyNumberFormat="1" applyFont="1"/>
    <xf numFmtId="0" fontId="0" fillId="2" borderId="1" xfId="0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</cellXfs>
  <cellStyles count="1">
    <cellStyle name="Normal" xfId="0" builtinId="0"/>
  </cellStyles>
  <dxfs count="8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TJX_Terminal!$G$4</c:f>
              <c:strCache>
                <c:ptCount val="1"/>
                <c:pt idx="0">
                  <c:v>Profit $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TJX_Terminal!$G$5:$G$1004</c:f>
              <c:numCache>
                <c:formatCode>General</c:formatCode>
                <c:ptCount val="1000"/>
                <c:pt idx="0">
                  <c:v>1839.1508555092921</c:v>
                </c:pt>
                <c:pt idx="1">
                  <c:v>2211.8871072412476</c:v>
                </c:pt>
                <c:pt idx="2">
                  <c:v>1483.1203845572879</c:v>
                </c:pt>
                <c:pt idx="3">
                  <c:v>1507.4893618967321</c:v>
                </c:pt>
                <c:pt idx="4">
                  <c:v>1283.111529890969</c:v>
                </c:pt>
                <c:pt idx="5">
                  <c:v>1308.0778829313399</c:v>
                </c:pt>
                <c:pt idx="6">
                  <c:v>1769.4772596098883</c:v>
                </c:pt>
                <c:pt idx="7">
                  <c:v>1754.0857039649268</c:v>
                </c:pt>
                <c:pt idx="8">
                  <c:v>2019.7676075317697</c:v>
                </c:pt>
                <c:pt idx="9">
                  <c:v>2262.5652993360986</c:v>
                </c:pt>
                <c:pt idx="10">
                  <c:v>1111.4314309147699</c:v>
                </c:pt>
                <c:pt idx="11">
                  <c:v>1782.2203899979122</c:v>
                </c:pt>
                <c:pt idx="12">
                  <c:v>1506.7647759280408</c:v>
                </c:pt>
                <c:pt idx="13">
                  <c:v>1865.7413562727279</c:v>
                </c:pt>
                <c:pt idx="14">
                  <c:v>1665.5238151310828</c:v>
                </c:pt>
                <c:pt idx="15">
                  <c:v>979.84246154434425</c:v>
                </c:pt>
                <c:pt idx="16">
                  <c:v>2046.4832176600714</c:v>
                </c:pt>
                <c:pt idx="17">
                  <c:v>1577.4309055868625</c:v>
                </c:pt>
                <c:pt idx="18">
                  <c:v>1567.6266196776669</c:v>
                </c:pt>
                <c:pt idx="19">
                  <c:v>1940.6409402587733</c:v>
                </c:pt>
                <c:pt idx="20">
                  <c:v>1478.300500822709</c:v>
                </c:pt>
                <c:pt idx="21">
                  <c:v>1482.3656981797437</c:v>
                </c:pt>
                <c:pt idx="22">
                  <c:v>1616.1327598005039</c:v>
                </c:pt>
                <c:pt idx="23">
                  <c:v>2247.4969059590808</c:v>
                </c:pt>
                <c:pt idx="24">
                  <c:v>1978.0589392291536</c:v>
                </c:pt>
                <c:pt idx="25">
                  <c:v>1343.9383945563279</c:v>
                </c:pt>
                <c:pt idx="26">
                  <c:v>1295.939434663484</c:v>
                </c:pt>
                <c:pt idx="27">
                  <c:v>1716.0830002888342</c:v>
                </c:pt>
                <c:pt idx="28">
                  <c:v>2098.7351628531969</c:v>
                </c:pt>
                <c:pt idx="29">
                  <c:v>1665.9198043789227</c:v>
                </c:pt>
                <c:pt idx="30">
                  <c:v>1227.4334689921154</c:v>
                </c:pt>
                <c:pt idx="31">
                  <c:v>2453.8993732000686</c:v>
                </c:pt>
                <c:pt idx="32">
                  <c:v>1485.3327443424587</c:v>
                </c:pt>
                <c:pt idx="33">
                  <c:v>1254.4937063450357</c:v>
                </c:pt>
                <c:pt idx="34">
                  <c:v>1806.9868595342941</c:v>
                </c:pt>
                <c:pt idx="35">
                  <c:v>2372.4737174865245</c:v>
                </c:pt>
                <c:pt idx="36">
                  <c:v>1677.9183855830909</c:v>
                </c:pt>
                <c:pt idx="37">
                  <c:v>1699.5374669109312</c:v>
                </c:pt>
                <c:pt idx="38">
                  <c:v>1645.0360263046234</c:v>
                </c:pt>
                <c:pt idx="39">
                  <c:v>1592.3311788242993</c:v>
                </c:pt>
                <c:pt idx="40">
                  <c:v>1776.6837033913125</c:v>
                </c:pt>
                <c:pt idx="41">
                  <c:v>1749.9561205147518</c:v>
                </c:pt>
                <c:pt idx="42">
                  <c:v>2048.0637411381454</c:v>
                </c:pt>
                <c:pt idx="43">
                  <c:v>1619.4367968699316</c:v>
                </c:pt>
                <c:pt idx="44">
                  <c:v>2071.8806838971923</c:v>
                </c:pt>
                <c:pt idx="45">
                  <c:v>2113.1727662290277</c:v>
                </c:pt>
                <c:pt idx="46">
                  <c:v>2097.1937777251851</c:v>
                </c:pt>
                <c:pt idx="47">
                  <c:v>1827.5661680525175</c:v>
                </c:pt>
                <c:pt idx="48">
                  <c:v>1517.3511512389289</c:v>
                </c:pt>
                <c:pt idx="49">
                  <c:v>2043.7306096478108</c:v>
                </c:pt>
                <c:pt idx="50">
                  <c:v>2041.4997533963374</c:v>
                </c:pt>
                <c:pt idx="51">
                  <c:v>2003.8566171741222</c:v>
                </c:pt>
                <c:pt idx="52">
                  <c:v>1828.955658561664</c:v>
                </c:pt>
                <c:pt idx="53">
                  <c:v>1463.0866671983704</c:v>
                </c:pt>
                <c:pt idx="54">
                  <c:v>1765.6454945955118</c:v>
                </c:pt>
                <c:pt idx="55">
                  <c:v>1241.0235606204137</c:v>
                </c:pt>
                <c:pt idx="56">
                  <c:v>2130.3418145110877</c:v>
                </c:pt>
                <c:pt idx="57">
                  <c:v>1609.5287204327369</c:v>
                </c:pt>
                <c:pt idx="58">
                  <c:v>1851.6014964623319</c:v>
                </c:pt>
                <c:pt idx="59">
                  <c:v>1182.0834373693956</c:v>
                </c:pt>
                <c:pt idx="60">
                  <c:v>1568.6989744182808</c:v>
                </c:pt>
                <c:pt idx="61">
                  <c:v>2156.4565182366496</c:v>
                </c:pt>
                <c:pt idx="62">
                  <c:v>2232.7622671528889</c:v>
                </c:pt>
                <c:pt idx="63">
                  <c:v>1227.9879667947348</c:v>
                </c:pt>
                <c:pt idx="64">
                  <c:v>1753.525689365827</c:v>
                </c:pt>
                <c:pt idx="65">
                  <c:v>1414.7015481791173</c:v>
                </c:pt>
                <c:pt idx="66">
                  <c:v>1731.3651750416234</c:v>
                </c:pt>
                <c:pt idx="67">
                  <c:v>2264.4939634727384</c:v>
                </c:pt>
                <c:pt idx="68">
                  <c:v>1840.438068816193</c:v>
                </c:pt>
                <c:pt idx="69">
                  <c:v>2047.7195267265488</c:v>
                </c:pt>
                <c:pt idx="70">
                  <c:v>2200.3392844847181</c:v>
                </c:pt>
                <c:pt idx="71">
                  <c:v>1693.0221432131732</c:v>
                </c:pt>
                <c:pt idx="72">
                  <c:v>1518.9983977977915</c:v>
                </c:pt>
                <c:pt idx="73">
                  <c:v>1799.9096107658459</c:v>
                </c:pt>
                <c:pt idx="74">
                  <c:v>1221.0130157470614</c:v>
                </c:pt>
                <c:pt idx="75">
                  <c:v>1531.3601594857105</c:v>
                </c:pt>
                <c:pt idx="76">
                  <c:v>1947.9518547974999</c:v>
                </c:pt>
                <c:pt idx="77">
                  <c:v>1488.045699916808</c:v>
                </c:pt>
                <c:pt idx="78">
                  <c:v>1746.7330182240466</c:v>
                </c:pt>
                <c:pt idx="79">
                  <c:v>1205.8202327051704</c:v>
                </c:pt>
                <c:pt idx="80">
                  <c:v>1812.9279576986828</c:v>
                </c:pt>
                <c:pt idx="81">
                  <c:v>1484.5976825096559</c:v>
                </c:pt>
                <c:pt idx="82">
                  <c:v>1414.5683882845246</c:v>
                </c:pt>
                <c:pt idx="83">
                  <c:v>1515.1293970396846</c:v>
                </c:pt>
                <c:pt idx="84">
                  <c:v>1617.3637576656231</c:v>
                </c:pt>
                <c:pt idx="85">
                  <c:v>1402.5344841392639</c:v>
                </c:pt>
                <c:pt idx="86">
                  <c:v>1284.0671749776839</c:v>
                </c:pt>
                <c:pt idx="87">
                  <c:v>1910.2267025184503</c:v>
                </c:pt>
                <c:pt idx="88">
                  <c:v>1811.3977813495071</c:v>
                </c:pt>
                <c:pt idx="89">
                  <c:v>1342.3638351002842</c:v>
                </c:pt>
                <c:pt idx="90">
                  <c:v>2327.5480233010348</c:v>
                </c:pt>
                <c:pt idx="91">
                  <c:v>1766.4816859732373</c:v>
                </c:pt>
                <c:pt idx="92">
                  <c:v>1717.1577877627897</c:v>
                </c:pt>
                <c:pt idx="93">
                  <c:v>1892.5088457942368</c:v>
                </c:pt>
                <c:pt idx="94">
                  <c:v>859.71945198695391</c:v>
                </c:pt>
                <c:pt idx="95">
                  <c:v>2134.5771451376959</c:v>
                </c:pt>
                <c:pt idx="96">
                  <c:v>1381.6888040015233</c:v>
                </c:pt>
                <c:pt idx="97">
                  <c:v>2006.1828057682333</c:v>
                </c:pt>
                <c:pt idx="98">
                  <c:v>1029.4765789375524</c:v>
                </c:pt>
                <c:pt idx="99">
                  <c:v>1619.0665795928016</c:v>
                </c:pt>
                <c:pt idx="100">
                  <c:v>1550.4465981951723</c:v>
                </c:pt>
                <c:pt idx="101">
                  <c:v>2058.9037474344873</c:v>
                </c:pt>
                <c:pt idx="102">
                  <c:v>1598.1210760333481</c:v>
                </c:pt>
                <c:pt idx="103">
                  <c:v>2104.3197259739709</c:v>
                </c:pt>
                <c:pt idx="104">
                  <c:v>1456.7122655041721</c:v>
                </c:pt>
                <c:pt idx="105">
                  <c:v>1733.298746476391</c:v>
                </c:pt>
                <c:pt idx="106">
                  <c:v>2102.3223180639657</c:v>
                </c:pt>
                <c:pt idx="107">
                  <c:v>1728.6292806695758</c:v>
                </c:pt>
                <c:pt idx="108">
                  <c:v>2006.1107234797989</c:v>
                </c:pt>
                <c:pt idx="109">
                  <c:v>2160.9760599659448</c:v>
                </c:pt>
                <c:pt idx="110">
                  <c:v>1843.6207431976695</c:v>
                </c:pt>
                <c:pt idx="111">
                  <c:v>1562.5457250860336</c:v>
                </c:pt>
                <c:pt idx="112">
                  <c:v>1956.7393157998474</c:v>
                </c:pt>
                <c:pt idx="113">
                  <c:v>1110.1206813788194</c:v>
                </c:pt>
                <c:pt idx="114">
                  <c:v>1355.5249720421002</c:v>
                </c:pt>
                <c:pt idx="115">
                  <c:v>1741.7313747180285</c:v>
                </c:pt>
                <c:pt idx="116">
                  <c:v>1655.6461410885136</c:v>
                </c:pt>
                <c:pt idx="117">
                  <c:v>1561.4493089764194</c:v>
                </c:pt>
                <c:pt idx="118">
                  <c:v>1310.4958029394904</c:v>
                </c:pt>
                <c:pt idx="119">
                  <c:v>1989.192395262882</c:v>
                </c:pt>
                <c:pt idx="120">
                  <c:v>1931.0279435958657</c:v>
                </c:pt>
                <c:pt idx="121">
                  <c:v>2408.9569916515843</c:v>
                </c:pt>
                <c:pt idx="122">
                  <c:v>1793.1375627825309</c:v>
                </c:pt>
                <c:pt idx="123">
                  <c:v>1034.5269505258793</c:v>
                </c:pt>
                <c:pt idx="124">
                  <c:v>1111.3072983737657</c:v>
                </c:pt>
                <c:pt idx="125">
                  <c:v>1497.2344064497079</c:v>
                </c:pt>
                <c:pt idx="126">
                  <c:v>1778.9136842014891</c:v>
                </c:pt>
                <c:pt idx="127">
                  <c:v>2319.9776982864187</c:v>
                </c:pt>
                <c:pt idx="128">
                  <c:v>1463.4168276210039</c:v>
                </c:pt>
                <c:pt idx="129">
                  <c:v>2083.4574724995932</c:v>
                </c:pt>
                <c:pt idx="130">
                  <c:v>1653.4050862966806</c:v>
                </c:pt>
                <c:pt idx="131">
                  <c:v>1613.4108266860744</c:v>
                </c:pt>
                <c:pt idx="132">
                  <c:v>1539.0116481997302</c:v>
                </c:pt>
                <c:pt idx="133">
                  <c:v>2238.7360625369392</c:v>
                </c:pt>
                <c:pt idx="134">
                  <c:v>1307.0800928142867</c:v>
                </c:pt>
                <c:pt idx="135">
                  <c:v>1941.7540281254792</c:v>
                </c:pt>
                <c:pt idx="136">
                  <c:v>2179.6026373897857</c:v>
                </c:pt>
                <c:pt idx="137">
                  <c:v>1823.6802578347879</c:v>
                </c:pt>
                <c:pt idx="138">
                  <c:v>1879.7826770012448</c:v>
                </c:pt>
                <c:pt idx="139">
                  <c:v>1866.8407048233644</c:v>
                </c:pt>
                <c:pt idx="140">
                  <c:v>1697.358157321311</c:v>
                </c:pt>
                <c:pt idx="141">
                  <c:v>1540.7561616154619</c:v>
                </c:pt>
                <c:pt idx="142">
                  <c:v>2061.0547235062204</c:v>
                </c:pt>
                <c:pt idx="143">
                  <c:v>1257.7452974889952</c:v>
                </c:pt>
                <c:pt idx="144">
                  <c:v>1440.4232943973152</c:v>
                </c:pt>
                <c:pt idx="145">
                  <c:v>1588.3220664211196</c:v>
                </c:pt>
                <c:pt idx="146">
                  <c:v>2053.7496176396157</c:v>
                </c:pt>
                <c:pt idx="147">
                  <c:v>1292.1787692931314</c:v>
                </c:pt>
                <c:pt idx="148">
                  <c:v>1575.8637200291039</c:v>
                </c:pt>
                <c:pt idx="149">
                  <c:v>1783.2198214839184</c:v>
                </c:pt>
                <c:pt idx="150">
                  <c:v>1865.0796405807318</c:v>
                </c:pt>
                <c:pt idx="151">
                  <c:v>2049.8927893910418</c:v>
                </c:pt>
                <c:pt idx="152">
                  <c:v>1698.8731503892379</c:v>
                </c:pt>
                <c:pt idx="153">
                  <c:v>1370.3415597652433</c:v>
                </c:pt>
                <c:pt idx="154">
                  <c:v>1829.9352260402884</c:v>
                </c:pt>
                <c:pt idx="155">
                  <c:v>1619.7187009957172</c:v>
                </c:pt>
                <c:pt idx="156">
                  <c:v>1697.5399523672038</c:v>
                </c:pt>
                <c:pt idx="157">
                  <c:v>1765.0997263413099</c:v>
                </c:pt>
                <c:pt idx="158">
                  <c:v>1709.4509667810785</c:v>
                </c:pt>
                <c:pt idx="159">
                  <c:v>2435.4947961397193</c:v>
                </c:pt>
                <c:pt idx="160">
                  <c:v>1086.7135669302193</c:v>
                </c:pt>
                <c:pt idx="161">
                  <c:v>1375.7926952777984</c:v>
                </c:pt>
                <c:pt idx="162">
                  <c:v>2142.6372246189871</c:v>
                </c:pt>
                <c:pt idx="163">
                  <c:v>1700.4827922308955</c:v>
                </c:pt>
                <c:pt idx="164">
                  <c:v>2378.8050824428028</c:v>
                </c:pt>
                <c:pt idx="165">
                  <c:v>1453.7333914784458</c:v>
                </c:pt>
                <c:pt idx="166">
                  <c:v>2251.3134895067269</c:v>
                </c:pt>
                <c:pt idx="167">
                  <c:v>1910.2787891441815</c:v>
                </c:pt>
                <c:pt idx="168">
                  <c:v>1717.761528186993</c:v>
                </c:pt>
                <c:pt idx="169">
                  <c:v>1743.2559235182621</c:v>
                </c:pt>
                <c:pt idx="170">
                  <c:v>1867.0476020804936</c:v>
                </c:pt>
                <c:pt idx="171">
                  <c:v>2113.7101843787386</c:v>
                </c:pt>
                <c:pt idx="172">
                  <c:v>2151.0279358690273</c:v>
                </c:pt>
                <c:pt idx="173">
                  <c:v>1594.1397695964436</c:v>
                </c:pt>
                <c:pt idx="174">
                  <c:v>1935.8295201457406</c:v>
                </c:pt>
                <c:pt idx="175">
                  <c:v>1986.394009811597</c:v>
                </c:pt>
                <c:pt idx="176">
                  <c:v>1865.3405416161677</c:v>
                </c:pt>
                <c:pt idx="177">
                  <c:v>1884.6529654227875</c:v>
                </c:pt>
                <c:pt idx="178">
                  <c:v>1522.3124739415759</c:v>
                </c:pt>
                <c:pt idx="179">
                  <c:v>1512.0581004423709</c:v>
                </c:pt>
                <c:pt idx="180">
                  <c:v>1967.4165616885734</c:v>
                </c:pt>
                <c:pt idx="181">
                  <c:v>1920.1849955438097</c:v>
                </c:pt>
                <c:pt idx="182">
                  <c:v>1210.9381637989095</c:v>
                </c:pt>
                <c:pt idx="183">
                  <c:v>1735.1171255963968</c:v>
                </c:pt>
                <c:pt idx="184">
                  <c:v>1661.4923326434641</c:v>
                </c:pt>
                <c:pt idx="185">
                  <c:v>2053.1284816924885</c:v>
                </c:pt>
                <c:pt idx="186">
                  <c:v>2270.5964610384062</c:v>
                </c:pt>
                <c:pt idx="187">
                  <c:v>1422.5795981618667</c:v>
                </c:pt>
                <c:pt idx="188">
                  <c:v>1888.1529537044339</c:v>
                </c:pt>
                <c:pt idx="189">
                  <c:v>1701.3174960736678</c:v>
                </c:pt>
                <c:pt idx="190">
                  <c:v>2131.2862589423021</c:v>
                </c:pt>
                <c:pt idx="191">
                  <c:v>1699.7401071302181</c:v>
                </c:pt>
                <c:pt idx="192">
                  <c:v>1521.2164707675074</c:v>
                </c:pt>
                <c:pt idx="193">
                  <c:v>1738.9979063846479</c:v>
                </c:pt>
                <c:pt idx="194">
                  <c:v>2011.2613135505751</c:v>
                </c:pt>
                <c:pt idx="195">
                  <c:v>1420.4181537626432</c:v>
                </c:pt>
                <c:pt idx="196">
                  <c:v>1474.1112943165012</c:v>
                </c:pt>
                <c:pt idx="197">
                  <c:v>1913.3774186745929</c:v>
                </c:pt>
                <c:pt idx="198">
                  <c:v>1711.4077374161832</c:v>
                </c:pt>
                <c:pt idx="199">
                  <c:v>1719.5800655704882</c:v>
                </c:pt>
                <c:pt idx="200">
                  <c:v>1459.7001577300034</c:v>
                </c:pt>
                <c:pt idx="201">
                  <c:v>1693.9354950600311</c:v>
                </c:pt>
                <c:pt idx="202">
                  <c:v>1841.1298842047383</c:v>
                </c:pt>
                <c:pt idx="203">
                  <c:v>1292.7552979897087</c:v>
                </c:pt>
                <c:pt idx="204">
                  <c:v>2347.7510957402778</c:v>
                </c:pt>
                <c:pt idx="205">
                  <c:v>2420.6298253382556</c:v>
                </c:pt>
                <c:pt idx="206">
                  <c:v>1761.3310000644649</c:v>
                </c:pt>
                <c:pt idx="207">
                  <c:v>1398.1776897201814</c:v>
                </c:pt>
                <c:pt idx="208">
                  <c:v>1816.2121960570219</c:v>
                </c:pt>
                <c:pt idx="209">
                  <c:v>1178.845027880051</c:v>
                </c:pt>
                <c:pt idx="210">
                  <c:v>1462.7449332881599</c:v>
                </c:pt>
                <c:pt idx="211">
                  <c:v>1947.2357189936658</c:v>
                </c:pt>
                <c:pt idx="212">
                  <c:v>1487.721252908796</c:v>
                </c:pt>
                <c:pt idx="213">
                  <c:v>1284.2573006213072</c:v>
                </c:pt>
                <c:pt idx="214">
                  <c:v>2287.232756885699</c:v>
                </c:pt>
                <c:pt idx="215">
                  <c:v>1888.6834846152221</c:v>
                </c:pt>
                <c:pt idx="216">
                  <c:v>2120.3232909306198</c:v>
                </c:pt>
                <c:pt idx="217">
                  <c:v>1668.906672778857</c:v>
                </c:pt>
                <c:pt idx="218">
                  <c:v>1800.7865467135252</c:v>
                </c:pt>
                <c:pt idx="219">
                  <c:v>1872.9203290049763</c:v>
                </c:pt>
                <c:pt idx="220">
                  <c:v>1338.3650631160351</c:v>
                </c:pt>
                <c:pt idx="221">
                  <c:v>2211.8607082825961</c:v>
                </c:pt>
                <c:pt idx="222">
                  <c:v>1463.5872567528043</c:v>
                </c:pt>
                <c:pt idx="223">
                  <c:v>1764.702695634694</c:v>
                </c:pt>
                <c:pt idx="224">
                  <c:v>1516.3136346540934</c:v>
                </c:pt>
                <c:pt idx="225">
                  <c:v>1992.7294629235396</c:v>
                </c:pt>
                <c:pt idx="226">
                  <c:v>1361.5700424756035</c:v>
                </c:pt>
                <c:pt idx="227">
                  <c:v>2274.1907238359895</c:v>
                </c:pt>
                <c:pt idx="228">
                  <c:v>1552.4145935456713</c:v>
                </c:pt>
                <c:pt idx="229">
                  <c:v>2187.323361410839</c:v>
                </c:pt>
                <c:pt idx="230">
                  <c:v>1732.6081225556256</c:v>
                </c:pt>
                <c:pt idx="231">
                  <c:v>1901.3210873023802</c:v>
                </c:pt>
                <c:pt idx="232">
                  <c:v>2589.4783570814084</c:v>
                </c:pt>
                <c:pt idx="233">
                  <c:v>1711.9549720340842</c:v>
                </c:pt>
                <c:pt idx="234">
                  <c:v>1431.0127859657227</c:v>
                </c:pt>
                <c:pt idx="235">
                  <c:v>1413.8174174029441</c:v>
                </c:pt>
                <c:pt idx="236">
                  <c:v>1585.730384209046</c:v>
                </c:pt>
                <c:pt idx="237">
                  <c:v>1845.5794833375492</c:v>
                </c:pt>
                <c:pt idx="238">
                  <c:v>1887.2635606241317</c:v>
                </c:pt>
                <c:pt idx="239">
                  <c:v>1647.4600177735215</c:v>
                </c:pt>
                <c:pt idx="240">
                  <c:v>1945.9280898331535</c:v>
                </c:pt>
                <c:pt idx="241">
                  <c:v>1773.9308368538998</c:v>
                </c:pt>
                <c:pt idx="242">
                  <c:v>2108.1608146926028</c:v>
                </c:pt>
                <c:pt idx="243">
                  <c:v>1634.364524751928</c:v>
                </c:pt>
                <c:pt idx="244">
                  <c:v>1256.674232208821</c:v>
                </c:pt>
                <c:pt idx="245">
                  <c:v>1696.0333132937856</c:v>
                </c:pt>
                <c:pt idx="246">
                  <c:v>1748.0982346651808</c:v>
                </c:pt>
                <c:pt idx="247">
                  <c:v>1536.1859128441297</c:v>
                </c:pt>
                <c:pt idx="248">
                  <c:v>1631.4796102282792</c:v>
                </c:pt>
                <c:pt idx="249">
                  <c:v>1866.2325725610167</c:v>
                </c:pt>
                <c:pt idx="250">
                  <c:v>1905.9925242152224</c:v>
                </c:pt>
                <c:pt idx="251">
                  <c:v>1887.34080744635</c:v>
                </c:pt>
                <c:pt idx="252">
                  <c:v>1532.1564591468405</c:v>
                </c:pt>
                <c:pt idx="253">
                  <c:v>2066.8041518484642</c:v>
                </c:pt>
                <c:pt idx="254">
                  <c:v>1060.4516501793519</c:v>
                </c:pt>
                <c:pt idx="255">
                  <c:v>1716.8732547378611</c:v>
                </c:pt>
                <c:pt idx="256">
                  <c:v>2142.1876584246711</c:v>
                </c:pt>
                <c:pt idx="257">
                  <c:v>2149.664918712298</c:v>
                </c:pt>
                <c:pt idx="258">
                  <c:v>1835.1906051924109</c:v>
                </c:pt>
                <c:pt idx="259">
                  <c:v>1610.1366080450837</c:v>
                </c:pt>
                <c:pt idx="260">
                  <c:v>1584.477055210114</c:v>
                </c:pt>
                <c:pt idx="261">
                  <c:v>1745.4339827579267</c:v>
                </c:pt>
                <c:pt idx="262">
                  <c:v>1584.7989188148067</c:v>
                </c:pt>
                <c:pt idx="263">
                  <c:v>2668.0771267976374</c:v>
                </c:pt>
                <c:pt idx="264">
                  <c:v>2154.6959950669343</c:v>
                </c:pt>
                <c:pt idx="265">
                  <c:v>1909.946536734212</c:v>
                </c:pt>
                <c:pt idx="266">
                  <c:v>1147.8630882761449</c:v>
                </c:pt>
                <c:pt idx="267">
                  <c:v>1238.3231257486877</c:v>
                </c:pt>
                <c:pt idx="268">
                  <c:v>1218.2420526135186</c:v>
                </c:pt>
                <c:pt idx="269">
                  <c:v>1826.0943505667099</c:v>
                </c:pt>
                <c:pt idx="270">
                  <c:v>1974.5690758212149</c:v>
                </c:pt>
                <c:pt idx="271">
                  <c:v>1672.4354098598571</c:v>
                </c:pt>
                <c:pt idx="272">
                  <c:v>1710.7812873897667</c:v>
                </c:pt>
                <c:pt idx="273">
                  <c:v>1577.2205687451958</c:v>
                </c:pt>
                <c:pt idx="274">
                  <c:v>1526.3071420958433</c:v>
                </c:pt>
                <c:pt idx="275">
                  <c:v>1553.955671690713</c:v>
                </c:pt>
                <c:pt idx="276">
                  <c:v>1803.2847347029731</c:v>
                </c:pt>
                <c:pt idx="277">
                  <c:v>1321.4694486302376</c:v>
                </c:pt>
                <c:pt idx="278">
                  <c:v>1364.7695866133975</c:v>
                </c:pt>
                <c:pt idx="279">
                  <c:v>1536.0041603311074</c:v>
                </c:pt>
                <c:pt idx="280">
                  <c:v>1607.2797423621018</c:v>
                </c:pt>
                <c:pt idx="281">
                  <c:v>1483.4359582760519</c:v>
                </c:pt>
                <c:pt idx="282">
                  <c:v>1420.3412639708802</c:v>
                </c:pt>
                <c:pt idx="283">
                  <c:v>1993.8628776630001</c:v>
                </c:pt>
                <c:pt idx="284">
                  <c:v>1972.2616700760643</c:v>
                </c:pt>
                <c:pt idx="285">
                  <c:v>2161.5611433715617</c:v>
                </c:pt>
                <c:pt idx="286">
                  <c:v>1938.6824614755767</c:v>
                </c:pt>
                <c:pt idx="287">
                  <c:v>1951.4859476434965</c:v>
                </c:pt>
                <c:pt idx="288">
                  <c:v>2242.6170327584236</c:v>
                </c:pt>
                <c:pt idx="289">
                  <c:v>1832.5250486436637</c:v>
                </c:pt>
                <c:pt idx="290">
                  <c:v>1929.0180698448451</c:v>
                </c:pt>
                <c:pt idx="291">
                  <c:v>1704.0834597498508</c:v>
                </c:pt>
                <c:pt idx="292">
                  <c:v>1218.9848676665765</c:v>
                </c:pt>
                <c:pt idx="293">
                  <c:v>1619.5596486610741</c:v>
                </c:pt>
                <c:pt idx="294">
                  <c:v>1430.1934945701682</c:v>
                </c:pt>
                <c:pt idx="295">
                  <c:v>1975.959897380164</c:v>
                </c:pt>
                <c:pt idx="296">
                  <c:v>1665.7481830868887</c:v>
                </c:pt>
                <c:pt idx="297">
                  <c:v>1672.3777134813324</c:v>
                </c:pt>
                <c:pt idx="298">
                  <c:v>1242.1468561421241</c:v>
                </c:pt>
                <c:pt idx="299">
                  <c:v>1883.104188204197</c:v>
                </c:pt>
                <c:pt idx="300">
                  <c:v>1944.8321385485085</c:v>
                </c:pt>
                <c:pt idx="301">
                  <c:v>1640.6391342403908</c:v>
                </c:pt>
                <c:pt idx="302">
                  <c:v>1429.1281694702982</c:v>
                </c:pt>
                <c:pt idx="303">
                  <c:v>2031.8883822772536</c:v>
                </c:pt>
                <c:pt idx="304">
                  <c:v>1508.924415246207</c:v>
                </c:pt>
                <c:pt idx="305">
                  <c:v>1592.0015190837535</c:v>
                </c:pt>
                <c:pt idx="306">
                  <c:v>1350.3567384382636</c:v>
                </c:pt>
                <c:pt idx="307">
                  <c:v>2426.6593084557817</c:v>
                </c:pt>
                <c:pt idx="308">
                  <c:v>2288.1428273973834</c:v>
                </c:pt>
                <c:pt idx="309">
                  <c:v>1729.43969119959</c:v>
                </c:pt>
                <c:pt idx="310">
                  <c:v>1679.4090857951144</c:v>
                </c:pt>
                <c:pt idx="311">
                  <c:v>1144.7521921994553</c:v>
                </c:pt>
                <c:pt idx="312">
                  <c:v>1299.8970378606509</c:v>
                </c:pt>
                <c:pt idx="313">
                  <c:v>1386.5775502742492</c:v>
                </c:pt>
                <c:pt idx="314">
                  <c:v>1662.0059274580658</c:v>
                </c:pt>
                <c:pt idx="315">
                  <c:v>1863.5157260391486</c:v>
                </c:pt>
                <c:pt idx="316">
                  <c:v>2040.3462200987428</c:v>
                </c:pt>
                <c:pt idx="317">
                  <c:v>2443.7799424503742</c:v>
                </c:pt>
                <c:pt idx="318">
                  <c:v>1924.0981137333138</c:v>
                </c:pt>
                <c:pt idx="319">
                  <c:v>1664.6739519054481</c:v>
                </c:pt>
                <c:pt idx="320">
                  <c:v>1875.4880711339972</c:v>
                </c:pt>
                <c:pt idx="321">
                  <c:v>2034.816504531605</c:v>
                </c:pt>
                <c:pt idx="322">
                  <c:v>1619.1824656142035</c:v>
                </c:pt>
                <c:pt idx="323">
                  <c:v>1754.8187439941312</c:v>
                </c:pt>
                <c:pt idx="324">
                  <c:v>1679.4935901978934</c:v>
                </c:pt>
                <c:pt idx="325">
                  <c:v>2287.2600895186952</c:v>
                </c:pt>
                <c:pt idx="326">
                  <c:v>2460.5395965058178</c:v>
                </c:pt>
                <c:pt idx="327">
                  <c:v>1713.1276337398019</c:v>
                </c:pt>
                <c:pt idx="328">
                  <c:v>1769.5259871439985</c:v>
                </c:pt>
                <c:pt idx="329">
                  <c:v>1901.616219334647</c:v>
                </c:pt>
                <c:pt idx="330">
                  <c:v>1713.5527254942706</c:v>
                </c:pt>
                <c:pt idx="331">
                  <c:v>1435.0425425777585</c:v>
                </c:pt>
                <c:pt idx="332">
                  <c:v>1757.5198631881046</c:v>
                </c:pt>
                <c:pt idx="333">
                  <c:v>1245.0610351794719</c:v>
                </c:pt>
                <c:pt idx="334">
                  <c:v>1648.347704351419</c:v>
                </c:pt>
                <c:pt idx="335">
                  <c:v>2189.8664733585683</c:v>
                </c:pt>
                <c:pt idx="336">
                  <c:v>2106.4603281574809</c:v>
                </c:pt>
                <c:pt idx="337">
                  <c:v>1942.3916116157804</c:v>
                </c:pt>
                <c:pt idx="338">
                  <c:v>2376.7400326436232</c:v>
                </c:pt>
                <c:pt idx="339">
                  <c:v>1395.1819968273946</c:v>
                </c:pt>
                <c:pt idx="340">
                  <c:v>1625.5854467329157</c:v>
                </c:pt>
                <c:pt idx="341">
                  <c:v>1544.1159001196806</c:v>
                </c:pt>
                <c:pt idx="342">
                  <c:v>1429.1526925175385</c:v>
                </c:pt>
                <c:pt idx="343">
                  <c:v>1702.6291102466241</c:v>
                </c:pt>
                <c:pt idx="344">
                  <c:v>2011.7048891489214</c:v>
                </c:pt>
                <c:pt idx="345">
                  <c:v>1637.3115527672439</c:v>
                </c:pt>
                <c:pt idx="346">
                  <c:v>1200.0935146820641</c:v>
                </c:pt>
                <c:pt idx="347">
                  <c:v>1650.1324038853963</c:v>
                </c:pt>
                <c:pt idx="348">
                  <c:v>1952.2972161674045</c:v>
                </c:pt>
                <c:pt idx="349">
                  <c:v>1271.2066659884049</c:v>
                </c:pt>
                <c:pt idx="350">
                  <c:v>1812.0595313748622</c:v>
                </c:pt>
                <c:pt idx="351">
                  <c:v>2035.4849965463727</c:v>
                </c:pt>
                <c:pt idx="352">
                  <c:v>1848.5683808776</c:v>
                </c:pt>
                <c:pt idx="353">
                  <c:v>1972.778533301429</c:v>
                </c:pt>
                <c:pt idx="354">
                  <c:v>2547.7793820366696</c:v>
                </c:pt>
                <c:pt idx="355">
                  <c:v>1472.4652593035503</c:v>
                </c:pt>
                <c:pt idx="356">
                  <c:v>1781.026502355058</c:v>
                </c:pt>
                <c:pt idx="357">
                  <c:v>1679.7738604218612</c:v>
                </c:pt>
                <c:pt idx="358">
                  <c:v>1510.2026637639162</c:v>
                </c:pt>
                <c:pt idx="359">
                  <c:v>1876.2524245209866</c:v>
                </c:pt>
                <c:pt idx="360">
                  <c:v>1624.8568066405082</c:v>
                </c:pt>
                <c:pt idx="361">
                  <c:v>2076.1726465529923</c:v>
                </c:pt>
                <c:pt idx="362">
                  <c:v>1542.8809577334857</c:v>
                </c:pt>
                <c:pt idx="363">
                  <c:v>1595.4495406591586</c:v>
                </c:pt>
                <c:pt idx="364">
                  <c:v>1695.3020185550511</c:v>
                </c:pt>
                <c:pt idx="365">
                  <c:v>1329.4958318798062</c:v>
                </c:pt>
                <c:pt idx="366">
                  <c:v>2449.7507600576478</c:v>
                </c:pt>
                <c:pt idx="367">
                  <c:v>1175.4442601323005</c:v>
                </c:pt>
                <c:pt idx="368">
                  <c:v>1558.0105504356766</c:v>
                </c:pt>
                <c:pt idx="369">
                  <c:v>2196.616904803202</c:v>
                </c:pt>
                <c:pt idx="370">
                  <c:v>1041.9750761606247</c:v>
                </c:pt>
                <c:pt idx="371">
                  <c:v>2122.7687013519917</c:v>
                </c:pt>
                <c:pt idx="372">
                  <c:v>1504.8105952524954</c:v>
                </c:pt>
                <c:pt idx="373">
                  <c:v>1540.1714923172779</c:v>
                </c:pt>
                <c:pt idx="374">
                  <c:v>1769.1454588908664</c:v>
                </c:pt>
                <c:pt idx="375">
                  <c:v>2568.4541377271098</c:v>
                </c:pt>
                <c:pt idx="376">
                  <c:v>1653.8769036195163</c:v>
                </c:pt>
                <c:pt idx="377">
                  <c:v>1507.1676832890641</c:v>
                </c:pt>
                <c:pt idx="378">
                  <c:v>1352.2286982302812</c:v>
                </c:pt>
                <c:pt idx="379">
                  <c:v>1953.4006924779483</c:v>
                </c:pt>
                <c:pt idx="380">
                  <c:v>1371.137922265347</c:v>
                </c:pt>
                <c:pt idx="381">
                  <c:v>1548.1145176914731</c:v>
                </c:pt>
                <c:pt idx="382">
                  <c:v>1570.6706625294642</c:v>
                </c:pt>
                <c:pt idx="383">
                  <c:v>1580.3724390830203</c:v>
                </c:pt>
                <c:pt idx="384">
                  <c:v>1779.0001689190128</c:v>
                </c:pt>
                <c:pt idx="385">
                  <c:v>1100.2561802033176</c:v>
                </c:pt>
                <c:pt idx="386">
                  <c:v>1893.7005173445532</c:v>
                </c:pt>
                <c:pt idx="387">
                  <c:v>1563.6539909388578</c:v>
                </c:pt>
                <c:pt idx="388">
                  <c:v>1821.4779160129538</c:v>
                </c:pt>
                <c:pt idx="389">
                  <c:v>1992.9108327865397</c:v>
                </c:pt>
                <c:pt idx="390">
                  <c:v>1015.2348650451696</c:v>
                </c:pt>
                <c:pt idx="391">
                  <c:v>1306.0819009835673</c:v>
                </c:pt>
                <c:pt idx="392">
                  <c:v>1327.3952179813796</c:v>
                </c:pt>
                <c:pt idx="393">
                  <c:v>1736.5640058116394</c:v>
                </c:pt>
                <c:pt idx="394">
                  <c:v>1357.2855271504086</c:v>
                </c:pt>
                <c:pt idx="395">
                  <c:v>1737.5030428740879</c:v>
                </c:pt>
                <c:pt idx="396">
                  <c:v>1489.709610902446</c:v>
                </c:pt>
                <c:pt idx="397">
                  <c:v>1379.644473532398</c:v>
                </c:pt>
                <c:pt idx="398">
                  <c:v>1243.3422983615355</c:v>
                </c:pt>
                <c:pt idx="399">
                  <c:v>2175.6233262626956</c:v>
                </c:pt>
                <c:pt idx="400">
                  <c:v>2153.9913728208317</c:v>
                </c:pt>
                <c:pt idx="401">
                  <c:v>1992.3550502927153</c:v>
                </c:pt>
                <c:pt idx="402">
                  <c:v>1934.6739389143329</c:v>
                </c:pt>
                <c:pt idx="403">
                  <c:v>1796.1736582617732</c:v>
                </c:pt>
                <c:pt idx="404">
                  <c:v>1634.610916766942</c:v>
                </c:pt>
                <c:pt idx="405">
                  <c:v>1531.7272820414541</c:v>
                </c:pt>
                <c:pt idx="406">
                  <c:v>1744.4514070607422</c:v>
                </c:pt>
                <c:pt idx="407">
                  <c:v>1951.5276465710863</c:v>
                </c:pt>
                <c:pt idx="408">
                  <c:v>1773.2096951303611</c:v>
                </c:pt>
                <c:pt idx="409">
                  <c:v>2004.8429845230698</c:v>
                </c:pt>
                <c:pt idx="410">
                  <c:v>2113.2643392578884</c:v>
                </c:pt>
                <c:pt idx="411">
                  <c:v>1755.6998187658783</c:v>
                </c:pt>
                <c:pt idx="412">
                  <c:v>2310.0769063735615</c:v>
                </c:pt>
                <c:pt idx="413">
                  <c:v>1423.5661476820744</c:v>
                </c:pt>
                <c:pt idx="414">
                  <c:v>1642.1185134919506</c:v>
                </c:pt>
                <c:pt idx="415">
                  <c:v>1969.819188033656</c:v>
                </c:pt>
                <c:pt idx="416">
                  <c:v>2138.0792750709979</c:v>
                </c:pt>
                <c:pt idx="417">
                  <c:v>1513.8775003992421</c:v>
                </c:pt>
                <c:pt idx="418">
                  <c:v>1705.7462287610326</c:v>
                </c:pt>
                <c:pt idx="419">
                  <c:v>1948.0300280495719</c:v>
                </c:pt>
                <c:pt idx="420">
                  <c:v>1697.7421334789178</c:v>
                </c:pt>
                <c:pt idx="421">
                  <c:v>1883.1919122188131</c:v>
                </c:pt>
                <c:pt idx="422">
                  <c:v>1638.8028658822384</c:v>
                </c:pt>
                <c:pt idx="423">
                  <c:v>1233.0619725945733</c:v>
                </c:pt>
                <c:pt idx="424">
                  <c:v>1416.5501546731221</c:v>
                </c:pt>
                <c:pt idx="425">
                  <c:v>2367.9210613111359</c:v>
                </c:pt>
                <c:pt idx="426">
                  <c:v>2332.6714666637354</c:v>
                </c:pt>
                <c:pt idx="427">
                  <c:v>1563.8478614200474</c:v>
                </c:pt>
                <c:pt idx="428">
                  <c:v>1631.8827046505623</c:v>
                </c:pt>
                <c:pt idx="429">
                  <c:v>2084.3699820818292</c:v>
                </c:pt>
                <c:pt idx="430">
                  <c:v>1741.6309852885188</c:v>
                </c:pt>
                <c:pt idx="431">
                  <c:v>1966.2564387055691</c:v>
                </c:pt>
                <c:pt idx="432">
                  <c:v>1243.1169166765826</c:v>
                </c:pt>
                <c:pt idx="433">
                  <c:v>1874.5547028484364</c:v>
                </c:pt>
                <c:pt idx="434">
                  <c:v>1951.9386500941039</c:v>
                </c:pt>
                <c:pt idx="435">
                  <c:v>1818.2697982918353</c:v>
                </c:pt>
                <c:pt idx="436">
                  <c:v>1502.2981905019374</c:v>
                </c:pt>
                <c:pt idx="437">
                  <c:v>1561.5669209345995</c:v>
                </c:pt>
                <c:pt idx="438">
                  <c:v>1765.7047848363623</c:v>
                </c:pt>
                <c:pt idx="439">
                  <c:v>2211.4003379236019</c:v>
                </c:pt>
                <c:pt idx="440">
                  <c:v>2274.0818481465435</c:v>
                </c:pt>
                <c:pt idx="441">
                  <c:v>1608.6272401241154</c:v>
                </c:pt>
                <c:pt idx="442">
                  <c:v>2419.2190648784594</c:v>
                </c:pt>
                <c:pt idx="443">
                  <c:v>1674.8959383418598</c:v>
                </c:pt>
                <c:pt idx="444">
                  <c:v>1795.2858566363398</c:v>
                </c:pt>
                <c:pt idx="445">
                  <c:v>1736.5136174366346</c:v>
                </c:pt>
                <c:pt idx="446">
                  <c:v>1734.4097184384327</c:v>
                </c:pt>
                <c:pt idx="447">
                  <c:v>1675.3950525009006</c:v>
                </c:pt>
                <c:pt idx="448">
                  <c:v>1588.2304355689223</c:v>
                </c:pt>
                <c:pt idx="449">
                  <c:v>1365.2301844629333</c:v>
                </c:pt>
                <c:pt idx="450">
                  <c:v>1631.3445141122741</c:v>
                </c:pt>
                <c:pt idx="451">
                  <c:v>1852.2342882299108</c:v>
                </c:pt>
                <c:pt idx="452">
                  <c:v>1803.7336418209056</c:v>
                </c:pt>
                <c:pt idx="453">
                  <c:v>1930.2215571024151</c:v>
                </c:pt>
                <c:pt idx="454">
                  <c:v>1657.7042770427229</c:v>
                </c:pt>
                <c:pt idx="455">
                  <c:v>2031.7210100611715</c:v>
                </c:pt>
                <c:pt idx="456">
                  <c:v>1845.7583586957271</c:v>
                </c:pt>
                <c:pt idx="457">
                  <c:v>1759.5680364099751</c:v>
                </c:pt>
                <c:pt idx="458">
                  <c:v>1615.1105149475977</c:v>
                </c:pt>
                <c:pt idx="459">
                  <c:v>2180.648885875928</c:v>
                </c:pt>
                <c:pt idx="460">
                  <c:v>1599.0194291730668</c:v>
                </c:pt>
                <c:pt idx="461">
                  <c:v>1843.9578344712008</c:v>
                </c:pt>
                <c:pt idx="462">
                  <c:v>1938.4376468979417</c:v>
                </c:pt>
                <c:pt idx="463">
                  <c:v>2078.6364293107408</c:v>
                </c:pt>
                <c:pt idx="464">
                  <c:v>1766.7717441758211</c:v>
                </c:pt>
                <c:pt idx="465">
                  <c:v>2158.0881137560332</c:v>
                </c:pt>
                <c:pt idx="466">
                  <c:v>2466.6632214050023</c:v>
                </c:pt>
                <c:pt idx="467">
                  <c:v>1582.8430681837244</c:v>
                </c:pt>
                <c:pt idx="468">
                  <c:v>1549.7317582317885</c:v>
                </c:pt>
                <c:pt idx="469">
                  <c:v>1888.7705494823674</c:v>
                </c:pt>
                <c:pt idx="470">
                  <c:v>1905.8871772864973</c:v>
                </c:pt>
                <c:pt idx="471">
                  <c:v>1448.232254202494</c:v>
                </c:pt>
                <c:pt idx="472">
                  <c:v>1703.519234770939</c:v>
                </c:pt>
                <c:pt idx="473">
                  <c:v>1359.0744104085893</c:v>
                </c:pt>
                <c:pt idx="474">
                  <c:v>1406.8683758825434</c:v>
                </c:pt>
                <c:pt idx="475">
                  <c:v>1700.0519778679559</c:v>
                </c:pt>
                <c:pt idx="476">
                  <c:v>1755.8124414804452</c:v>
                </c:pt>
                <c:pt idx="477">
                  <c:v>1635.3201223129381</c:v>
                </c:pt>
                <c:pt idx="478">
                  <c:v>1753.4325071807352</c:v>
                </c:pt>
                <c:pt idx="479">
                  <c:v>1875.5834160876973</c:v>
                </c:pt>
                <c:pt idx="480">
                  <c:v>1754.9328854360569</c:v>
                </c:pt>
                <c:pt idx="481">
                  <c:v>1804.8141763502329</c:v>
                </c:pt>
                <c:pt idx="482">
                  <c:v>1664.1767439810624</c:v>
                </c:pt>
                <c:pt idx="483">
                  <c:v>2209.4280815534548</c:v>
                </c:pt>
                <c:pt idx="484">
                  <c:v>1669.2260510142955</c:v>
                </c:pt>
                <c:pt idx="485">
                  <c:v>1843.1074100905012</c:v>
                </c:pt>
                <c:pt idx="486">
                  <c:v>1728.2415272153075</c:v>
                </c:pt>
                <c:pt idx="487">
                  <c:v>1579.8618555923415</c:v>
                </c:pt>
                <c:pt idx="488">
                  <c:v>1990.0856892883858</c:v>
                </c:pt>
                <c:pt idx="489">
                  <c:v>1879.6369040084082</c:v>
                </c:pt>
                <c:pt idx="490">
                  <c:v>1415.2715015203889</c:v>
                </c:pt>
                <c:pt idx="491">
                  <c:v>1956.5237983366467</c:v>
                </c:pt>
                <c:pt idx="492">
                  <c:v>1585.5570436159796</c:v>
                </c:pt>
                <c:pt idx="493">
                  <c:v>1743.1036659840206</c:v>
                </c:pt>
                <c:pt idx="494">
                  <c:v>1438.456782189292</c:v>
                </c:pt>
                <c:pt idx="495">
                  <c:v>1819.1817817607096</c:v>
                </c:pt>
                <c:pt idx="496">
                  <c:v>2066.8907665872866</c:v>
                </c:pt>
                <c:pt idx="497">
                  <c:v>1916.0721976386628</c:v>
                </c:pt>
                <c:pt idx="498">
                  <c:v>1802.4019355606615</c:v>
                </c:pt>
                <c:pt idx="499">
                  <c:v>1944.6917217177777</c:v>
                </c:pt>
                <c:pt idx="500">
                  <c:v>1059.694674837358</c:v>
                </c:pt>
                <c:pt idx="501">
                  <c:v>2035.7736929176413</c:v>
                </c:pt>
                <c:pt idx="502">
                  <c:v>1952.3271204934797</c:v>
                </c:pt>
                <c:pt idx="503">
                  <c:v>1314.6772793312725</c:v>
                </c:pt>
                <c:pt idx="504">
                  <c:v>1774.6551919998383</c:v>
                </c:pt>
                <c:pt idx="505">
                  <c:v>1353.5809438321392</c:v>
                </c:pt>
                <c:pt idx="506">
                  <c:v>1848.9452780063173</c:v>
                </c:pt>
                <c:pt idx="507">
                  <c:v>1787.5319719994634</c:v>
                </c:pt>
                <c:pt idx="508">
                  <c:v>1924.6578260253525</c:v>
                </c:pt>
                <c:pt idx="509">
                  <c:v>1814.2016081570775</c:v>
                </c:pt>
                <c:pt idx="510">
                  <c:v>1892.6262193347779</c:v>
                </c:pt>
                <c:pt idx="511">
                  <c:v>1922.1204997550026</c:v>
                </c:pt>
                <c:pt idx="512">
                  <c:v>1900.0297210883487</c:v>
                </c:pt>
                <c:pt idx="513">
                  <c:v>2368.9984687751376</c:v>
                </c:pt>
                <c:pt idx="514">
                  <c:v>2221.6584226240166</c:v>
                </c:pt>
                <c:pt idx="515">
                  <c:v>1709.4446741016534</c:v>
                </c:pt>
                <c:pt idx="516">
                  <c:v>1998.3450865884747</c:v>
                </c:pt>
                <c:pt idx="517">
                  <c:v>1663.4246790172376</c:v>
                </c:pt>
                <c:pt idx="518">
                  <c:v>1699.1441033486144</c:v>
                </c:pt>
                <c:pt idx="519">
                  <c:v>2012.9561754009451</c:v>
                </c:pt>
                <c:pt idx="520">
                  <c:v>1945.45205032473</c:v>
                </c:pt>
                <c:pt idx="521">
                  <c:v>1030.3194232853775</c:v>
                </c:pt>
                <c:pt idx="522">
                  <c:v>1576.9851041782376</c:v>
                </c:pt>
                <c:pt idx="523">
                  <c:v>2283.0575789316081</c:v>
                </c:pt>
                <c:pt idx="524">
                  <c:v>1717.557868991523</c:v>
                </c:pt>
                <c:pt idx="525">
                  <c:v>1620.871741910106</c:v>
                </c:pt>
                <c:pt idx="526">
                  <c:v>1940.3557862019516</c:v>
                </c:pt>
                <c:pt idx="527">
                  <c:v>1833.7274313856765</c:v>
                </c:pt>
                <c:pt idx="528">
                  <c:v>1776.2862241048911</c:v>
                </c:pt>
                <c:pt idx="529">
                  <c:v>1374.1528623417521</c:v>
                </c:pt>
                <c:pt idx="530">
                  <c:v>2191.8073418226004</c:v>
                </c:pt>
                <c:pt idx="531">
                  <c:v>1709.9609693120067</c:v>
                </c:pt>
                <c:pt idx="532">
                  <c:v>1518.3483710744604</c:v>
                </c:pt>
                <c:pt idx="533">
                  <c:v>1317.6485767514673</c:v>
                </c:pt>
                <c:pt idx="534">
                  <c:v>1448.3301376918353</c:v>
                </c:pt>
                <c:pt idx="535">
                  <c:v>1049.0643437569877</c:v>
                </c:pt>
                <c:pt idx="536">
                  <c:v>2202.0152264571325</c:v>
                </c:pt>
                <c:pt idx="537">
                  <c:v>1528.6430592334038</c:v>
                </c:pt>
                <c:pt idx="538">
                  <c:v>1496.2081755461918</c:v>
                </c:pt>
                <c:pt idx="539">
                  <c:v>1397.9349043787711</c:v>
                </c:pt>
                <c:pt idx="540">
                  <c:v>2307.7625534728195</c:v>
                </c:pt>
                <c:pt idx="541">
                  <c:v>1923.3365902292692</c:v>
                </c:pt>
                <c:pt idx="542">
                  <c:v>1390.0504051750736</c:v>
                </c:pt>
                <c:pt idx="543">
                  <c:v>1474.8933567137124</c:v>
                </c:pt>
                <c:pt idx="544">
                  <c:v>1921.0245327548214</c:v>
                </c:pt>
                <c:pt idx="545">
                  <c:v>1797.1544067102091</c:v>
                </c:pt>
                <c:pt idx="546">
                  <c:v>1984.6673726296899</c:v>
                </c:pt>
                <c:pt idx="547">
                  <c:v>1655.8017702157917</c:v>
                </c:pt>
                <c:pt idx="548">
                  <c:v>1804.6461873646904</c:v>
                </c:pt>
                <c:pt idx="549">
                  <c:v>1420.3626468671669</c:v>
                </c:pt>
                <c:pt idx="550">
                  <c:v>1993.3072159788724</c:v>
                </c:pt>
                <c:pt idx="551">
                  <c:v>1423.5937307351064</c:v>
                </c:pt>
                <c:pt idx="552">
                  <c:v>1935.8645369399014</c:v>
                </c:pt>
                <c:pt idx="553">
                  <c:v>2225.2959852658132</c:v>
                </c:pt>
                <c:pt idx="554">
                  <c:v>2014.6372057045974</c:v>
                </c:pt>
                <c:pt idx="555">
                  <c:v>2015.8253259783496</c:v>
                </c:pt>
                <c:pt idx="556">
                  <c:v>2001.840152948032</c:v>
                </c:pt>
                <c:pt idx="557">
                  <c:v>1758.4159237861275</c:v>
                </c:pt>
                <c:pt idx="558">
                  <c:v>1859.0845302284511</c:v>
                </c:pt>
                <c:pt idx="559">
                  <c:v>1838.8109158238281</c:v>
                </c:pt>
                <c:pt idx="560">
                  <c:v>1876.4019090300749</c:v>
                </c:pt>
                <c:pt idx="561">
                  <c:v>1570.3133480477104</c:v>
                </c:pt>
                <c:pt idx="562">
                  <c:v>1512.7494208277528</c:v>
                </c:pt>
                <c:pt idx="563">
                  <c:v>1718.6649990921571</c:v>
                </c:pt>
                <c:pt idx="564">
                  <c:v>1594.5998200331478</c:v>
                </c:pt>
                <c:pt idx="565">
                  <c:v>1967.3763554292195</c:v>
                </c:pt>
                <c:pt idx="566">
                  <c:v>1365.1094565818189</c:v>
                </c:pt>
                <c:pt idx="567">
                  <c:v>1415.6744549134453</c:v>
                </c:pt>
                <c:pt idx="568">
                  <c:v>1927.1727076957068</c:v>
                </c:pt>
                <c:pt idx="569">
                  <c:v>1741.8345155040724</c:v>
                </c:pt>
                <c:pt idx="570">
                  <c:v>2310.4206329299668</c:v>
                </c:pt>
                <c:pt idx="571">
                  <c:v>1280.5830845155251</c:v>
                </c:pt>
                <c:pt idx="572">
                  <c:v>1419.9741427344011</c:v>
                </c:pt>
                <c:pt idx="573">
                  <c:v>1633.8250277780164</c:v>
                </c:pt>
                <c:pt idx="574">
                  <c:v>1097.0009016483828</c:v>
                </c:pt>
                <c:pt idx="575">
                  <c:v>1397.3936505667143</c:v>
                </c:pt>
                <c:pt idx="576">
                  <c:v>2003.5107213279766</c:v>
                </c:pt>
                <c:pt idx="577">
                  <c:v>1517.5554662795366</c:v>
                </c:pt>
                <c:pt idx="578">
                  <c:v>1793.1855580951683</c:v>
                </c:pt>
                <c:pt idx="579">
                  <c:v>1155.1213757985754</c:v>
                </c:pt>
                <c:pt idx="580">
                  <c:v>1413.2928040765164</c:v>
                </c:pt>
                <c:pt idx="581">
                  <c:v>1544.4072588172194</c:v>
                </c:pt>
                <c:pt idx="582">
                  <c:v>2026.0587326538653</c:v>
                </c:pt>
                <c:pt idx="583">
                  <c:v>2142.3654031857541</c:v>
                </c:pt>
                <c:pt idx="584">
                  <c:v>1953.441526262475</c:v>
                </c:pt>
                <c:pt idx="585">
                  <c:v>1785.9163223919218</c:v>
                </c:pt>
                <c:pt idx="586">
                  <c:v>1413.5240280389812</c:v>
                </c:pt>
                <c:pt idx="587">
                  <c:v>1622.6780357104703</c:v>
                </c:pt>
                <c:pt idx="588">
                  <c:v>1379.6864785576663</c:v>
                </c:pt>
                <c:pt idx="589">
                  <c:v>1689.0620756900291</c:v>
                </c:pt>
                <c:pt idx="590">
                  <c:v>1913.3079798635936</c:v>
                </c:pt>
                <c:pt idx="591">
                  <c:v>1635.9149512708129</c:v>
                </c:pt>
                <c:pt idx="592">
                  <c:v>1981.606127035061</c:v>
                </c:pt>
                <c:pt idx="593">
                  <c:v>1492.558664501448</c:v>
                </c:pt>
                <c:pt idx="594">
                  <c:v>1821.735503148944</c:v>
                </c:pt>
                <c:pt idx="595">
                  <c:v>1957.1890053054265</c:v>
                </c:pt>
                <c:pt idx="596">
                  <c:v>1917.9804043886345</c:v>
                </c:pt>
                <c:pt idx="597">
                  <c:v>2050.1763974223459</c:v>
                </c:pt>
                <c:pt idx="598">
                  <c:v>1274.2316174844505</c:v>
                </c:pt>
                <c:pt idx="599">
                  <c:v>1751.1702094468551</c:v>
                </c:pt>
                <c:pt idx="600">
                  <c:v>1554.3028417514902</c:v>
                </c:pt>
                <c:pt idx="601">
                  <c:v>1067.5300311282576</c:v>
                </c:pt>
                <c:pt idx="602">
                  <c:v>2057.0113441295689</c:v>
                </c:pt>
                <c:pt idx="603">
                  <c:v>1184.3574294730611</c:v>
                </c:pt>
                <c:pt idx="604">
                  <c:v>1943.5498962483712</c:v>
                </c:pt>
                <c:pt idx="605">
                  <c:v>1977.8489279810296</c:v>
                </c:pt>
                <c:pt idx="606">
                  <c:v>1720.959601912826</c:v>
                </c:pt>
                <c:pt idx="607">
                  <c:v>2079.0410784268674</c:v>
                </c:pt>
                <c:pt idx="608">
                  <c:v>1693.6278405996045</c:v>
                </c:pt>
                <c:pt idx="609">
                  <c:v>1758.6430697567628</c:v>
                </c:pt>
                <c:pt idx="610">
                  <c:v>1839.1624187132888</c:v>
                </c:pt>
                <c:pt idx="611">
                  <c:v>1425.5399066793664</c:v>
                </c:pt>
                <c:pt idx="612">
                  <c:v>2018.8063708661909</c:v>
                </c:pt>
                <c:pt idx="613">
                  <c:v>1934.4383127841852</c:v>
                </c:pt>
                <c:pt idx="614">
                  <c:v>1090.0712583696188</c:v>
                </c:pt>
                <c:pt idx="615">
                  <c:v>1793.9069836363856</c:v>
                </c:pt>
                <c:pt idx="616">
                  <c:v>1549.0175627750923</c:v>
                </c:pt>
                <c:pt idx="617">
                  <c:v>1579.9160029776281</c:v>
                </c:pt>
                <c:pt idx="618">
                  <c:v>1860.4571079453829</c:v>
                </c:pt>
                <c:pt idx="619">
                  <c:v>1526.5589377905992</c:v>
                </c:pt>
                <c:pt idx="620">
                  <c:v>1417.1534531656248</c:v>
                </c:pt>
                <c:pt idx="621">
                  <c:v>1784.9906421582793</c:v>
                </c:pt>
                <c:pt idx="622">
                  <c:v>1765.1945998563606</c:v>
                </c:pt>
                <c:pt idx="623">
                  <c:v>1793.6191884335783</c:v>
                </c:pt>
                <c:pt idx="624">
                  <c:v>1445.0540780905094</c:v>
                </c:pt>
                <c:pt idx="625">
                  <c:v>1499.786265356385</c:v>
                </c:pt>
                <c:pt idx="626">
                  <c:v>1603.5658910398622</c:v>
                </c:pt>
                <c:pt idx="627">
                  <c:v>1218.2372320766826</c:v>
                </c:pt>
                <c:pt idx="628">
                  <c:v>1709.2446390170401</c:v>
                </c:pt>
                <c:pt idx="629">
                  <c:v>1618.7309292032971</c:v>
                </c:pt>
                <c:pt idx="630">
                  <c:v>2203.1946084957153</c:v>
                </c:pt>
                <c:pt idx="631">
                  <c:v>1660.4398855374393</c:v>
                </c:pt>
                <c:pt idx="632">
                  <c:v>1918.8818158330337</c:v>
                </c:pt>
                <c:pt idx="633">
                  <c:v>1557.2268234403145</c:v>
                </c:pt>
                <c:pt idx="634">
                  <c:v>1852.8479857826824</c:v>
                </c:pt>
                <c:pt idx="635">
                  <c:v>1432.4140306246391</c:v>
                </c:pt>
                <c:pt idx="636">
                  <c:v>1883.7131155996742</c:v>
                </c:pt>
                <c:pt idx="637">
                  <c:v>1475.7907028356258</c:v>
                </c:pt>
                <c:pt idx="638">
                  <c:v>1731.4147882858051</c:v>
                </c:pt>
                <c:pt idx="639">
                  <c:v>1847.2597356298654</c:v>
                </c:pt>
                <c:pt idx="640">
                  <c:v>1494.7658727042794</c:v>
                </c:pt>
                <c:pt idx="641">
                  <c:v>1650.7400136481465</c:v>
                </c:pt>
                <c:pt idx="642">
                  <c:v>2067.765628220563</c:v>
                </c:pt>
                <c:pt idx="643">
                  <c:v>1873.8183738130033</c:v>
                </c:pt>
                <c:pt idx="644">
                  <c:v>1414.502141094644</c:v>
                </c:pt>
                <c:pt idx="645">
                  <c:v>1607.180777021857</c:v>
                </c:pt>
                <c:pt idx="646">
                  <c:v>1874.0422137345106</c:v>
                </c:pt>
                <c:pt idx="647">
                  <c:v>1883.0434411580468</c:v>
                </c:pt>
                <c:pt idx="648">
                  <c:v>1773.7347095687358</c:v>
                </c:pt>
                <c:pt idx="649">
                  <c:v>1923.6634672866321</c:v>
                </c:pt>
                <c:pt idx="650">
                  <c:v>2061.1337572611378</c:v>
                </c:pt>
                <c:pt idx="651">
                  <c:v>1727.3845623655463</c:v>
                </c:pt>
                <c:pt idx="652">
                  <c:v>1678.6899815225415</c:v>
                </c:pt>
                <c:pt idx="653">
                  <c:v>1680.5408304876566</c:v>
                </c:pt>
                <c:pt idx="654">
                  <c:v>2221.5177936864361</c:v>
                </c:pt>
                <c:pt idx="655">
                  <c:v>1970.3511623115851</c:v>
                </c:pt>
                <c:pt idx="656">
                  <c:v>1320.0832452247118</c:v>
                </c:pt>
                <c:pt idx="657">
                  <c:v>2341.0310969355655</c:v>
                </c:pt>
                <c:pt idx="658">
                  <c:v>2625.8334841669357</c:v>
                </c:pt>
                <c:pt idx="659">
                  <c:v>1555.2488751093174</c:v>
                </c:pt>
                <c:pt idx="660">
                  <c:v>1316.3519411754301</c:v>
                </c:pt>
                <c:pt idx="661">
                  <c:v>1985.7755397406356</c:v>
                </c:pt>
                <c:pt idx="662">
                  <c:v>1429.1668762605927</c:v>
                </c:pt>
                <c:pt idx="663">
                  <c:v>1459.0275237313522</c:v>
                </c:pt>
                <c:pt idx="664">
                  <c:v>1639.3875348370996</c:v>
                </c:pt>
                <c:pt idx="665">
                  <c:v>1766.4559674083864</c:v>
                </c:pt>
                <c:pt idx="666">
                  <c:v>1680.4972881051849</c:v>
                </c:pt>
                <c:pt idx="667">
                  <c:v>1970.225553492889</c:v>
                </c:pt>
                <c:pt idx="668">
                  <c:v>1986.771126869563</c:v>
                </c:pt>
                <c:pt idx="669">
                  <c:v>1624.6598242637033</c:v>
                </c:pt>
                <c:pt idx="670">
                  <c:v>2201.6973014521054</c:v>
                </c:pt>
                <c:pt idx="671">
                  <c:v>1266.0935057629958</c:v>
                </c:pt>
                <c:pt idx="672">
                  <c:v>1473.573068688487</c:v>
                </c:pt>
                <c:pt idx="673">
                  <c:v>1250.3397602944824</c:v>
                </c:pt>
                <c:pt idx="674">
                  <c:v>1880.4060210071657</c:v>
                </c:pt>
                <c:pt idx="675">
                  <c:v>1644.6716028930171</c:v>
                </c:pt>
                <c:pt idx="676">
                  <c:v>1535.3459907586268</c:v>
                </c:pt>
                <c:pt idx="677">
                  <c:v>1429.3881073876971</c:v>
                </c:pt>
                <c:pt idx="678">
                  <c:v>1613.2813255009041</c:v>
                </c:pt>
                <c:pt idx="679">
                  <c:v>1645.9197423259634</c:v>
                </c:pt>
                <c:pt idx="680">
                  <c:v>2057.0696192652977</c:v>
                </c:pt>
                <c:pt idx="681">
                  <c:v>1750.9281427013129</c:v>
                </c:pt>
                <c:pt idx="682">
                  <c:v>1834.3769127519661</c:v>
                </c:pt>
                <c:pt idx="683">
                  <c:v>1575.3426672097348</c:v>
                </c:pt>
                <c:pt idx="684">
                  <c:v>1743.7350675640757</c:v>
                </c:pt>
                <c:pt idx="685">
                  <c:v>1823.2813021819795</c:v>
                </c:pt>
                <c:pt idx="686">
                  <c:v>2237.6048308958716</c:v>
                </c:pt>
                <c:pt idx="687">
                  <c:v>1693.9118833427831</c:v>
                </c:pt>
                <c:pt idx="688">
                  <c:v>1925.5970744645067</c:v>
                </c:pt>
                <c:pt idx="689">
                  <c:v>1971.6412083828261</c:v>
                </c:pt>
                <c:pt idx="690">
                  <c:v>2141.315226564323</c:v>
                </c:pt>
                <c:pt idx="691">
                  <c:v>1178.9115377075791</c:v>
                </c:pt>
                <c:pt idx="692">
                  <c:v>1727.5686774833639</c:v>
                </c:pt>
                <c:pt idx="693">
                  <c:v>1803.5383549434025</c:v>
                </c:pt>
                <c:pt idx="694">
                  <c:v>2543.7556806377952</c:v>
                </c:pt>
                <c:pt idx="695">
                  <c:v>1633.8301575330222</c:v>
                </c:pt>
                <c:pt idx="696">
                  <c:v>1882.3118866442942</c:v>
                </c:pt>
                <c:pt idx="697">
                  <c:v>2393.3898654349787</c:v>
                </c:pt>
                <c:pt idx="698">
                  <c:v>1966.4990223863042</c:v>
                </c:pt>
                <c:pt idx="699">
                  <c:v>1917.5420800426118</c:v>
                </c:pt>
                <c:pt idx="700">
                  <c:v>1577.8404258813589</c:v>
                </c:pt>
                <c:pt idx="701">
                  <c:v>1934.4875149124734</c:v>
                </c:pt>
                <c:pt idx="702">
                  <c:v>2014.4684099460287</c:v>
                </c:pt>
                <c:pt idx="703">
                  <c:v>1710.3248677391955</c:v>
                </c:pt>
                <c:pt idx="704">
                  <c:v>1820.7716853855634</c:v>
                </c:pt>
                <c:pt idx="705">
                  <c:v>1329.0012713455662</c:v>
                </c:pt>
                <c:pt idx="706">
                  <c:v>1516.9612890159549</c:v>
                </c:pt>
                <c:pt idx="707">
                  <c:v>1308.6339386081493</c:v>
                </c:pt>
                <c:pt idx="708">
                  <c:v>1438.23784173022</c:v>
                </c:pt>
                <c:pt idx="709">
                  <c:v>1932.1685127114044</c:v>
                </c:pt>
                <c:pt idx="710">
                  <c:v>1385.8334947340015</c:v>
                </c:pt>
                <c:pt idx="711">
                  <c:v>1598.9363606014558</c:v>
                </c:pt>
                <c:pt idx="712">
                  <c:v>1713.9878426149385</c:v>
                </c:pt>
                <c:pt idx="713">
                  <c:v>1209.2219854649366</c:v>
                </c:pt>
                <c:pt idx="714">
                  <c:v>1715.9188506689932</c:v>
                </c:pt>
                <c:pt idx="715">
                  <c:v>2107.9616584572109</c:v>
                </c:pt>
                <c:pt idx="716">
                  <c:v>1627.1335674000522</c:v>
                </c:pt>
                <c:pt idx="717">
                  <c:v>1546.2744877456951</c:v>
                </c:pt>
                <c:pt idx="718">
                  <c:v>2250.2568715144257</c:v>
                </c:pt>
                <c:pt idx="719">
                  <c:v>1594.7001936533684</c:v>
                </c:pt>
                <c:pt idx="720">
                  <c:v>1943.3822724497522</c:v>
                </c:pt>
                <c:pt idx="721">
                  <c:v>1626.1563936659279</c:v>
                </c:pt>
                <c:pt idx="722">
                  <c:v>1861.8553314161536</c:v>
                </c:pt>
                <c:pt idx="723">
                  <c:v>1560.6353973630448</c:v>
                </c:pt>
                <c:pt idx="724">
                  <c:v>1830.3993443214899</c:v>
                </c:pt>
                <c:pt idx="725">
                  <c:v>1415.7895087676618</c:v>
                </c:pt>
                <c:pt idx="726">
                  <c:v>2181.718700914942</c:v>
                </c:pt>
                <c:pt idx="727">
                  <c:v>2264.1273915706115</c:v>
                </c:pt>
                <c:pt idx="728">
                  <c:v>1551.3974069657934</c:v>
                </c:pt>
                <c:pt idx="729">
                  <c:v>1616.7994229622807</c:v>
                </c:pt>
                <c:pt idx="730">
                  <c:v>1597.79495575134</c:v>
                </c:pt>
                <c:pt idx="731">
                  <c:v>1946.2923590092487</c:v>
                </c:pt>
                <c:pt idx="732">
                  <c:v>1934.9720200640963</c:v>
                </c:pt>
                <c:pt idx="733">
                  <c:v>1374.6120710326429</c:v>
                </c:pt>
                <c:pt idx="734">
                  <c:v>1496.3751204155374</c:v>
                </c:pt>
                <c:pt idx="735">
                  <c:v>1780.4947129758123</c:v>
                </c:pt>
                <c:pt idx="736">
                  <c:v>2056.1522162978958</c:v>
                </c:pt>
                <c:pt idx="737">
                  <c:v>1245.7008834313053</c:v>
                </c:pt>
                <c:pt idx="738">
                  <c:v>1642.8072802851707</c:v>
                </c:pt>
                <c:pt idx="739">
                  <c:v>1547.9114408390517</c:v>
                </c:pt>
                <c:pt idx="740">
                  <c:v>2415.7619907625281</c:v>
                </c:pt>
                <c:pt idx="741">
                  <c:v>1814.6024242231817</c:v>
                </c:pt>
                <c:pt idx="742">
                  <c:v>1537.3108944476674</c:v>
                </c:pt>
                <c:pt idx="743">
                  <c:v>1790.3278652219101</c:v>
                </c:pt>
                <c:pt idx="744">
                  <c:v>1229.975574146262</c:v>
                </c:pt>
                <c:pt idx="745">
                  <c:v>2001.320517209434</c:v>
                </c:pt>
                <c:pt idx="746">
                  <c:v>1923.7124933098823</c:v>
                </c:pt>
                <c:pt idx="747">
                  <c:v>1238.4739772624371</c:v>
                </c:pt>
                <c:pt idx="748">
                  <c:v>1394.3651515239571</c:v>
                </c:pt>
                <c:pt idx="749">
                  <c:v>1537.652800486858</c:v>
                </c:pt>
                <c:pt idx="750">
                  <c:v>1867.7230515657229</c:v>
                </c:pt>
                <c:pt idx="751">
                  <c:v>1113.8137756334222</c:v>
                </c:pt>
                <c:pt idx="752">
                  <c:v>2112.2260773824205</c:v>
                </c:pt>
                <c:pt idx="753">
                  <c:v>2011.7643538640266</c:v>
                </c:pt>
                <c:pt idx="754">
                  <c:v>1689.2246768174534</c:v>
                </c:pt>
                <c:pt idx="755">
                  <c:v>1383.6589453157874</c:v>
                </c:pt>
                <c:pt idx="756">
                  <c:v>1983.000021118464</c:v>
                </c:pt>
                <c:pt idx="757">
                  <c:v>1261.7444647933735</c:v>
                </c:pt>
                <c:pt idx="758">
                  <c:v>1906.316712564068</c:v>
                </c:pt>
                <c:pt idx="759">
                  <c:v>1681.6271063401468</c:v>
                </c:pt>
                <c:pt idx="760">
                  <c:v>1857.934974514144</c:v>
                </c:pt>
                <c:pt idx="761">
                  <c:v>1654.3733840892526</c:v>
                </c:pt>
                <c:pt idx="762">
                  <c:v>2168.2308113565527</c:v>
                </c:pt>
                <c:pt idx="763">
                  <c:v>1714.7482343123756</c:v>
                </c:pt>
                <c:pt idx="764">
                  <c:v>1526.6008431456457</c:v>
                </c:pt>
                <c:pt idx="765">
                  <c:v>1401.4507265891878</c:v>
                </c:pt>
                <c:pt idx="766">
                  <c:v>1701.3371036836475</c:v>
                </c:pt>
                <c:pt idx="767">
                  <c:v>1927.8776227675694</c:v>
                </c:pt>
                <c:pt idx="768">
                  <c:v>1974.4597855921006</c:v>
                </c:pt>
                <c:pt idx="769">
                  <c:v>1957.3873580296283</c:v>
                </c:pt>
                <c:pt idx="770">
                  <c:v>1366.6483983078717</c:v>
                </c:pt>
                <c:pt idx="771">
                  <c:v>1797.448310598493</c:v>
                </c:pt>
                <c:pt idx="772">
                  <c:v>1773.8271844598369</c:v>
                </c:pt>
                <c:pt idx="773">
                  <c:v>2025.9677608738316</c:v>
                </c:pt>
                <c:pt idx="774">
                  <c:v>1620.5724077808657</c:v>
                </c:pt>
                <c:pt idx="775">
                  <c:v>2133.683482659369</c:v>
                </c:pt>
                <c:pt idx="776">
                  <c:v>1788.4133596619477</c:v>
                </c:pt>
                <c:pt idx="777">
                  <c:v>1938.3279204799539</c:v>
                </c:pt>
                <c:pt idx="778">
                  <c:v>1368.6676377359795</c:v>
                </c:pt>
                <c:pt idx="779">
                  <c:v>1255.7849993896939</c:v>
                </c:pt>
                <c:pt idx="780">
                  <c:v>1722.4480367792662</c:v>
                </c:pt>
                <c:pt idx="781">
                  <c:v>1454.6621848182431</c:v>
                </c:pt>
                <c:pt idx="782">
                  <c:v>1515.810476483872</c:v>
                </c:pt>
                <c:pt idx="783">
                  <c:v>1828.6814645159334</c:v>
                </c:pt>
                <c:pt idx="784">
                  <c:v>1977.4594678643477</c:v>
                </c:pt>
                <c:pt idx="785">
                  <c:v>1601.3417283863262</c:v>
                </c:pt>
                <c:pt idx="786">
                  <c:v>1051.5587637890276</c:v>
                </c:pt>
                <c:pt idx="787">
                  <c:v>1614.0122653707758</c:v>
                </c:pt>
                <c:pt idx="788">
                  <c:v>1940.3142593524747</c:v>
                </c:pt>
                <c:pt idx="789">
                  <c:v>1439.99042430642</c:v>
                </c:pt>
                <c:pt idx="790">
                  <c:v>1825.7419978896239</c:v>
                </c:pt>
                <c:pt idx="791">
                  <c:v>1748.7527361469249</c:v>
                </c:pt>
                <c:pt idx="792">
                  <c:v>1662.0353825246455</c:v>
                </c:pt>
                <c:pt idx="793">
                  <c:v>977.59813821739613</c:v>
                </c:pt>
                <c:pt idx="794">
                  <c:v>1886.2982338792613</c:v>
                </c:pt>
                <c:pt idx="795">
                  <c:v>1608.7511589690598</c:v>
                </c:pt>
                <c:pt idx="796">
                  <c:v>1255.763402445768</c:v>
                </c:pt>
                <c:pt idx="797">
                  <c:v>1745.9196972653747</c:v>
                </c:pt>
                <c:pt idx="798">
                  <c:v>1510.9140064278395</c:v>
                </c:pt>
                <c:pt idx="799">
                  <c:v>1839.1647063513735</c:v>
                </c:pt>
                <c:pt idx="800">
                  <c:v>1532.4367232930181</c:v>
                </c:pt>
                <c:pt idx="801">
                  <c:v>1787.1448920827254</c:v>
                </c:pt>
                <c:pt idx="802">
                  <c:v>1473.1586815273442</c:v>
                </c:pt>
                <c:pt idx="803">
                  <c:v>1221.8952015788393</c:v>
                </c:pt>
                <c:pt idx="804">
                  <c:v>2057.6944854392491</c:v>
                </c:pt>
                <c:pt idx="805">
                  <c:v>2581.7011622991859</c:v>
                </c:pt>
                <c:pt idx="806">
                  <c:v>1473.7812506509958</c:v>
                </c:pt>
                <c:pt idx="807">
                  <c:v>1599.3564701889459</c:v>
                </c:pt>
                <c:pt idx="808">
                  <c:v>1764.2016707142386</c:v>
                </c:pt>
                <c:pt idx="809">
                  <c:v>1898.2013874150034</c:v>
                </c:pt>
                <c:pt idx="810">
                  <c:v>2024.5628865244171</c:v>
                </c:pt>
                <c:pt idx="811">
                  <c:v>1447.4441678816029</c:v>
                </c:pt>
                <c:pt idx="812">
                  <c:v>1225.0077271015946</c:v>
                </c:pt>
                <c:pt idx="813">
                  <c:v>2001.3228770421701</c:v>
                </c:pt>
                <c:pt idx="814">
                  <c:v>1872.1917621202979</c:v>
                </c:pt>
                <c:pt idx="815">
                  <c:v>1489.7939336352963</c:v>
                </c:pt>
                <c:pt idx="816">
                  <c:v>1632.5300596119801</c:v>
                </c:pt>
                <c:pt idx="817">
                  <c:v>2346.3109979621122</c:v>
                </c:pt>
                <c:pt idx="818">
                  <c:v>1525.8852553659362</c:v>
                </c:pt>
                <c:pt idx="819">
                  <c:v>2073.3591874510939</c:v>
                </c:pt>
                <c:pt idx="820">
                  <c:v>1801.7591647080974</c:v>
                </c:pt>
                <c:pt idx="821">
                  <c:v>1518.8433754854848</c:v>
                </c:pt>
                <c:pt idx="822">
                  <c:v>1307.3117686083599</c:v>
                </c:pt>
                <c:pt idx="823">
                  <c:v>1936.6723280129797</c:v>
                </c:pt>
                <c:pt idx="824">
                  <c:v>1590.6944657988895</c:v>
                </c:pt>
                <c:pt idx="825">
                  <c:v>2356.8270808016059</c:v>
                </c:pt>
                <c:pt idx="826">
                  <c:v>1360.4544350443359</c:v>
                </c:pt>
                <c:pt idx="827">
                  <c:v>1556.0837441119068</c:v>
                </c:pt>
                <c:pt idx="828">
                  <c:v>1477.0556922908459</c:v>
                </c:pt>
                <c:pt idx="829">
                  <c:v>1335.3992098653534</c:v>
                </c:pt>
                <c:pt idx="830">
                  <c:v>1369.6586944643811</c:v>
                </c:pt>
                <c:pt idx="831">
                  <c:v>1918.9208956818854</c:v>
                </c:pt>
                <c:pt idx="832">
                  <c:v>1452.9014505648704</c:v>
                </c:pt>
                <c:pt idx="833">
                  <c:v>1906.0520668384534</c:v>
                </c:pt>
                <c:pt idx="834">
                  <c:v>1713.9876597692871</c:v>
                </c:pt>
                <c:pt idx="835">
                  <c:v>1880.411134869847</c:v>
                </c:pt>
                <c:pt idx="836">
                  <c:v>1666.2617600923552</c:v>
                </c:pt>
                <c:pt idx="837">
                  <c:v>2440.3249252361838</c:v>
                </c:pt>
                <c:pt idx="838">
                  <c:v>1389.730397260163</c:v>
                </c:pt>
                <c:pt idx="839">
                  <c:v>2106.4844648754579</c:v>
                </c:pt>
                <c:pt idx="840">
                  <c:v>1431.1955204574772</c:v>
                </c:pt>
                <c:pt idx="841">
                  <c:v>1185.6695562251521</c:v>
                </c:pt>
                <c:pt idx="842">
                  <c:v>1319.6449403015749</c:v>
                </c:pt>
                <c:pt idx="843">
                  <c:v>1388.309810585602</c:v>
                </c:pt>
                <c:pt idx="844">
                  <c:v>2083.2929562041991</c:v>
                </c:pt>
                <c:pt idx="845">
                  <c:v>2864.2493850926639</c:v>
                </c:pt>
                <c:pt idx="846">
                  <c:v>2249.9269288475325</c:v>
                </c:pt>
                <c:pt idx="847">
                  <c:v>2137.0821644807488</c:v>
                </c:pt>
                <c:pt idx="848">
                  <c:v>1217.0811158967508</c:v>
                </c:pt>
                <c:pt idx="849">
                  <c:v>1779.439388518193</c:v>
                </c:pt>
                <c:pt idx="850">
                  <c:v>2061.0163733875488</c:v>
                </c:pt>
                <c:pt idx="851">
                  <c:v>1950.4217436242714</c:v>
                </c:pt>
                <c:pt idx="852">
                  <c:v>1755.7553578903116</c:v>
                </c:pt>
                <c:pt idx="853">
                  <c:v>1872.436289462654</c:v>
                </c:pt>
                <c:pt idx="854">
                  <c:v>1607.2080766540325</c:v>
                </c:pt>
                <c:pt idx="855">
                  <c:v>1526.5078485957238</c:v>
                </c:pt>
                <c:pt idx="856">
                  <c:v>1931.1289195501063</c:v>
                </c:pt>
                <c:pt idx="857">
                  <c:v>1478.4758882301605</c:v>
                </c:pt>
                <c:pt idx="858">
                  <c:v>1800.0845669290466</c:v>
                </c:pt>
                <c:pt idx="859">
                  <c:v>1944.2152450899739</c:v>
                </c:pt>
                <c:pt idx="860">
                  <c:v>1629.4055769294771</c:v>
                </c:pt>
                <c:pt idx="861">
                  <c:v>1950.6716921487898</c:v>
                </c:pt>
                <c:pt idx="862">
                  <c:v>1757.8021030887246</c:v>
                </c:pt>
                <c:pt idx="863">
                  <c:v>1902.7080963781955</c:v>
                </c:pt>
                <c:pt idx="864">
                  <c:v>1469.2159492049925</c:v>
                </c:pt>
                <c:pt idx="865">
                  <c:v>1841.3162818228559</c:v>
                </c:pt>
                <c:pt idx="866">
                  <c:v>1708.9033620393507</c:v>
                </c:pt>
                <c:pt idx="867">
                  <c:v>1844.5765820237496</c:v>
                </c:pt>
                <c:pt idx="868">
                  <c:v>1435.1046031690094</c:v>
                </c:pt>
                <c:pt idx="869">
                  <c:v>1596.1282718364962</c:v>
                </c:pt>
                <c:pt idx="870">
                  <c:v>1675.7440037763652</c:v>
                </c:pt>
                <c:pt idx="871">
                  <c:v>1411.7677879134815</c:v>
                </c:pt>
                <c:pt idx="872">
                  <c:v>1643.8117285663361</c:v>
                </c:pt>
                <c:pt idx="873">
                  <c:v>1773.7857852482746</c:v>
                </c:pt>
                <c:pt idx="874">
                  <c:v>1765.4754913831916</c:v>
                </c:pt>
                <c:pt idx="875">
                  <c:v>2061.9824252490016</c:v>
                </c:pt>
                <c:pt idx="876">
                  <c:v>1449.5625957498157</c:v>
                </c:pt>
                <c:pt idx="877">
                  <c:v>1307.6409578731896</c:v>
                </c:pt>
                <c:pt idx="878">
                  <c:v>2108.7180575530269</c:v>
                </c:pt>
                <c:pt idx="879">
                  <c:v>1738.3952416178033</c:v>
                </c:pt>
                <c:pt idx="880">
                  <c:v>1314.6410116268694</c:v>
                </c:pt>
                <c:pt idx="881">
                  <c:v>1743.9103730750401</c:v>
                </c:pt>
                <c:pt idx="882">
                  <c:v>1563.5407747842355</c:v>
                </c:pt>
                <c:pt idx="883">
                  <c:v>1658.7849943869023</c:v>
                </c:pt>
                <c:pt idx="884">
                  <c:v>1830.6165109827439</c:v>
                </c:pt>
                <c:pt idx="885">
                  <c:v>2032.2194168774104</c:v>
                </c:pt>
                <c:pt idx="886">
                  <c:v>1403.4447296413566</c:v>
                </c:pt>
                <c:pt idx="887">
                  <c:v>2064.4597765750113</c:v>
                </c:pt>
                <c:pt idx="888">
                  <c:v>1935.2875952753247</c:v>
                </c:pt>
                <c:pt idx="889">
                  <c:v>1523.2131226229155</c:v>
                </c:pt>
                <c:pt idx="890">
                  <c:v>1747.6592342885695</c:v>
                </c:pt>
                <c:pt idx="891">
                  <c:v>2160.7273597863732</c:v>
                </c:pt>
                <c:pt idx="892">
                  <c:v>1510.7598600316062</c:v>
                </c:pt>
                <c:pt idx="893">
                  <c:v>1947.1836491641507</c:v>
                </c:pt>
                <c:pt idx="894">
                  <c:v>2174.7138197908967</c:v>
                </c:pt>
                <c:pt idx="895">
                  <c:v>1407.4125567353251</c:v>
                </c:pt>
                <c:pt idx="896">
                  <c:v>1856.8285027130437</c:v>
                </c:pt>
                <c:pt idx="897">
                  <c:v>1267.8451566330734</c:v>
                </c:pt>
                <c:pt idx="898">
                  <c:v>2218.0153169685859</c:v>
                </c:pt>
                <c:pt idx="899">
                  <c:v>1821.1193062625821</c:v>
                </c:pt>
                <c:pt idx="900">
                  <c:v>1693.5465722403603</c:v>
                </c:pt>
                <c:pt idx="901">
                  <c:v>1598.917558290007</c:v>
                </c:pt>
                <c:pt idx="902">
                  <c:v>1937.4641592568355</c:v>
                </c:pt>
                <c:pt idx="903">
                  <c:v>2048.859926678409</c:v>
                </c:pt>
                <c:pt idx="904">
                  <c:v>1805.4652312069859</c:v>
                </c:pt>
                <c:pt idx="905">
                  <c:v>1275.0717178944285</c:v>
                </c:pt>
                <c:pt idx="906">
                  <c:v>2375.6571371728432</c:v>
                </c:pt>
                <c:pt idx="907">
                  <c:v>1571.4522325383791</c:v>
                </c:pt>
                <c:pt idx="908">
                  <c:v>1559.957876792374</c:v>
                </c:pt>
                <c:pt idx="909">
                  <c:v>1966.3305677766348</c:v>
                </c:pt>
                <c:pt idx="910">
                  <c:v>1584.5052825639875</c:v>
                </c:pt>
                <c:pt idx="911">
                  <c:v>1372.7928336144691</c:v>
                </c:pt>
                <c:pt idx="912">
                  <c:v>1677.2406320171724</c:v>
                </c:pt>
                <c:pt idx="913">
                  <c:v>2020.6409416259448</c:v>
                </c:pt>
                <c:pt idx="914">
                  <c:v>1807.3266611290164</c:v>
                </c:pt>
                <c:pt idx="915">
                  <c:v>1562.6354103949802</c:v>
                </c:pt>
                <c:pt idx="916">
                  <c:v>2365.8256491270781</c:v>
                </c:pt>
                <c:pt idx="917">
                  <c:v>1342.6261244693605</c:v>
                </c:pt>
                <c:pt idx="918">
                  <c:v>2082.4346568579731</c:v>
                </c:pt>
                <c:pt idx="919">
                  <c:v>1615.2270741818013</c:v>
                </c:pt>
                <c:pt idx="920">
                  <c:v>2268.0752816720883</c:v>
                </c:pt>
                <c:pt idx="921">
                  <c:v>1570.0527978947273</c:v>
                </c:pt>
                <c:pt idx="922">
                  <c:v>1974.9345209433118</c:v>
                </c:pt>
                <c:pt idx="923">
                  <c:v>1930.3682335699009</c:v>
                </c:pt>
                <c:pt idx="924">
                  <c:v>1877.4381565200117</c:v>
                </c:pt>
                <c:pt idx="925">
                  <c:v>1428.2976691544914</c:v>
                </c:pt>
                <c:pt idx="926">
                  <c:v>1805.7245535533561</c:v>
                </c:pt>
                <c:pt idx="927">
                  <c:v>1981.2334017489161</c:v>
                </c:pt>
                <c:pt idx="928">
                  <c:v>2067.3722936660888</c:v>
                </c:pt>
                <c:pt idx="929">
                  <c:v>2050.0813660890694</c:v>
                </c:pt>
                <c:pt idx="930">
                  <c:v>1332.1641046075026</c:v>
                </c:pt>
                <c:pt idx="931">
                  <c:v>2165.2426948014245</c:v>
                </c:pt>
                <c:pt idx="932">
                  <c:v>1498.4676728827069</c:v>
                </c:pt>
                <c:pt idx="933">
                  <c:v>1592.5628488096172</c:v>
                </c:pt>
                <c:pt idx="934">
                  <c:v>1851.679585945428</c:v>
                </c:pt>
                <c:pt idx="935">
                  <c:v>1791.7457237909239</c:v>
                </c:pt>
                <c:pt idx="936">
                  <c:v>1201.2001703769338</c:v>
                </c:pt>
                <c:pt idx="937">
                  <c:v>2013.720261634619</c:v>
                </c:pt>
                <c:pt idx="938">
                  <c:v>1561.8634765504228</c:v>
                </c:pt>
                <c:pt idx="939">
                  <c:v>1321.9566856350623</c:v>
                </c:pt>
                <c:pt idx="940">
                  <c:v>1464.9215317048183</c:v>
                </c:pt>
                <c:pt idx="941">
                  <c:v>1693.733589712004</c:v>
                </c:pt>
                <c:pt idx="942">
                  <c:v>1366.8886067359831</c:v>
                </c:pt>
                <c:pt idx="943">
                  <c:v>1131.2671013548384</c:v>
                </c:pt>
                <c:pt idx="944">
                  <c:v>2103.8303555275056</c:v>
                </c:pt>
                <c:pt idx="945">
                  <c:v>1691.9089594846068</c:v>
                </c:pt>
                <c:pt idx="946">
                  <c:v>1713.9111914513328</c:v>
                </c:pt>
                <c:pt idx="947">
                  <c:v>2193.5088465230947</c:v>
                </c:pt>
                <c:pt idx="948">
                  <c:v>2246.1347842626919</c:v>
                </c:pt>
                <c:pt idx="949">
                  <c:v>1670.4074947672191</c:v>
                </c:pt>
                <c:pt idx="950">
                  <c:v>1458.0393909903037</c:v>
                </c:pt>
                <c:pt idx="951">
                  <c:v>1897.8360032123592</c:v>
                </c:pt>
                <c:pt idx="952">
                  <c:v>2088.3662001532734</c:v>
                </c:pt>
                <c:pt idx="953">
                  <c:v>1765.6557556828639</c:v>
                </c:pt>
                <c:pt idx="954">
                  <c:v>2103.5987617945707</c:v>
                </c:pt>
                <c:pt idx="955">
                  <c:v>1523.5730714404024</c:v>
                </c:pt>
                <c:pt idx="956">
                  <c:v>1809.6982280911529</c:v>
                </c:pt>
                <c:pt idx="957">
                  <c:v>2028.2647345704777</c:v>
                </c:pt>
                <c:pt idx="958">
                  <c:v>1609.5043247278086</c:v>
                </c:pt>
                <c:pt idx="959">
                  <c:v>1638.0142422787812</c:v>
                </c:pt>
                <c:pt idx="960">
                  <c:v>1130.6331016968084</c:v>
                </c:pt>
                <c:pt idx="961">
                  <c:v>1639.7131817964698</c:v>
                </c:pt>
                <c:pt idx="962">
                  <c:v>1604.5060089129997</c:v>
                </c:pt>
                <c:pt idx="963">
                  <c:v>1983.7485725343313</c:v>
                </c:pt>
                <c:pt idx="964">
                  <c:v>2331.6207712366654</c:v>
                </c:pt>
                <c:pt idx="965">
                  <c:v>1486.2208219098964</c:v>
                </c:pt>
                <c:pt idx="966">
                  <c:v>1780.7159180375381</c:v>
                </c:pt>
                <c:pt idx="967">
                  <c:v>1728.1121666722931</c:v>
                </c:pt>
                <c:pt idx="968">
                  <c:v>1854.7466247070122</c:v>
                </c:pt>
                <c:pt idx="969">
                  <c:v>2325.472591520368</c:v>
                </c:pt>
                <c:pt idx="970">
                  <c:v>1770.9221673845091</c:v>
                </c:pt>
                <c:pt idx="971">
                  <c:v>1748.9145445056824</c:v>
                </c:pt>
                <c:pt idx="972">
                  <c:v>1962.0325743113453</c:v>
                </c:pt>
                <c:pt idx="973">
                  <c:v>2079.0134359661197</c:v>
                </c:pt>
                <c:pt idx="974">
                  <c:v>2121.2922974340449</c:v>
                </c:pt>
                <c:pt idx="975">
                  <c:v>1402.1701172735648</c:v>
                </c:pt>
                <c:pt idx="976">
                  <c:v>1564.376520316396</c:v>
                </c:pt>
                <c:pt idx="977">
                  <c:v>1565.8152834941234</c:v>
                </c:pt>
                <c:pt idx="978">
                  <c:v>1553.1127140880672</c:v>
                </c:pt>
                <c:pt idx="979">
                  <c:v>1014.4039338329911</c:v>
                </c:pt>
                <c:pt idx="980">
                  <c:v>1461.6862587400346</c:v>
                </c:pt>
                <c:pt idx="981">
                  <c:v>2259.7664266418969</c:v>
                </c:pt>
                <c:pt idx="982">
                  <c:v>1981.7634690114589</c:v>
                </c:pt>
                <c:pt idx="983">
                  <c:v>1954.9117491488573</c:v>
                </c:pt>
                <c:pt idx="984">
                  <c:v>1937.6140962236191</c:v>
                </c:pt>
                <c:pt idx="985">
                  <c:v>1937.0947009475444</c:v>
                </c:pt>
                <c:pt idx="986">
                  <c:v>1811.2764167589692</c:v>
                </c:pt>
                <c:pt idx="987">
                  <c:v>1472.1422217596155</c:v>
                </c:pt>
                <c:pt idx="988">
                  <c:v>2022.0247286112881</c:v>
                </c:pt>
                <c:pt idx="989">
                  <c:v>1949.2616160806365</c:v>
                </c:pt>
                <c:pt idx="990">
                  <c:v>1694.2241522704535</c:v>
                </c:pt>
                <c:pt idx="991">
                  <c:v>2119.1566575102688</c:v>
                </c:pt>
                <c:pt idx="992">
                  <c:v>1157.5486322390886</c:v>
                </c:pt>
                <c:pt idx="993">
                  <c:v>1542.8074447573615</c:v>
                </c:pt>
                <c:pt idx="994">
                  <c:v>1827.1555623058698</c:v>
                </c:pt>
                <c:pt idx="995">
                  <c:v>2272.7943952639316</c:v>
                </c:pt>
                <c:pt idx="996">
                  <c:v>1932.6145802511601</c:v>
                </c:pt>
                <c:pt idx="997">
                  <c:v>1503.5276907417219</c:v>
                </c:pt>
                <c:pt idx="998">
                  <c:v>1156.221596037924</c:v>
                </c:pt>
                <c:pt idx="999">
                  <c:v>1485.727712945846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27-4A05-8D0C-2D88BE7BA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3323920"/>
        <c:axId val="1093317680"/>
      </c:lineChart>
      <c:lineChart>
        <c:grouping val="standard"/>
        <c:varyColors val="0"/>
        <c:ser>
          <c:idx val="0"/>
          <c:order val="0"/>
          <c:tx>
            <c:strRef>
              <c:f>TJX_Terminal!$F$4</c:f>
              <c:strCache>
                <c:ptCount val="1"/>
                <c:pt idx="0">
                  <c:v>FX Rate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TJX_Terminal!$F$5:$F$1004</c:f>
              <c:numCache>
                <c:formatCode>General</c:formatCode>
                <c:ptCount val="1000"/>
                <c:pt idx="0">
                  <c:v>1.1293269881461825</c:v>
                </c:pt>
                <c:pt idx="1">
                  <c:v>0.95863089713607064</c:v>
                </c:pt>
                <c:pt idx="2">
                  <c:v>1.2923725985197605</c:v>
                </c:pt>
                <c:pt idx="3">
                  <c:v>1.2812127256755477</c:v>
                </c:pt>
                <c:pt idx="4">
                  <c:v>1.3839674715709112</c:v>
                </c:pt>
                <c:pt idx="5">
                  <c:v>1.3725340280811311</c:v>
                </c:pt>
                <c:pt idx="6">
                  <c:v>1.1612342963604609</c:v>
                </c:pt>
                <c:pt idx="7">
                  <c:v>1.1682829222211109</c:v>
                </c:pt>
                <c:pt idx="8">
                  <c:v>1.0466128078164658</c:v>
                </c:pt>
                <c:pt idx="9">
                  <c:v>0.93542261178723507</c:v>
                </c:pt>
                <c:pt idx="10">
                  <c:v>1.462589075086258</c:v>
                </c:pt>
                <c:pt idx="11">
                  <c:v>1.1553985276785563</c:v>
                </c:pt>
                <c:pt idx="12">
                  <c:v>1.2815445527835407</c:v>
                </c:pt>
                <c:pt idx="13">
                  <c:v>1.1171497595636943</c:v>
                </c:pt>
                <c:pt idx="14">
                  <c:v>1.2088402014397697</c:v>
                </c:pt>
                <c:pt idx="15">
                  <c:v>1.5228507818218127</c:v>
                </c:pt>
                <c:pt idx="16">
                  <c:v>1.0343782848886272</c:v>
                </c:pt>
                <c:pt idx="17">
                  <c:v>1.249182709674572</c:v>
                </c:pt>
                <c:pt idx="18">
                  <c:v>1.2536726225072221</c:v>
                </c:pt>
                <c:pt idx="19">
                  <c:v>1.0828491887303116</c:v>
                </c:pt>
                <c:pt idx="20">
                  <c:v>1.2945798839898293</c:v>
                </c:pt>
                <c:pt idx="21">
                  <c:v>1.2927182102331014</c:v>
                </c:pt>
                <c:pt idx="22">
                  <c:v>1.2314590372428855</c:v>
                </c:pt>
                <c:pt idx="23">
                  <c:v>0.94232324416551327</c:v>
                </c:pt>
                <c:pt idx="24">
                  <c:v>1.065713463058376</c:v>
                </c:pt>
                <c:pt idx="25">
                  <c:v>1.3561115601093008</c:v>
                </c:pt>
                <c:pt idx="26">
                  <c:v>1.3780928801128929</c:v>
                </c:pt>
                <c:pt idx="27">
                  <c:v>1.1856864158045295</c:v>
                </c:pt>
                <c:pt idx="28">
                  <c:v>1.0104492928716253</c:v>
                </c:pt>
                <c:pt idx="29">
                  <c:v>1.2086588565440848</c:v>
                </c:pt>
                <c:pt idx="30">
                  <c:v>1.4094654672885154</c:v>
                </c:pt>
                <c:pt idx="31">
                  <c:v>0.84780039008526253</c:v>
                </c:pt>
                <c:pt idx="32">
                  <c:v>1.2913594393073633</c:v>
                </c:pt>
                <c:pt idx="33">
                  <c:v>1.397073120913602</c:v>
                </c:pt>
                <c:pt idx="34">
                  <c:v>1.1440566216569721</c:v>
                </c:pt>
                <c:pt idx="35">
                  <c:v>0.88508960215855526</c:v>
                </c:pt>
                <c:pt idx="36">
                  <c:v>1.2031640572062094</c:v>
                </c:pt>
                <c:pt idx="37">
                  <c:v>1.1932635104878671</c:v>
                </c:pt>
                <c:pt idx="38">
                  <c:v>1.2182226681300024</c:v>
                </c:pt>
                <c:pt idx="39">
                  <c:v>1.2423590686018435</c:v>
                </c:pt>
                <c:pt idx="40">
                  <c:v>1.1579340759556642</c:v>
                </c:pt>
                <c:pt idx="41">
                  <c:v>1.1701740818525379</c:v>
                </c:pt>
                <c:pt idx="42">
                  <c:v>1.0336544776973402</c:v>
                </c:pt>
                <c:pt idx="43">
                  <c:v>1.229945939953091</c:v>
                </c:pt>
                <c:pt idx="44">
                  <c:v>1.0227474113470982</c:v>
                </c:pt>
                <c:pt idx="45">
                  <c:v>1.0038375333543865</c:v>
                </c:pt>
                <c:pt idx="46">
                  <c:v>1.0111551764954214</c:v>
                </c:pt>
                <c:pt idx="47">
                  <c:v>1.1346322431495712</c:v>
                </c:pt>
                <c:pt idx="48">
                  <c:v>1.2766964789105597</c:v>
                </c:pt>
                <c:pt idx="49">
                  <c:v>1.0356388529862908</c:v>
                </c:pt>
                <c:pt idx="50">
                  <c:v>1.0366604827310837</c:v>
                </c:pt>
                <c:pt idx="51">
                  <c:v>1.0538993109283314</c:v>
                </c:pt>
                <c:pt idx="52">
                  <c:v>1.133995920287749</c:v>
                </c:pt>
                <c:pt idx="53">
                  <c:v>1.3015471213242336</c:v>
                </c:pt>
                <c:pt idx="54">
                  <c:v>1.1629890688211062</c:v>
                </c:pt>
                <c:pt idx="55">
                  <c:v>1.4032418292424689</c:v>
                </c:pt>
                <c:pt idx="56">
                  <c:v>0.99597489747045043</c:v>
                </c:pt>
                <c:pt idx="57">
                  <c:v>1.2344833840825522</c:v>
                </c:pt>
                <c:pt idx="58">
                  <c:v>1.1236251661973407</c:v>
                </c:pt>
                <c:pt idx="59">
                  <c:v>1.4302336997564162</c:v>
                </c:pt>
                <c:pt idx="60">
                  <c:v>1.2531815332677172</c:v>
                </c:pt>
                <c:pt idx="61">
                  <c:v>0.98401556208751517</c:v>
                </c:pt>
                <c:pt idx="62">
                  <c:v>0.9490710322729915</c:v>
                </c:pt>
                <c:pt idx="63">
                  <c:v>1.4092115327518531</c:v>
                </c:pt>
                <c:pt idx="64">
                  <c:v>1.1685393831972857</c:v>
                </c:pt>
                <c:pt idx="65">
                  <c:v>1.3237052844791952</c:v>
                </c:pt>
                <c:pt idx="66">
                  <c:v>1.178687881370829</c:v>
                </c:pt>
                <c:pt idx="67">
                  <c:v>0.93453937215742688</c:v>
                </c:pt>
                <c:pt idx="68">
                  <c:v>1.1287375035474529</c:v>
                </c:pt>
                <c:pt idx="69">
                  <c:v>1.033812112095003</c:v>
                </c:pt>
                <c:pt idx="70">
                  <c:v>0.96391926979920173</c:v>
                </c:pt>
                <c:pt idx="71">
                  <c:v>1.1962472296235969</c:v>
                </c:pt>
                <c:pt idx="72">
                  <c:v>1.2759421156115214</c:v>
                </c:pt>
                <c:pt idx="73">
                  <c:v>1.1472976766771557</c:v>
                </c:pt>
                <c:pt idx="74">
                  <c:v>1.4124057401123995</c:v>
                </c:pt>
                <c:pt idx="75">
                  <c:v>1.2702809962856669</c:v>
                </c:pt>
                <c:pt idx="76">
                  <c:v>1.0795011255149121</c:v>
                </c:pt>
                <c:pt idx="77">
                  <c:v>1.2901170302058238</c:v>
                </c:pt>
                <c:pt idx="78">
                  <c:v>1.171650114729385</c:v>
                </c:pt>
                <c:pt idx="79">
                  <c:v>1.4193633372464729</c:v>
                </c:pt>
                <c:pt idx="80">
                  <c:v>1.1413358714528901</c:v>
                </c:pt>
                <c:pt idx="81">
                  <c:v>1.2916960638801736</c:v>
                </c:pt>
                <c:pt idx="82">
                  <c:v>1.3237662655975615</c:v>
                </c:pt>
                <c:pt idx="83">
                  <c:v>1.277713940333306</c:v>
                </c:pt>
                <c:pt idx="84">
                  <c:v>1.2308952967356468</c:v>
                </c:pt>
                <c:pt idx="85">
                  <c:v>1.3292772412207847</c:v>
                </c:pt>
                <c:pt idx="86">
                  <c:v>1.3835298299947638</c:v>
                </c:pt>
                <c:pt idx="87">
                  <c:v>1.0967775133008413</c:v>
                </c:pt>
                <c:pt idx="88">
                  <c:v>1.1420366219705731</c:v>
                </c:pt>
                <c:pt idx="89">
                  <c:v>1.3568326360523055</c:v>
                </c:pt>
                <c:pt idx="90">
                  <c:v>0.90566350756149294</c:v>
                </c:pt>
                <c:pt idx="91">
                  <c:v>1.1626061315595684</c:v>
                </c:pt>
                <c:pt idx="92">
                  <c:v>1.1851942124848407</c:v>
                </c:pt>
                <c:pt idx="93">
                  <c:v>1.1048914782555443</c:v>
                </c:pt>
                <c:pt idx="94">
                  <c:v>1.5778616053640373</c:v>
                </c:pt>
                <c:pt idx="95">
                  <c:v>0.99403531048705884</c:v>
                </c:pt>
                <c:pt idx="96">
                  <c:v>1.3388236057008307</c:v>
                </c:pt>
                <c:pt idx="97">
                  <c:v>1.0528340233473086</c:v>
                </c:pt>
                <c:pt idx="98">
                  <c:v>1.500120634752967</c:v>
                </c:pt>
                <c:pt idx="99">
                  <c:v>1.2301154824693792</c:v>
                </c:pt>
                <c:pt idx="100">
                  <c:v>1.2615402836131788</c:v>
                </c:pt>
                <c:pt idx="101">
                  <c:v>1.0286902524771939</c:v>
                </c:pt>
                <c:pt idx="102">
                  <c:v>1.2397075614936868</c:v>
                </c:pt>
                <c:pt idx="103">
                  <c:v>1.0078918193490316</c:v>
                </c:pt>
                <c:pt idx="104">
                  <c:v>1.3044663046520477</c:v>
                </c:pt>
                <c:pt idx="105">
                  <c:v>1.1778023944237719</c:v>
                </c:pt>
                <c:pt idx="106">
                  <c:v>1.0088065404710214</c:v>
                </c:pt>
                <c:pt idx="107">
                  <c:v>1.1799407953885965</c:v>
                </c:pt>
                <c:pt idx="108">
                  <c:v>1.052867033726121</c:v>
                </c:pt>
                <c:pt idx="109">
                  <c:v>0.98194581946719561</c:v>
                </c:pt>
                <c:pt idx="110">
                  <c:v>1.1272799847969914</c:v>
                </c:pt>
                <c:pt idx="111">
                  <c:v>1.2559994389668401</c:v>
                </c:pt>
                <c:pt idx="112">
                  <c:v>1.0754768718072711</c:v>
                </c:pt>
                <c:pt idx="113">
                  <c:v>1.4631893381973464</c:v>
                </c:pt>
                <c:pt idx="114">
                  <c:v>1.3508054395594022</c:v>
                </c:pt>
                <c:pt idx="115">
                  <c:v>1.1739406378302004</c:v>
                </c:pt>
                <c:pt idx="116">
                  <c:v>1.2133637226682632</c:v>
                </c:pt>
                <c:pt idx="117">
                  <c:v>1.2565015472086922</c:v>
                </c:pt>
                <c:pt idx="118">
                  <c:v>1.371426731723858</c:v>
                </c:pt>
                <c:pt idx="119">
                  <c:v>1.0606148513307541</c:v>
                </c:pt>
                <c:pt idx="120">
                  <c:v>1.0872514998702314</c:v>
                </c:pt>
                <c:pt idx="121">
                  <c:v>0.86838193753433646</c:v>
                </c:pt>
                <c:pt idx="122">
                  <c:v>1.1503989637494849</c:v>
                </c:pt>
                <c:pt idx="123">
                  <c:v>1.4978077964275553</c:v>
                </c:pt>
                <c:pt idx="124">
                  <c:v>1.4626459220911256</c:v>
                </c:pt>
                <c:pt idx="125">
                  <c:v>1.2859090244663309</c:v>
                </c:pt>
                <c:pt idx="126">
                  <c:v>1.1569128471227939</c:v>
                </c:pt>
                <c:pt idx="127">
                  <c:v>0.90913036886534138</c:v>
                </c:pt>
                <c:pt idx="128">
                  <c:v>1.3013959230082985</c:v>
                </c:pt>
                <c:pt idx="129">
                  <c:v>1.0174457736563771</c:v>
                </c:pt>
                <c:pt idx="130">
                  <c:v>1.2143900228763269</c:v>
                </c:pt>
                <c:pt idx="131">
                  <c:v>1.2327055576456238</c:v>
                </c:pt>
                <c:pt idx="132">
                  <c:v>1.2667769657337087</c:v>
                </c:pt>
                <c:pt idx="133">
                  <c:v>0.94633530824343037</c:v>
                </c:pt>
                <c:pt idx="134">
                  <c:v>1.3729909701462994</c:v>
                </c:pt>
                <c:pt idx="135">
                  <c:v>1.0823394455891102</c:v>
                </c:pt>
                <c:pt idx="136">
                  <c:v>0.97341570215133733</c:v>
                </c:pt>
                <c:pt idx="137">
                  <c:v>1.1364118116275514</c:v>
                </c:pt>
                <c:pt idx="138">
                  <c:v>1.1107194793056294</c:v>
                </c:pt>
                <c:pt idx="139">
                  <c:v>1.1166463083984821</c:v>
                </c:pt>
                <c:pt idx="140">
                  <c:v>1.1942615342280332</c:v>
                </c:pt>
                <c:pt idx="141">
                  <c:v>1.2659780586797358</c:v>
                </c:pt>
                <c:pt idx="142">
                  <c:v>1.0277052041874313</c:v>
                </c:pt>
                <c:pt idx="143">
                  <c:v>1.3955840414498848</c:v>
                </c:pt>
                <c:pt idx="144">
                  <c:v>1.3119259055939938</c:v>
                </c:pt>
                <c:pt idx="145">
                  <c:v>1.2441950580245602</c:v>
                </c:pt>
                <c:pt idx="146">
                  <c:v>1.0310506072976744</c:v>
                </c:pt>
                <c:pt idx="147">
                  <c:v>1.3798150922007526</c:v>
                </c:pt>
                <c:pt idx="148">
                  <c:v>1.2499004087106971</c:v>
                </c:pt>
                <c:pt idx="149">
                  <c:v>1.1549408339417626</c:v>
                </c:pt>
                <c:pt idx="150">
                  <c:v>1.1174527949713289</c:v>
                </c:pt>
                <c:pt idx="151">
                  <c:v>1.0328168575689316</c:v>
                </c:pt>
                <c:pt idx="152">
                  <c:v>1.1935677369560991</c:v>
                </c:pt>
                <c:pt idx="153">
                  <c:v>1.3440201226102269</c:v>
                </c:pt>
                <c:pt idx="154">
                  <c:v>1.1335473233543816</c:v>
                </c:pt>
                <c:pt idx="155">
                  <c:v>1.2298168408056707</c:v>
                </c:pt>
                <c:pt idx="156">
                  <c:v>1.1941782804432062</c:v>
                </c:pt>
                <c:pt idx="157">
                  <c:v>1.1632390056253661</c:v>
                </c:pt>
                <c:pt idx="158">
                  <c:v>1.1887235826751028</c:v>
                </c:pt>
                <c:pt idx="159">
                  <c:v>0.85622884142665545</c:v>
                </c:pt>
                <c:pt idx="160">
                  <c:v>1.4739087219965794</c:v>
                </c:pt>
                <c:pt idx="161">
                  <c:v>1.3415237528065493</c:v>
                </c:pt>
                <c:pt idx="162">
                  <c:v>0.99034416412205062</c:v>
                </c:pt>
                <c:pt idx="163">
                  <c:v>1.192830594891112</c:v>
                </c:pt>
                <c:pt idx="164">
                  <c:v>0.88219012768089633</c:v>
                </c:pt>
                <c:pt idx="165">
                  <c:v>1.3058304921960291</c:v>
                </c:pt>
                <c:pt idx="166">
                  <c:v>0.94057542411965089</c:v>
                </c:pt>
                <c:pt idx="167">
                  <c:v>1.096753660017548</c:v>
                </c:pt>
                <c:pt idx="168">
                  <c:v>1.1849177270882165</c:v>
                </c:pt>
                <c:pt idx="169">
                  <c:v>1.1732424644715727</c:v>
                </c:pt>
                <c:pt idx="170">
                  <c:v>1.1165515589533488</c:v>
                </c:pt>
                <c:pt idx="171">
                  <c:v>1.003591420514631</c:v>
                </c:pt>
                <c:pt idx="172">
                  <c:v>0.98650160358622596</c:v>
                </c:pt>
                <c:pt idx="173">
                  <c:v>1.2415308170604185</c:v>
                </c:pt>
                <c:pt idx="174">
                  <c:v>1.0850525982502761</c:v>
                </c:pt>
                <c:pt idx="175">
                  <c:v>1.0618963833938533</c:v>
                </c:pt>
                <c:pt idx="176">
                  <c:v>1.117333314275039</c:v>
                </c:pt>
                <c:pt idx="177">
                  <c:v>1.1084891108030053</c:v>
                </c:pt>
                <c:pt idx="178">
                  <c:v>1.2744244208865643</c:v>
                </c:pt>
                <c:pt idx="179">
                  <c:v>1.2791204531719635</c:v>
                </c:pt>
                <c:pt idx="180">
                  <c:v>1.0705871833814993</c:v>
                </c:pt>
                <c:pt idx="181">
                  <c:v>1.0922170722794391</c:v>
                </c:pt>
                <c:pt idx="182">
                  <c:v>1.4170195597692326</c:v>
                </c:pt>
                <c:pt idx="183">
                  <c:v>1.1769696602684083</c:v>
                </c:pt>
                <c:pt idx="184">
                  <c:v>1.2106864353341511</c:v>
                </c:pt>
                <c:pt idx="185">
                  <c:v>1.0313350590451709</c:v>
                </c:pt>
                <c:pt idx="186">
                  <c:v>0.93174470843738899</c:v>
                </c:pt>
                <c:pt idx="187">
                  <c:v>1.3200974992675634</c:v>
                </c:pt>
                <c:pt idx="188">
                  <c:v>1.1068862768541146</c:v>
                </c:pt>
                <c:pt idx="189">
                  <c:v>1.1924483388522902</c:v>
                </c:pt>
                <c:pt idx="190">
                  <c:v>0.99554238528030115</c:v>
                </c:pt>
                <c:pt idx="191">
                  <c:v>1.1931707105706253</c:v>
                </c:pt>
                <c:pt idx="192">
                  <c:v>1.2749263400228943</c:v>
                </c:pt>
                <c:pt idx="193">
                  <c:v>1.1751924408336376</c:v>
                </c:pt>
                <c:pt idx="194">
                  <c:v>1.0505082999367679</c:v>
                </c:pt>
                <c:pt idx="195">
                  <c:v>1.3210873415707169</c:v>
                </c:pt>
                <c:pt idx="196">
                  <c:v>1.296498348243631</c:v>
                </c:pt>
                <c:pt idx="197">
                  <c:v>1.0953346299503839</c:v>
                </c:pt>
                <c:pt idx="198">
                  <c:v>1.1878274715593642</c:v>
                </c:pt>
                <c:pt idx="199">
                  <c:v>1.1840849204554407</c:v>
                </c:pt>
                <c:pt idx="200">
                  <c:v>1.303097987186443</c:v>
                </c:pt>
                <c:pt idx="201">
                  <c:v>1.1958289564096256</c:v>
                </c:pt>
                <c:pt idx="202">
                  <c:v>1.1284206838606727</c:v>
                </c:pt>
                <c:pt idx="203">
                  <c:v>1.3795510685260937</c:v>
                </c:pt>
                <c:pt idx="204">
                  <c:v>0.89641142790530526</c:v>
                </c:pt>
                <c:pt idx="205">
                  <c:v>0.86303631560443961</c:v>
                </c:pt>
                <c:pt idx="206">
                  <c:v>1.1649649092383239</c:v>
                </c:pt>
                <c:pt idx="207">
                  <c:v>1.3312724530447391</c:v>
                </c:pt>
                <c:pt idx="208">
                  <c:v>1.1398318410638173</c:v>
                </c:pt>
                <c:pt idx="209">
                  <c:v>1.4317167426274882</c:v>
                </c:pt>
                <c:pt idx="210">
                  <c:v>1.3017036197661411</c:v>
                </c:pt>
                <c:pt idx="211">
                  <c:v>1.0798290828353467</c:v>
                </c:pt>
                <c:pt idx="212">
                  <c:v>1.2902656120401643</c:v>
                </c:pt>
                <c:pt idx="213">
                  <c:v>1.3834427611786331</c:v>
                </c:pt>
                <c:pt idx="214">
                  <c:v>0.92412604870996673</c:v>
                </c:pt>
                <c:pt idx="215">
                  <c:v>1.1066433180535933</c:v>
                </c:pt>
                <c:pt idx="216">
                  <c:v>1.0005629213209137</c:v>
                </c:pt>
                <c:pt idx="217">
                  <c:v>1.2072910079437371</c:v>
                </c:pt>
                <c:pt idx="218">
                  <c:v>1.146896080273158</c:v>
                </c:pt>
                <c:pt idx="219">
                  <c:v>1.113862119638227</c:v>
                </c:pt>
                <c:pt idx="220">
                  <c:v>1.3586638900378796</c:v>
                </c:pt>
                <c:pt idx="221">
                  <c:v>0.95864298664715952</c:v>
                </c:pt>
                <c:pt idx="222">
                  <c:v>1.301317874290318</c:v>
                </c:pt>
                <c:pt idx="223">
                  <c:v>1.1634208274613571</c:v>
                </c:pt>
                <c:pt idx="224">
                  <c:v>1.2771716138741342</c:v>
                </c:pt>
                <c:pt idx="225">
                  <c:v>1.0589950367285867</c:v>
                </c:pt>
                <c:pt idx="226">
                  <c:v>1.3480370748294219</c:v>
                </c:pt>
                <c:pt idx="227">
                  <c:v>0.93009870108833259</c:v>
                </c:pt>
                <c:pt idx="228">
                  <c:v>1.2606390320931151</c:v>
                </c:pt>
                <c:pt idx="229">
                  <c:v>0.96987996500734375</c:v>
                </c:pt>
                <c:pt idx="230">
                  <c:v>1.1781186684730089</c:v>
                </c:pt>
                <c:pt idx="231">
                  <c:v>1.1008558762139193</c:v>
                </c:pt>
                <c:pt idx="232">
                  <c:v>0.78571143988486647</c:v>
                </c:pt>
                <c:pt idx="233">
                  <c:v>1.1875768632278507</c:v>
                </c:pt>
                <c:pt idx="234">
                  <c:v>1.3162354864201853</c:v>
                </c:pt>
                <c:pt idx="235">
                  <c:v>1.3241101757843292</c:v>
                </c:pt>
                <c:pt idx="236">
                  <c:v>1.2453819294938251</c:v>
                </c:pt>
                <c:pt idx="237">
                  <c:v>1.1263829717384857</c:v>
                </c:pt>
                <c:pt idx="238">
                  <c:v>1.1072935780529478</c:v>
                </c:pt>
                <c:pt idx="239">
                  <c:v>1.217112591322447</c:v>
                </c:pt>
                <c:pt idx="240">
                  <c:v>1.0804279169577407</c:v>
                </c:pt>
                <c:pt idx="241">
                  <c:v>1.1591947624459786</c:v>
                </c:pt>
                <c:pt idx="242">
                  <c:v>1.0061327770598876</c:v>
                </c:pt>
                <c:pt idx="243">
                  <c:v>1.2231097259135941</c:v>
                </c:pt>
                <c:pt idx="244">
                  <c:v>1.3960745401757073</c:v>
                </c:pt>
                <c:pt idx="245">
                  <c:v>1.1948682519691862</c:v>
                </c:pt>
                <c:pt idx="246">
                  <c:v>1.1710249082762925</c:v>
                </c:pt>
                <c:pt idx="247">
                  <c:v>1.2680710227973531</c:v>
                </c:pt>
                <c:pt idx="248">
                  <c:v>1.224430884319295</c:v>
                </c:pt>
                <c:pt idx="249">
                  <c:v>1.1169248050553475</c:v>
                </c:pt>
                <c:pt idx="250">
                  <c:v>1.0987165725730277</c:v>
                </c:pt>
                <c:pt idx="251">
                  <c:v>1.1072582025547655</c:v>
                </c:pt>
                <c:pt idx="252">
                  <c:v>1.2699163275989052</c:v>
                </c:pt>
                <c:pt idx="253">
                  <c:v>1.0250722299623496</c:v>
                </c:pt>
                <c:pt idx="254">
                  <c:v>1.4859354741865696</c:v>
                </c:pt>
                <c:pt idx="255">
                  <c:v>1.1853245155473759</c:v>
                </c:pt>
                <c:pt idx="256">
                  <c:v>0.99055004479950948</c:v>
                </c:pt>
                <c:pt idx="257">
                  <c:v>0.98712580286802998</c:v>
                </c:pt>
                <c:pt idx="258">
                  <c:v>1.1311406009766278</c:v>
                </c:pt>
                <c:pt idx="259">
                  <c:v>1.2342049994641553</c:v>
                </c:pt>
                <c:pt idx="260">
                  <c:v>1.2459558966351301</c:v>
                </c:pt>
                <c:pt idx="261">
                  <c:v>1.1722450133342828</c:v>
                </c:pt>
                <c:pt idx="262">
                  <c:v>1.2458084978809059</c:v>
                </c:pt>
                <c:pt idx="263">
                  <c:v>0.74971681181629746</c:v>
                </c:pt>
                <c:pt idx="264">
                  <c:v>0.98482180087380633</c:v>
                </c:pt>
                <c:pt idx="265">
                  <c:v>1.09690581636764</c:v>
                </c:pt>
                <c:pt idx="266">
                  <c:v>1.4459050485884046</c:v>
                </c:pt>
                <c:pt idx="267">
                  <c:v>1.4044785044370311</c:v>
                </c:pt>
                <c:pt idx="268">
                  <c:v>1.4136747140129287</c:v>
                </c:pt>
                <c:pt idx="269">
                  <c:v>1.1353062679870811</c:v>
                </c:pt>
                <c:pt idx="270">
                  <c:v>1.0673116602799404</c:v>
                </c:pt>
                <c:pt idx="271">
                  <c:v>1.2056750083645968</c:v>
                </c:pt>
                <c:pt idx="272">
                  <c:v>1.1881143569112065</c:v>
                </c:pt>
                <c:pt idx="273">
                  <c:v>1.2492790342915125</c:v>
                </c:pt>
                <c:pt idx="274">
                  <c:v>1.2725950462667155</c:v>
                </c:pt>
                <c:pt idx="275">
                  <c:v>1.2599332890534258</c:v>
                </c:pt>
                <c:pt idx="276">
                  <c:v>1.1457520248655455</c:v>
                </c:pt>
                <c:pt idx="277">
                  <c:v>1.366401305796445</c:v>
                </c:pt>
                <c:pt idx="278">
                  <c:v>1.3465718305050558</c:v>
                </c:pt>
                <c:pt idx="279">
                  <c:v>1.268154257104078</c:v>
                </c:pt>
                <c:pt idx="280">
                  <c:v>1.2355133127885503</c:v>
                </c:pt>
                <c:pt idx="281">
                  <c:v>1.2922280802445236</c:v>
                </c:pt>
                <c:pt idx="282">
                  <c:v>1.3211225535653419</c:v>
                </c:pt>
                <c:pt idx="283">
                  <c:v>1.0584759848128684</c:v>
                </c:pt>
                <c:pt idx="284">
                  <c:v>1.0683683461784581</c:v>
                </c:pt>
                <c:pt idx="285">
                  <c:v>0.98167787812854235</c:v>
                </c:pt>
                <c:pt idx="286">
                  <c:v>1.0837460820994553</c:v>
                </c:pt>
                <c:pt idx="287">
                  <c:v>1.0778826732412861</c:v>
                </c:pt>
                <c:pt idx="288">
                  <c:v>0.94455800205693563</c:v>
                </c:pt>
                <c:pt idx="289">
                  <c:v>1.132361303500526</c:v>
                </c:pt>
                <c:pt idx="290">
                  <c:v>1.0881719297751009</c:v>
                </c:pt>
                <c:pt idx="291">
                  <c:v>1.1911816544737073</c:v>
                </c:pt>
                <c:pt idx="292">
                  <c:v>1.4133345388211911</c:v>
                </c:pt>
                <c:pt idx="293">
                  <c:v>1.2298896794728609</c:v>
                </c:pt>
                <c:pt idx="294">
                  <c:v>1.3166106842657652</c:v>
                </c:pt>
                <c:pt idx="295">
                  <c:v>1.066674727858417</c:v>
                </c:pt>
                <c:pt idx="296">
                  <c:v>1.2087374512167204</c:v>
                </c:pt>
                <c:pt idx="297">
                  <c:v>1.2057014306571263</c:v>
                </c:pt>
                <c:pt idx="298">
                  <c:v>1.4027274114639079</c:v>
                </c:pt>
                <c:pt idx="299">
                  <c:v>1.1091983796649163</c:v>
                </c:pt>
                <c:pt idx="300">
                  <c:v>1.0809298123310969</c:v>
                </c:pt>
                <c:pt idx="301">
                  <c:v>1.2202362428345568</c:v>
                </c:pt>
                <c:pt idx="302">
                  <c:v>1.3170985542525395</c:v>
                </c:pt>
                <c:pt idx="303">
                  <c:v>1.0410620494465608</c:v>
                </c:pt>
                <c:pt idx="304">
                  <c:v>1.2805555371246404</c:v>
                </c:pt>
                <c:pt idx="305">
                  <c:v>1.2425100376283686</c:v>
                </c:pt>
                <c:pt idx="306">
                  <c:v>1.3531722532768842</c:v>
                </c:pt>
                <c:pt idx="307">
                  <c:v>0.86027508914956474</c:v>
                </c:pt>
                <c:pt idx="308">
                  <c:v>0.92370927819685911</c:v>
                </c:pt>
                <c:pt idx="309">
                  <c:v>1.1795696645717144</c:v>
                </c:pt>
                <c:pt idx="310">
                  <c:v>1.2024813849469966</c:v>
                </c:pt>
                <c:pt idx="311">
                  <c:v>1.4473296961706084</c:v>
                </c:pt>
                <c:pt idx="312">
                  <c:v>1.3762804795417478</c:v>
                </c:pt>
                <c:pt idx="313">
                  <c:v>1.3365847843497627</c:v>
                </c:pt>
                <c:pt idx="314">
                  <c:v>1.2104512324881489</c:v>
                </c:pt>
                <c:pt idx="315">
                  <c:v>1.1181689960322176</c:v>
                </c:pt>
                <c:pt idx="316">
                  <c:v>1.0371887480227864</c:v>
                </c:pt>
                <c:pt idx="317">
                  <c:v>0.85243462478659371</c:v>
                </c:pt>
                <c:pt idx="318">
                  <c:v>1.0904250437995013</c:v>
                </c:pt>
                <c:pt idx="319">
                  <c:v>1.2092293997799768</c:v>
                </c:pt>
                <c:pt idx="320">
                  <c:v>1.1126862116279135</c:v>
                </c:pt>
                <c:pt idx="321">
                  <c:v>1.0397211038838605</c:v>
                </c:pt>
                <c:pt idx="322">
                  <c:v>1.2300624119918926</c:v>
                </c:pt>
                <c:pt idx="323">
                  <c:v>1.1679472235415278</c:v>
                </c:pt>
                <c:pt idx="324">
                  <c:v>1.2024426858101123</c:v>
                </c:pt>
                <c:pt idx="325">
                  <c:v>0.92411353161889287</c:v>
                </c:pt>
                <c:pt idx="326">
                  <c:v>0.84475947266320084</c:v>
                </c:pt>
                <c:pt idx="327">
                  <c:v>1.1870398380034108</c:v>
                </c:pt>
                <c:pt idx="328">
                  <c:v>1.1612119813869146</c:v>
                </c:pt>
                <c:pt idx="329">
                  <c:v>1.1007207192926225</c:v>
                </c:pt>
                <c:pt idx="330">
                  <c:v>1.186845165495783</c:v>
                </c:pt>
                <c:pt idx="331">
                  <c:v>1.3143900428975861</c:v>
                </c:pt>
                <c:pt idx="332">
                  <c:v>1.1667102349587934</c:v>
                </c:pt>
                <c:pt idx="333">
                  <c:v>1.4013928512544636</c:v>
                </c:pt>
                <c:pt idx="334">
                  <c:v>1.2167060716233697</c:v>
                </c:pt>
                <c:pt idx="335">
                  <c:v>0.96871533648929264</c:v>
                </c:pt>
                <c:pt idx="336">
                  <c:v>1.0069115218238109</c:v>
                </c:pt>
                <c:pt idx="337">
                  <c:v>1.0820474616219449</c:v>
                </c:pt>
                <c:pt idx="338">
                  <c:v>0.88313582568269589</c:v>
                </c:pt>
                <c:pt idx="339">
                  <c:v>1.3326443428576817</c:v>
                </c:pt>
                <c:pt idx="340">
                  <c:v>1.2271301405997295</c:v>
                </c:pt>
                <c:pt idx="341">
                  <c:v>1.264439452690054</c:v>
                </c:pt>
                <c:pt idx="342">
                  <c:v>1.3170873238227541</c:v>
                </c:pt>
                <c:pt idx="343">
                  <c:v>1.1918476797771484</c:v>
                </c:pt>
                <c:pt idx="344">
                  <c:v>1.0503051626772355</c:v>
                </c:pt>
                <c:pt idx="345">
                  <c:v>1.2217601223803336</c:v>
                </c:pt>
                <c:pt idx="346">
                  <c:v>1.421985911188018</c:v>
                </c:pt>
                <c:pt idx="347">
                  <c:v>1.2158887611721809</c:v>
                </c:pt>
                <c:pt idx="348">
                  <c:v>1.0775111495025911</c:v>
                </c:pt>
                <c:pt idx="349">
                  <c:v>1.3894193526872036</c:v>
                </c:pt>
                <c:pt idx="350">
                  <c:v>1.1417335708398364</c:v>
                </c:pt>
                <c:pt idx="351">
                  <c:v>1.0394149652314968</c:v>
                </c:pt>
                <c:pt idx="352">
                  <c:v>1.1250141938851221</c:v>
                </c:pt>
                <c:pt idx="353">
                  <c:v>1.0681316465503787</c:v>
                </c:pt>
                <c:pt idx="354">
                  <c:v>0.80480765605968529</c:v>
                </c:pt>
                <c:pt idx="355">
                  <c:v>1.2972521567102637</c:v>
                </c:pt>
                <c:pt idx="356">
                  <c:v>1.1559452734077242</c:v>
                </c:pt>
                <c:pt idx="357">
                  <c:v>1.2023143349147123</c:v>
                </c:pt>
                <c:pt idx="358">
                  <c:v>1.279970157987788</c:v>
                </c:pt>
                <c:pt idx="359">
                  <c:v>1.1123361728680581</c:v>
                </c:pt>
                <c:pt idx="360">
                  <c:v>1.22746382431026</c:v>
                </c:pt>
                <c:pt idx="361">
                  <c:v>1.0207818894943077</c:v>
                </c:pt>
                <c:pt idx="362">
                  <c:v>1.2650049996068529</c:v>
                </c:pt>
                <c:pt idx="363">
                  <c:v>1.2409310020451503</c:v>
                </c:pt>
                <c:pt idx="364">
                  <c:v>1.1952031513858601</c:v>
                </c:pt>
                <c:pt idx="365">
                  <c:v>1.3627255907585751</c:v>
                </c:pt>
                <c:pt idx="366">
                  <c:v>0.84970026444208702</c:v>
                </c:pt>
                <c:pt idx="367">
                  <c:v>1.4332741381270591</c:v>
                </c:pt>
                <c:pt idx="368">
                  <c:v>1.2580763407473001</c:v>
                </c:pt>
                <c:pt idx="369">
                  <c:v>0.96562394879926627</c:v>
                </c:pt>
                <c:pt idx="370">
                  <c:v>1.4943968968295267</c:v>
                </c:pt>
                <c:pt idx="371">
                  <c:v>0.99944303561646719</c:v>
                </c:pt>
                <c:pt idx="372">
                  <c:v>1.2824394778167059</c:v>
                </c:pt>
                <c:pt idx="373">
                  <c:v>1.2662458103761964</c:v>
                </c:pt>
                <c:pt idx="374">
                  <c:v>1.161386245856836</c:v>
                </c:pt>
                <c:pt idx="375">
                  <c:v>0.79533956712937903</c:v>
                </c:pt>
                <c:pt idx="376">
                  <c:v>1.2141739522035531</c:v>
                </c:pt>
                <c:pt idx="377">
                  <c:v>1.2813600397096276</c:v>
                </c:pt>
                <c:pt idx="378">
                  <c:v>1.3523149816336224</c:v>
                </c:pt>
                <c:pt idx="379">
                  <c:v>1.0770058080128464</c:v>
                </c:pt>
                <c:pt idx="380">
                  <c:v>1.3436554251461001</c:v>
                </c:pt>
                <c:pt idx="381">
                  <c:v>1.2626082694182961</c:v>
                </c:pt>
                <c:pt idx="382">
                  <c:v>1.2522785906327945</c:v>
                </c:pt>
                <c:pt idx="383">
                  <c:v>1.2478356223788332</c:v>
                </c:pt>
                <c:pt idx="384">
                  <c:v>1.1568732410926725</c:v>
                </c:pt>
                <c:pt idx="385">
                  <c:v>1.467706826857488</c:v>
                </c:pt>
                <c:pt idx="386">
                  <c:v>1.1043457473950182</c:v>
                </c:pt>
                <c:pt idx="387">
                  <c:v>1.2554919040866184</c:v>
                </c:pt>
                <c:pt idx="388">
                  <c:v>1.1374203830726641</c:v>
                </c:pt>
                <c:pt idx="389">
                  <c:v>1.0589119776580045</c:v>
                </c:pt>
                <c:pt idx="390">
                  <c:v>1.5066426858800528</c:v>
                </c:pt>
                <c:pt idx="391">
                  <c:v>1.3734480961778843</c:v>
                </c:pt>
                <c:pt idx="392">
                  <c:v>1.3636875754850857</c:v>
                </c:pt>
                <c:pt idx="393">
                  <c:v>1.1763070555559496</c:v>
                </c:pt>
                <c:pt idx="394">
                  <c:v>1.3499991861467016</c:v>
                </c:pt>
                <c:pt idx="395">
                  <c:v>1.1758770196924435</c:v>
                </c:pt>
                <c:pt idx="396">
                  <c:v>1.2893550353643843</c:v>
                </c:pt>
                <c:pt idx="397">
                  <c:v>1.3397598152006878</c:v>
                </c:pt>
                <c:pt idx="398">
                  <c:v>1.4021799538100472</c:v>
                </c:pt>
                <c:pt idx="399">
                  <c:v>0.97523804395777869</c:v>
                </c:pt>
                <c:pt idx="400">
                  <c:v>0.9851444855133864</c:v>
                </c:pt>
                <c:pt idx="401">
                  <c:v>1.0591665005242588</c:v>
                </c:pt>
                <c:pt idx="402">
                  <c:v>1.085581801401645</c:v>
                </c:pt>
                <c:pt idx="403">
                  <c:v>1.1490085714068243</c:v>
                </c:pt>
                <c:pt idx="404">
                  <c:v>1.2229968896825498</c:v>
                </c:pt>
                <c:pt idx="405">
                  <c:v>1.2701128710096952</c:v>
                </c:pt>
                <c:pt idx="406">
                  <c:v>1.1726949878936437</c:v>
                </c:pt>
                <c:pt idx="407">
                  <c:v>1.0778635770468434</c:v>
                </c:pt>
                <c:pt idx="408">
                  <c:v>1.1595250122478167</c:v>
                </c:pt>
                <c:pt idx="409">
                  <c:v>1.0534475999665374</c:v>
                </c:pt>
                <c:pt idx="410">
                  <c:v>1.0037955971112766</c:v>
                </c:pt>
                <c:pt idx="411">
                  <c:v>1.1675437317461201</c:v>
                </c:pt>
                <c:pt idx="412">
                  <c:v>0.91366447701708786</c:v>
                </c:pt>
                <c:pt idx="413">
                  <c:v>1.3196457048796957</c:v>
                </c:pt>
                <c:pt idx="414">
                  <c:v>1.2195587550554923</c:v>
                </c:pt>
                <c:pt idx="415">
                  <c:v>1.0694868908197808</c:v>
                </c:pt>
                <c:pt idx="416">
                  <c:v>0.99243149576003287</c:v>
                </c:pt>
                <c:pt idx="417">
                  <c:v>1.2782872515201822</c:v>
                </c:pt>
                <c:pt idx="418">
                  <c:v>1.190420182604141</c:v>
                </c:pt>
                <c:pt idx="419">
                  <c:v>1.0794653257543891</c:v>
                </c:pt>
                <c:pt idx="420">
                  <c:v>1.1940856907761552</c:v>
                </c:pt>
                <c:pt idx="421">
                  <c:v>1.1091582060936227</c:v>
                </c:pt>
                <c:pt idx="422">
                  <c:v>1.2210771694396985</c:v>
                </c:pt>
                <c:pt idx="423">
                  <c:v>1.4068878710426134</c:v>
                </c:pt>
                <c:pt idx="424">
                  <c:v>1.3228587075742757</c:v>
                </c:pt>
                <c:pt idx="425">
                  <c:v>0.88717450967490485</c:v>
                </c:pt>
                <c:pt idx="426">
                  <c:v>0.90331720571813579</c:v>
                </c:pt>
                <c:pt idx="427">
                  <c:v>1.2554031203068075</c:v>
                </c:pt>
                <c:pt idx="428">
                  <c:v>1.224246285579913</c:v>
                </c:pt>
                <c:pt idx="429">
                  <c:v>1.0170278861609345</c:v>
                </c:pt>
                <c:pt idx="430">
                  <c:v>1.1739866115800475</c:v>
                </c:pt>
                <c:pt idx="431">
                  <c:v>1.071118466446588</c:v>
                </c:pt>
                <c:pt idx="432">
                  <c:v>1.4022831682745056</c:v>
                </c:pt>
                <c:pt idx="433">
                  <c:v>1.113113651451858</c:v>
                </c:pt>
                <c:pt idx="434">
                  <c:v>1.0776753563024311</c:v>
                </c:pt>
                <c:pt idx="435">
                  <c:v>1.1388895537045804</c:v>
                </c:pt>
                <c:pt idx="436">
                  <c:v>1.2835900438482168</c:v>
                </c:pt>
                <c:pt idx="437">
                  <c:v>1.2564476863313987</c:v>
                </c:pt>
                <c:pt idx="438">
                  <c:v>1.1629619166128056</c:v>
                </c:pt>
                <c:pt idx="439">
                  <c:v>0.95885381513602286</c:v>
                </c:pt>
                <c:pt idx="440">
                  <c:v>0.93014856115562716</c:v>
                </c:pt>
                <c:pt idx="441">
                  <c:v>1.2348962206770322</c:v>
                </c:pt>
                <c:pt idx="442">
                  <c:v>0.86368237912715795</c:v>
                </c:pt>
                <c:pt idx="443">
                  <c:v>1.20454819928245</c:v>
                </c:pt>
                <c:pt idx="444">
                  <c:v>1.1494151437923912</c:v>
                </c:pt>
                <c:pt idx="445">
                  <c:v>1.1763301311183767</c:v>
                </c:pt>
                <c:pt idx="446">
                  <c:v>1.1772936202697657</c:v>
                </c:pt>
                <c:pt idx="447">
                  <c:v>1.2043196279118893</c:v>
                </c:pt>
                <c:pt idx="448">
                  <c:v>1.2442370207481035</c:v>
                </c:pt>
                <c:pt idx="449">
                  <c:v>1.3463608978359685</c:v>
                </c:pt>
                <c:pt idx="450">
                  <c:v>1.2244927521381765</c:v>
                </c:pt>
                <c:pt idx="451">
                  <c:v>1.1233353766191947</c:v>
                </c:pt>
                <c:pt idx="452">
                  <c:v>1.1455464460148121</c:v>
                </c:pt>
                <c:pt idx="453">
                  <c:v>1.0876207878631106</c:v>
                </c:pt>
                <c:pt idx="454">
                  <c:v>1.2124211908900462</c:v>
                </c:pt>
                <c:pt idx="455">
                  <c:v>1.0411386982374851</c:v>
                </c:pt>
                <c:pt idx="456">
                  <c:v>1.1263010550365895</c:v>
                </c:pt>
                <c:pt idx="457">
                  <c:v>1.1657722656545995</c:v>
                </c:pt>
                <c:pt idx="458">
                  <c:v>1.2319271784543602</c:v>
                </c:pt>
                <c:pt idx="459">
                  <c:v>0.97293656837784503</c:v>
                </c:pt>
                <c:pt idx="460">
                  <c:v>1.2392961569989962</c:v>
                </c:pt>
                <c:pt idx="461">
                  <c:v>1.1271256124695399</c:v>
                </c:pt>
                <c:pt idx="462">
                  <c:v>1.0838581959366</c:v>
                </c:pt>
                <c:pt idx="463">
                  <c:v>1.0196535901032728</c:v>
                </c:pt>
                <c:pt idx="464">
                  <c:v>1.1624732982193273</c:v>
                </c:pt>
                <c:pt idx="465">
                  <c:v>0.98326836624602054</c:v>
                </c:pt>
                <c:pt idx="466">
                  <c:v>0.84195513359436602</c:v>
                </c:pt>
                <c:pt idx="467">
                  <c:v>1.2467041876770395</c:v>
                </c:pt>
                <c:pt idx="468">
                  <c:v>1.2618676474981791</c:v>
                </c:pt>
                <c:pt idx="469">
                  <c:v>1.1066034463415799</c:v>
                </c:pt>
                <c:pt idx="470">
                  <c:v>1.0987648166299171</c:v>
                </c:pt>
                <c:pt idx="471">
                  <c:v>1.3083497605117664</c:v>
                </c:pt>
                <c:pt idx="472">
                  <c:v>1.1914400436105379</c:v>
                </c:pt>
                <c:pt idx="473">
                  <c:v>1.3491799597419019</c:v>
                </c:pt>
                <c:pt idx="474">
                  <c:v>1.3272925177708885</c:v>
                </c:pt>
                <c:pt idx="475">
                  <c:v>1.193027888090695</c:v>
                </c:pt>
                <c:pt idx="476">
                  <c:v>1.1674921557133457</c:v>
                </c:pt>
                <c:pt idx="477">
                  <c:v>1.2226721061020376</c:v>
                </c:pt>
                <c:pt idx="478">
                  <c:v>1.1685820563600731</c:v>
                </c:pt>
                <c:pt idx="479">
                  <c:v>1.1126425480163959</c:v>
                </c:pt>
                <c:pt idx="480">
                  <c:v>1.1678949520013477</c:v>
                </c:pt>
                <c:pt idx="481">
                  <c:v>1.1450516108076099</c:v>
                </c:pt>
                <c:pt idx="482">
                  <c:v>1.2094570981825805</c:v>
                </c:pt>
                <c:pt idx="483">
                  <c:v>0.95975701800746238</c:v>
                </c:pt>
                <c:pt idx="484">
                  <c:v>1.2071447473745283</c:v>
                </c:pt>
                <c:pt idx="485">
                  <c:v>1.1275150677930041</c:v>
                </c:pt>
                <c:pt idx="486">
                  <c:v>1.1801183686689301</c:v>
                </c:pt>
                <c:pt idx="487">
                  <c:v>1.2480694461767283</c:v>
                </c:pt>
                <c:pt idx="488">
                  <c:v>1.0602057636781106</c:v>
                </c:pt>
                <c:pt idx="489">
                  <c:v>1.1107862366439254</c:v>
                </c:pt>
                <c:pt idx="490">
                  <c:v>1.3234442720153923</c:v>
                </c:pt>
                <c:pt idx="491">
                  <c:v>1.0755755689110325</c:v>
                </c:pt>
                <c:pt idx="492">
                  <c:v>1.2454613115274007</c:v>
                </c:pt>
                <c:pt idx="493">
                  <c:v>1.1733121914321274</c:v>
                </c:pt>
                <c:pt idx="494">
                  <c:v>1.3128264779028944</c:v>
                </c:pt>
                <c:pt idx="495">
                  <c:v>1.1384719071449036</c:v>
                </c:pt>
                <c:pt idx="496">
                  <c:v>1.0250325643884428</c:v>
                </c:pt>
                <c:pt idx="497">
                  <c:v>1.0941005449018659</c:v>
                </c:pt>
                <c:pt idx="498">
                  <c:v>1.1461563063435061</c:v>
                </c:pt>
                <c:pt idx="499">
                  <c:v>1.0809941167930492</c:v>
                </c:pt>
                <c:pt idx="500">
                  <c:v>1.4862821341405423</c:v>
                </c:pt>
                <c:pt idx="501">
                  <c:v>1.0392827555474766</c:v>
                </c:pt>
                <c:pt idx="502">
                  <c:v>1.0774974546941531</c:v>
                </c:pt>
                <c:pt idx="503">
                  <c:v>1.3695118075075745</c:v>
                </c:pt>
                <c:pt idx="504">
                  <c:v>1.1588630410442093</c:v>
                </c:pt>
                <c:pt idx="505">
                  <c:v>1.3516957152294284</c:v>
                </c:pt>
                <c:pt idx="506">
                  <c:v>1.1248415923034782</c:v>
                </c:pt>
                <c:pt idx="507">
                  <c:v>1.1529660669760313</c:v>
                </c:pt>
                <c:pt idx="508">
                  <c:v>1.0901687212660816</c:v>
                </c:pt>
                <c:pt idx="509">
                  <c:v>1.1407525980161073</c:v>
                </c:pt>
                <c:pt idx="510">
                  <c:v>1.1048377265625837</c:v>
                </c:pt>
                <c:pt idx="511">
                  <c:v>1.0913307002095127</c:v>
                </c:pt>
                <c:pt idx="512">
                  <c:v>1.1014472626534553</c:v>
                </c:pt>
                <c:pt idx="513">
                  <c:v>0.88668110652005827</c:v>
                </c:pt>
                <c:pt idx="514">
                  <c:v>0.95415608329085044</c:v>
                </c:pt>
                <c:pt idx="515">
                  <c:v>1.1887264644333833</c:v>
                </c:pt>
                <c:pt idx="516">
                  <c:v>1.0564233389027535</c:v>
                </c:pt>
                <c:pt idx="517">
                  <c:v>1.2098015094087868</c:v>
                </c:pt>
                <c:pt idx="518">
                  <c:v>1.1934436529401273</c:v>
                </c:pt>
                <c:pt idx="519">
                  <c:v>1.0497321310202323</c:v>
                </c:pt>
                <c:pt idx="520">
                  <c:v>1.0806459211976736</c:v>
                </c:pt>
                <c:pt idx="521">
                  <c:v>1.4997346507365608</c:v>
                </c:pt>
                <c:pt idx="522">
                  <c:v>1.2493868662530252</c:v>
                </c:pt>
                <c:pt idx="523">
                  <c:v>0.92603808853094816</c:v>
                </c:pt>
                <c:pt idx="524">
                  <c:v>1.185010993649769</c:v>
                </c:pt>
                <c:pt idx="525">
                  <c:v>1.2292888010028709</c:v>
                </c:pt>
                <c:pt idx="526">
                  <c:v>1.0829797761969424</c:v>
                </c:pt>
                <c:pt idx="527">
                  <c:v>1.1318106674059527</c:v>
                </c:pt>
                <c:pt idx="528">
                  <c:v>1.158116103220612</c:v>
                </c:pt>
                <c:pt idx="529">
                  <c:v>1.3422747210066965</c:v>
                </c:pt>
                <c:pt idx="530">
                  <c:v>0.9678265078378383</c:v>
                </c:pt>
                <c:pt idx="531">
                  <c:v>1.1884900249301016</c:v>
                </c:pt>
                <c:pt idx="532">
                  <c:v>1.2762397980081468</c:v>
                </c:pt>
                <c:pt idx="533">
                  <c:v>1.3681510897010853</c:v>
                </c:pt>
                <c:pt idx="534">
                  <c:v>1.3083049343674691</c:v>
                </c:pt>
                <c:pt idx="535">
                  <c:v>1.4911503377379414</c:v>
                </c:pt>
                <c:pt idx="536">
                  <c:v>0.96315176531816005</c:v>
                </c:pt>
                <c:pt idx="537">
                  <c:v>1.2715253034594292</c:v>
                </c:pt>
                <c:pt idx="538">
                  <c:v>1.2863789911059857</c:v>
                </c:pt>
                <c:pt idx="539">
                  <c:v>1.3313836375848549</c:v>
                </c:pt>
                <c:pt idx="540">
                  <c:v>0.91472434439392303</c:v>
                </c:pt>
                <c:pt idx="541">
                  <c:v>1.0907737866028877</c:v>
                </c:pt>
                <c:pt idx="542">
                  <c:v>1.3349943762435978</c:v>
                </c:pt>
                <c:pt idx="543">
                  <c:v>1.2961401995701127</c:v>
                </c:pt>
                <c:pt idx="544">
                  <c:v>1.091832602779863</c:v>
                </c:pt>
                <c:pt idx="545">
                  <c:v>1.1485594336435014</c:v>
                </c:pt>
                <c:pt idx="546">
                  <c:v>1.0626871039534307</c:v>
                </c:pt>
                <c:pt idx="547">
                  <c:v>1.2132924516728871</c:v>
                </c:pt>
                <c:pt idx="548">
                  <c:v>1.1451285420506312</c:v>
                </c:pt>
                <c:pt idx="549">
                  <c:v>1.3211127611805291</c:v>
                </c:pt>
                <c:pt idx="550">
                  <c:v>1.0587304523538279</c:v>
                </c:pt>
                <c:pt idx="551">
                  <c:v>1.3196330731077421</c:v>
                </c:pt>
                <c:pt idx="552">
                  <c:v>1.085036562166168</c:v>
                </c:pt>
                <c:pt idx="553">
                  <c:v>0.95249024660103565</c:v>
                </c:pt>
                <c:pt idx="554">
                  <c:v>1.0489622963170886</c:v>
                </c:pt>
                <c:pt idx="555">
                  <c:v>1.0484181917781901</c:v>
                </c:pt>
                <c:pt idx="556">
                  <c:v>1.0548227589682146</c:v>
                </c:pt>
                <c:pt idx="557">
                  <c:v>1.1662998803429492</c:v>
                </c:pt>
                <c:pt idx="558">
                  <c:v>1.1201982802777715</c:v>
                </c:pt>
                <c:pt idx="559">
                  <c:v>1.129482664915529</c:v>
                </c:pt>
                <c:pt idx="560">
                  <c:v>1.1122677158257142</c:v>
                </c:pt>
                <c:pt idx="561">
                  <c:v>1.2524422242611664</c:v>
                </c:pt>
                <c:pt idx="562">
                  <c:v>1.2788038601739067</c:v>
                </c:pt>
                <c:pt idx="563">
                  <c:v>1.1845039788919081</c:v>
                </c:pt>
                <c:pt idx="564">
                  <c:v>1.2413201350812764</c:v>
                </c:pt>
                <c:pt idx="565">
                  <c:v>1.0706055960024181</c:v>
                </c:pt>
                <c:pt idx="566">
                  <c:v>1.3464161856629142</c:v>
                </c:pt>
                <c:pt idx="567">
                  <c:v>1.3232597378609214</c:v>
                </c:pt>
                <c:pt idx="568">
                  <c:v>1.0890170209190191</c:v>
                </c:pt>
                <c:pt idx="569">
                  <c:v>1.1738934040853752</c:v>
                </c:pt>
                <c:pt idx="570">
                  <c:v>0.91350706603470511</c:v>
                </c:pt>
                <c:pt idx="571">
                  <c:v>1.3851253834721964</c:v>
                </c:pt>
                <c:pt idx="572">
                  <c:v>1.321290678237151</c:v>
                </c:pt>
                <c:pt idx="573">
                  <c:v>1.2233567907593947</c:v>
                </c:pt>
                <c:pt idx="574">
                  <c:v>1.4691975949861433</c:v>
                </c:pt>
                <c:pt idx="575">
                  <c:v>1.3316315069818698</c:v>
                </c:pt>
                <c:pt idx="576">
                  <c:v>1.0540577153458233</c:v>
                </c:pt>
                <c:pt idx="577">
                  <c:v>1.2766029120020439</c:v>
                </c:pt>
                <c:pt idx="578">
                  <c:v>1.1503769840997569</c:v>
                </c:pt>
                <c:pt idx="579">
                  <c:v>1.4425810861303678</c:v>
                </c:pt>
                <c:pt idx="580">
                  <c:v>1.324350424602889</c:v>
                </c:pt>
                <c:pt idx="581">
                  <c:v>1.2643060237828292</c:v>
                </c:pt>
                <c:pt idx="582">
                  <c:v>1.0437317613354558</c:v>
                </c:pt>
                <c:pt idx="583">
                  <c:v>0.99046864585917715</c:v>
                </c:pt>
                <c:pt idx="584">
                  <c:v>1.0769871080142079</c:v>
                </c:pt>
                <c:pt idx="585">
                  <c:v>1.1537059603219775</c:v>
                </c:pt>
                <c:pt idx="586">
                  <c:v>1.3242445346435485</c:v>
                </c:pt>
                <c:pt idx="587">
                  <c:v>1.2284616013690672</c:v>
                </c:pt>
                <c:pt idx="588">
                  <c:v>1.3397405788275614</c:v>
                </c:pt>
                <c:pt idx="589">
                  <c:v>1.1980607587429026</c:v>
                </c:pt>
                <c:pt idx="590">
                  <c:v>1.0953664297378929</c:v>
                </c:pt>
                <c:pt idx="591">
                  <c:v>1.2223997017478674</c:v>
                </c:pt>
                <c:pt idx="592">
                  <c:v>1.0640890138942991</c:v>
                </c:pt>
                <c:pt idx="593">
                  <c:v>1.2880502996158003</c:v>
                </c:pt>
                <c:pt idx="594">
                  <c:v>1.1373024199901796</c:v>
                </c:pt>
                <c:pt idx="595">
                  <c:v>1.0752709346589151</c:v>
                </c:pt>
                <c:pt idx="596">
                  <c:v>1.0932266738159553</c:v>
                </c:pt>
                <c:pt idx="597">
                  <c:v>1.03268697811101</c:v>
                </c:pt>
                <c:pt idx="598">
                  <c:v>1.3880340637772279</c:v>
                </c:pt>
                <c:pt idx="599">
                  <c:v>1.169618084860333</c:v>
                </c:pt>
                <c:pt idx="600">
                  <c:v>1.2597743011041318</c:v>
                </c:pt>
                <c:pt idx="601">
                  <c:v>1.4826939006797148</c:v>
                </c:pt>
                <c:pt idx="602">
                  <c:v>1.0295568863108047</c:v>
                </c:pt>
                <c:pt idx="603">
                  <c:v>1.4291923157716819</c:v>
                </c:pt>
                <c:pt idx="604">
                  <c:v>1.0815170204369471</c:v>
                </c:pt>
                <c:pt idx="605">
                  <c:v>1.0658096385684219</c:v>
                </c:pt>
                <c:pt idx="606">
                  <c:v>1.1834531561450221</c:v>
                </c:pt>
                <c:pt idx="607">
                  <c:v>1.0194682793854863</c:v>
                </c:pt>
                <c:pt idx="608">
                  <c:v>1.1959698480281162</c:v>
                </c:pt>
                <c:pt idx="609">
                  <c:v>1.1661958579166465</c:v>
                </c:pt>
                <c:pt idx="610">
                  <c:v>1.1293216927296175</c:v>
                </c:pt>
                <c:pt idx="611">
                  <c:v>1.3187418138740092</c:v>
                </c:pt>
                <c:pt idx="612">
                  <c:v>1.0470530100790241</c:v>
                </c:pt>
                <c:pt idx="613">
                  <c:v>1.0856897073516811</c:v>
                </c:pt>
                <c:pt idx="614">
                  <c:v>1.4723710534686043</c:v>
                </c:pt>
                <c:pt idx="615">
                  <c:v>1.150046604322452</c:v>
                </c:pt>
                <c:pt idx="616">
                  <c:v>1.2621947162287057</c:v>
                </c:pt>
                <c:pt idx="617">
                  <c:v>1.248044649160168</c:v>
                </c:pt>
                <c:pt idx="618">
                  <c:v>1.1195697026983191</c:v>
                </c:pt>
                <c:pt idx="619">
                  <c:v>1.2724797353984318</c:v>
                </c:pt>
                <c:pt idx="620">
                  <c:v>1.3225824245620814</c:v>
                </c:pt>
                <c:pt idx="621">
                  <c:v>1.154129879371101</c:v>
                </c:pt>
                <c:pt idx="622">
                  <c:v>1.1631955579111062</c:v>
                </c:pt>
                <c:pt idx="623">
                  <c:v>1.1501784013126894</c:v>
                </c:pt>
                <c:pt idx="624">
                  <c:v>1.3098052192613157</c:v>
                </c:pt>
                <c:pt idx="625">
                  <c:v>1.2847403902426537</c:v>
                </c:pt>
                <c:pt idx="626">
                  <c:v>1.2372140861916023</c:v>
                </c:pt>
                <c:pt idx="627">
                  <c:v>1.4136769215974891</c:v>
                </c:pt>
                <c:pt idx="628">
                  <c:v>1.1888180713185459</c:v>
                </c:pt>
                <c:pt idx="629">
                  <c:v>1.2302691949380973</c:v>
                </c:pt>
                <c:pt idx="630">
                  <c:v>0.96261166248979779</c:v>
                </c:pt>
                <c:pt idx="631">
                  <c:v>1.2111684077909717</c:v>
                </c:pt>
                <c:pt idx="632">
                  <c:v>1.0928138687581275</c:v>
                </c:pt>
                <c:pt idx="633">
                  <c:v>1.2584352517303499</c:v>
                </c:pt>
                <c:pt idx="634">
                  <c:v>1.1230543313148171</c:v>
                </c:pt>
                <c:pt idx="635">
                  <c:v>1.3155937806974003</c:v>
                </c:pt>
                <c:pt idx="636">
                  <c:v>1.1089195188735821</c:v>
                </c:pt>
                <c:pt idx="637">
                  <c:v>1.2957292562433449</c:v>
                </c:pt>
                <c:pt idx="638">
                  <c:v>1.1786651607827328</c:v>
                </c:pt>
                <c:pt idx="639">
                  <c:v>1.1256134933288153</c:v>
                </c:pt>
                <c:pt idx="640">
                  <c:v>1.2870394995916059</c:v>
                </c:pt>
                <c:pt idx="641">
                  <c:v>1.2156105037961433</c:v>
                </c:pt>
                <c:pt idx="642">
                  <c:v>1.0246319179252101</c:v>
                </c:pt>
                <c:pt idx="643">
                  <c:v>1.1134508563452958</c:v>
                </c:pt>
                <c:pt idx="644">
                  <c:v>1.3237966037691251</c:v>
                </c:pt>
                <c:pt idx="645">
                  <c:v>1.2355586343708937</c:v>
                </c:pt>
                <c:pt idx="646">
                  <c:v>1.1133483479377133</c:v>
                </c:pt>
                <c:pt idx="647">
                  <c:v>1.1092261990231624</c:v>
                </c:pt>
                <c:pt idx="648">
                  <c:v>1.1592845797384002</c:v>
                </c:pt>
                <c:pt idx="649">
                  <c:v>1.0906240919175076</c:v>
                </c:pt>
                <c:pt idx="650">
                  <c:v>1.0276690103561106</c:v>
                </c:pt>
                <c:pt idx="651">
                  <c:v>1.1805108192269522</c:v>
                </c:pt>
                <c:pt idx="652">
                  <c:v>1.2028107016898315</c:v>
                </c:pt>
                <c:pt idx="653">
                  <c:v>1.2019630978360951</c:v>
                </c:pt>
                <c:pt idx="654">
                  <c:v>0.95422048488800215</c:v>
                </c:pt>
                <c:pt idx="655">
                  <c:v>1.0692432710233739</c:v>
                </c:pt>
                <c:pt idx="656">
                  <c:v>1.3670361233157196</c:v>
                </c:pt>
                <c:pt idx="657">
                  <c:v>0.89948887884340689</c:v>
                </c:pt>
                <c:pt idx="658">
                  <c:v>0.76906246073985418</c:v>
                </c:pt>
                <c:pt idx="659">
                  <c:v>1.2593410612585414</c:v>
                </c:pt>
                <c:pt idx="660">
                  <c:v>1.368744889266504</c:v>
                </c:pt>
                <c:pt idx="661">
                  <c:v>1.062179614292456</c:v>
                </c:pt>
                <c:pt idx="662">
                  <c:v>1.3170808283196094</c:v>
                </c:pt>
                <c:pt idx="663">
                  <c:v>1.3034060226772672</c:v>
                </c:pt>
                <c:pt idx="664">
                  <c:v>1.2208094179004638</c:v>
                </c:pt>
                <c:pt idx="665">
                  <c:v>1.1626179094815334</c:v>
                </c:pt>
                <c:pt idx="666">
                  <c:v>1.2019830382482408</c:v>
                </c:pt>
                <c:pt idx="667">
                  <c:v>1.0693007940956487</c:v>
                </c:pt>
                <c:pt idx="668">
                  <c:v>1.0617236810947104</c:v>
                </c:pt>
                <c:pt idx="669">
                  <c:v>1.227554033195396</c:v>
                </c:pt>
                <c:pt idx="670">
                  <c:v>0.96329736037455815</c:v>
                </c:pt>
                <c:pt idx="671">
                  <c:v>1.3917609453257789</c:v>
                </c:pt>
                <c:pt idx="672">
                  <c:v>1.296744830871378</c:v>
                </c:pt>
                <c:pt idx="673">
                  <c:v>1.3989754374975178</c:v>
                </c:pt>
                <c:pt idx="674">
                  <c:v>1.1104340163685771</c:v>
                </c:pt>
                <c:pt idx="675">
                  <c:v>1.2183895573218766</c:v>
                </c:pt>
                <c:pt idx="676">
                  <c:v>1.2684556685517765</c:v>
                </c:pt>
                <c:pt idx="677">
                  <c:v>1.316979514620094</c:v>
                </c:pt>
                <c:pt idx="678">
                  <c:v>1.2327648632430457</c:v>
                </c:pt>
                <c:pt idx="679">
                  <c:v>1.2178179667635407</c:v>
                </c:pt>
                <c:pt idx="680">
                  <c:v>1.0295301989740464</c:v>
                </c:pt>
                <c:pt idx="681">
                  <c:v>1.1697289403165319</c:v>
                </c:pt>
                <c:pt idx="682">
                  <c:v>1.131513234757815</c:v>
                </c:pt>
                <c:pt idx="683">
                  <c:v>1.2501390269804866</c:v>
                </c:pt>
                <c:pt idx="684">
                  <c:v>1.1730230384960441</c:v>
                </c:pt>
                <c:pt idx="685">
                  <c:v>1.1365945150005246</c:v>
                </c:pt>
                <c:pt idx="686">
                  <c:v>0.94685336040031054</c:v>
                </c:pt>
                <c:pt idx="687">
                  <c:v>1.1958397694921137</c:v>
                </c:pt>
                <c:pt idx="688">
                  <c:v>1.0897385886017485</c:v>
                </c:pt>
                <c:pt idx="689">
                  <c:v>1.0686524891486284</c:v>
                </c:pt>
                <c:pt idx="690">
                  <c:v>0.99094957853829146</c:v>
                </c:pt>
                <c:pt idx="691">
                  <c:v>1.4316862841799396</c:v>
                </c:pt>
                <c:pt idx="692">
                  <c:v>1.180426502955698</c:v>
                </c:pt>
                <c:pt idx="693">
                  <c:v>1.1456358784391081</c:v>
                </c:pt>
                <c:pt idx="694">
                  <c:v>0.80665032657265079</c:v>
                </c:pt>
                <c:pt idx="695">
                  <c:v>1.2233544415671087</c:v>
                </c:pt>
                <c:pt idx="696">
                  <c:v>1.1095612174048683</c:v>
                </c:pt>
                <c:pt idx="697">
                  <c:v>0.87551096665637229</c:v>
                </c:pt>
                <c:pt idx="698">
                  <c:v>1.0710073742578032</c:v>
                </c:pt>
                <c:pt idx="699">
                  <c:v>1.0934274062430078</c:v>
                </c:pt>
                <c:pt idx="700">
                  <c:v>1.2489951681807274</c:v>
                </c:pt>
                <c:pt idx="701">
                  <c:v>1.0856671750357898</c:v>
                </c:pt>
                <c:pt idx="702">
                  <c:v>1.049039597025117</c:v>
                </c:pt>
                <c:pt idx="703">
                  <c:v>1.1883233761569887</c:v>
                </c:pt>
                <c:pt idx="704">
                  <c:v>1.1377438042770331</c:v>
                </c:pt>
                <c:pt idx="705">
                  <c:v>1.3629520767780336</c:v>
                </c:pt>
                <c:pt idx="706">
                  <c:v>1.2768750179101471</c:v>
                </c:pt>
                <c:pt idx="707">
                  <c:v>1.3722793801096116</c:v>
                </c:pt>
                <c:pt idx="708">
                  <c:v>1.3129267425816153</c:v>
                </c:pt>
                <c:pt idx="709">
                  <c:v>1.0867291715787259</c:v>
                </c:pt>
                <c:pt idx="710">
                  <c:v>1.3369255276276826</c:v>
                </c:pt>
                <c:pt idx="711">
                  <c:v>1.2393341985911244</c:v>
                </c:pt>
                <c:pt idx="712">
                  <c:v>1.1866459018306996</c:v>
                </c:pt>
                <c:pt idx="713">
                  <c:v>1.4178054906566206</c:v>
                </c:pt>
                <c:pt idx="714">
                  <c:v>1.1857615887943245</c:v>
                </c:pt>
                <c:pt idx="715">
                  <c:v>1.0062239814724547</c:v>
                </c:pt>
                <c:pt idx="716">
                  <c:v>1.2264211724082421</c:v>
                </c:pt>
                <c:pt idx="717">
                  <c:v>1.2634509186578762</c:v>
                </c:pt>
                <c:pt idx="718">
                  <c:v>0.94105930665090121</c:v>
                </c:pt>
                <c:pt idx="719">
                  <c:v>1.241274168571358</c:v>
                </c:pt>
                <c:pt idx="720">
                  <c:v>1.0815937844411232</c:v>
                </c:pt>
                <c:pt idx="721">
                  <c:v>1.226868673116525</c:v>
                </c:pt>
                <c:pt idx="722">
                  <c:v>1.1189293805410023</c:v>
                </c:pt>
                <c:pt idx="723">
                  <c:v>1.256874281361019</c:v>
                </c:pt>
                <c:pt idx="724">
                  <c:v>1.133334778489214</c:v>
                </c:pt>
                <c:pt idx="725">
                  <c:v>1.3232070484778009</c:v>
                </c:pt>
                <c:pt idx="726">
                  <c:v>0.97244664220507548</c:v>
                </c:pt>
                <c:pt idx="727">
                  <c:v>0.93470724525932258</c:v>
                </c:pt>
                <c:pt idx="728">
                  <c:v>1.2611048568477676</c:v>
                </c:pt>
                <c:pt idx="729">
                  <c:v>1.2311537361212292</c:v>
                </c:pt>
                <c:pt idx="730">
                  <c:v>1.2398569096106977</c:v>
                </c:pt>
                <c:pt idx="731">
                  <c:v>1.0802610983986496</c:v>
                </c:pt>
                <c:pt idx="732">
                  <c:v>1.0854452939199284</c:v>
                </c:pt>
                <c:pt idx="733">
                  <c:v>1.3420644245084925</c:v>
                </c:pt>
                <c:pt idx="734">
                  <c:v>1.2863025380202473</c:v>
                </c:pt>
                <c:pt idx="735">
                  <c:v>1.1561888085290228</c:v>
                </c:pt>
                <c:pt idx="736">
                  <c:v>1.0299503274152402</c:v>
                </c:pt>
                <c:pt idx="737">
                  <c:v>1.4010998301304916</c:v>
                </c:pt>
                <c:pt idx="738">
                  <c:v>1.2192433314854103</c:v>
                </c:pt>
                <c:pt idx="739">
                  <c:v>1.2627012692934676</c:v>
                </c:pt>
                <c:pt idx="740">
                  <c:v>0.86526556035833613</c:v>
                </c:pt>
                <c:pt idx="741">
                  <c:v>1.1405690426592561</c:v>
                </c:pt>
                <c:pt idx="742">
                  <c:v>1.267555832870723</c:v>
                </c:pt>
                <c:pt idx="743">
                  <c:v>1.1516856762393222</c:v>
                </c:pt>
                <c:pt idx="744">
                  <c:v>1.4083012998357034</c:v>
                </c:pt>
                <c:pt idx="745">
                  <c:v>1.055060728280069</c:v>
                </c:pt>
                <c:pt idx="746">
                  <c:v>1.0906016402496388</c:v>
                </c:pt>
                <c:pt idx="747">
                  <c:v>1.4044094213693115</c:v>
                </c:pt>
                <c:pt idx="748">
                  <c:v>1.3330184205053719</c:v>
                </c:pt>
                <c:pt idx="749">
                  <c:v>1.2673992556016449</c:v>
                </c:pt>
                <c:pt idx="750">
                  <c:v>1.1162422340989304</c:v>
                </c:pt>
                <c:pt idx="751">
                  <c:v>1.4614980705783172</c:v>
                </c:pt>
                <c:pt idx="752">
                  <c:v>1.0042710733837446</c:v>
                </c:pt>
                <c:pt idx="753">
                  <c:v>1.0502779305677363</c:v>
                </c:pt>
                <c:pt idx="754">
                  <c:v>1.1979862948915434</c:v>
                </c:pt>
                <c:pt idx="755">
                  <c:v>1.3379213714278837</c:v>
                </c:pt>
                <c:pt idx="756">
                  <c:v>1.0634506743976351</c:v>
                </c:pt>
                <c:pt idx="757">
                  <c:v>1.3937526064258408</c:v>
                </c:pt>
                <c:pt idx="758">
                  <c:v>1.0985681091927102</c:v>
                </c:pt>
                <c:pt idx="759">
                  <c:v>1.2014656333664677</c:v>
                </c:pt>
                <c:pt idx="760">
                  <c:v>1.1207247240189391</c:v>
                </c:pt>
                <c:pt idx="761">
                  <c:v>1.2139465869417814</c:v>
                </c:pt>
                <c:pt idx="762">
                  <c:v>0.97862347639519021</c:v>
                </c:pt>
                <c:pt idx="763">
                  <c:v>1.1862976773427782</c:v>
                </c:pt>
                <c:pt idx="764">
                  <c:v>1.2724605446696911</c:v>
                </c:pt>
                <c:pt idx="765">
                  <c:v>1.3297735524235215</c:v>
                </c:pt>
                <c:pt idx="766">
                  <c:v>1.1924393594671028</c:v>
                </c:pt>
                <c:pt idx="767">
                  <c:v>1.0886942021786847</c:v>
                </c:pt>
                <c:pt idx="768">
                  <c:v>1.0673617101873716</c:v>
                </c:pt>
                <c:pt idx="769">
                  <c:v>1.0751800982175839</c:v>
                </c:pt>
                <c:pt idx="770">
                  <c:v>1.3457114210050389</c:v>
                </c:pt>
                <c:pt idx="771">
                  <c:v>1.1484248391557648</c:v>
                </c:pt>
                <c:pt idx="772">
                  <c:v>1.1592422304837886</c:v>
                </c:pt>
                <c:pt idx="773">
                  <c:v>1.0437734222342061</c:v>
                </c:pt>
                <c:pt idx="774">
                  <c:v>1.2294258822916637</c:v>
                </c:pt>
                <c:pt idx="775">
                  <c:v>0.9944445668741797</c:v>
                </c:pt>
                <c:pt idx="776">
                  <c:v>1.1525624318910308</c:v>
                </c:pt>
                <c:pt idx="777">
                  <c:v>1.0839084455985097</c:v>
                </c:pt>
                <c:pt idx="778">
                  <c:v>1.3447867020500408</c:v>
                </c:pt>
                <c:pt idx="779">
                  <c:v>1.3964817679822799</c:v>
                </c:pt>
                <c:pt idx="780">
                  <c:v>1.1827715213100847</c:v>
                </c:pt>
                <c:pt idx="781">
                  <c:v>1.305405147487209</c:v>
                </c:pt>
                <c:pt idx="782">
                  <c:v>1.2774020372161556</c:v>
                </c:pt>
                <c:pt idx="783">
                  <c:v>1.1341214885724731</c:v>
                </c:pt>
                <c:pt idx="784">
                  <c:v>1.0659879934217882</c:v>
                </c:pt>
                <c:pt idx="785">
                  <c:v>1.2382326505758423</c:v>
                </c:pt>
                <c:pt idx="786">
                  <c:v>1.4900080078818352</c:v>
                </c:pt>
                <c:pt idx="787">
                  <c:v>1.232430126340019</c:v>
                </c:pt>
                <c:pt idx="788">
                  <c:v>1.0829987935875094</c:v>
                </c:pt>
                <c:pt idx="789">
                  <c:v>1.3121241402226023</c:v>
                </c:pt>
                <c:pt idx="790">
                  <c:v>1.1354676293367112</c:v>
                </c:pt>
                <c:pt idx="791">
                  <c:v>1.1707251766457496</c:v>
                </c:pt>
                <c:pt idx="792">
                  <c:v>1.2104377434199345</c:v>
                </c:pt>
                <c:pt idx="793">
                  <c:v>1.5238785788689009</c:v>
                </c:pt>
                <c:pt idx="794">
                  <c:v>1.1077356533840466</c:v>
                </c:pt>
                <c:pt idx="795">
                  <c:v>1.2348394715351492</c:v>
                </c:pt>
                <c:pt idx="796">
                  <c:v>1.3964916583910845</c:v>
                </c:pt>
                <c:pt idx="797">
                  <c:v>1.1720225783889748</c:v>
                </c:pt>
                <c:pt idx="798">
                  <c:v>1.27964439570538</c:v>
                </c:pt>
                <c:pt idx="799">
                  <c:v>1.1293206450964</c:v>
                </c:pt>
                <c:pt idx="800">
                  <c:v>1.2697879794868541</c:v>
                </c:pt>
                <c:pt idx="801">
                  <c:v>1.153143331807098</c:v>
                </c:pt>
                <c:pt idx="802">
                  <c:v>1.2969346011667093</c:v>
                </c:pt>
                <c:pt idx="803">
                  <c:v>1.4120017395025064</c:v>
                </c:pt>
                <c:pt idx="804">
                  <c:v>1.0292440389539188</c:v>
                </c:pt>
                <c:pt idx="805">
                  <c:v>0.78927303804490889</c:v>
                </c:pt>
                <c:pt idx="806">
                  <c:v>1.2966494930901615</c:v>
                </c:pt>
                <c:pt idx="807">
                  <c:v>1.239141807687242</c:v>
                </c:pt>
                <c:pt idx="808">
                  <c:v>1.1636502738729229</c:v>
                </c:pt>
                <c:pt idx="809">
                  <c:v>1.1022845555372358</c:v>
                </c:pt>
                <c:pt idx="810">
                  <c:v>1.0444167901886006</c:v>
                </c:pt>
                <c:pt idx="811">
                  <c:v>1.3087106678657723</c:v>
                </c:pt>
                <c:pt idx="812">
                  <c:v>1.4105763457088123</c:v>
                </c:pt>
                <c:pt idx="813">
                  <c:v>1.0550596475850156</c:v>
                </c:pt>
                <c:pt idx="814">
                  <c:v>1.1141957698229787</c:v>
                </c:pt>
                <c:pt idx="815">
                  <c:v>1.289316419423987</c:v>
                </c:pt>
                <c:pt idx="816">
                  <c:v>1.2239498267275837</c:v>
                </c:pt>
                <c:pt idx="817">
                  <c:v>0.8970709265729635</c:v>
                </c:pt>
                <c:pt idx="818">
                  <c:v>1.2727882510202364</c:v>
                </c:pt>
                <c:pt idx="819">
                  <c:v>1.0220703245973581</c:v>
                </c:pt>
                <c:pt idx="820">
                  <c:v>1.1464506658844364</c:v>
                </c:pt>
                <c:pt idx="821">
                  <c:v>1.2760131087134994</c:v>
                </c:pt>
                <c:pt idx="822">
                  <c:v>1.3728848732688259</c:v>
                </c:pt>
                <c:pt idx="823">
                  <c:v>1.0846666309403035</c:v>
                </c:pt>
                <c:pt idx="824">
                  <c:v>1.243108608026154</c:v>
                </c:pt>
                <c:pt idx="825">
                  <c:v>0.89225504342476114</c:v>
                </c:pt>
                <c:pt idx="826">
                  <c:v>1.3485479718155196</c:v>
                </c:pt>
                <c:pt idx="827">
                  <c:v>1.2589587295841058</c:v>
                </c:pt>
                <c:pt idx="828">
                  <c:v>1.2951499491483904</c:v>
                </c:pt>
                <c:pt idx="829">
                  <c:v>1.3600221146646729</c:v>
                </c:pt>
                <c:pt idx="830">
                  <c:v>1.3443328435677457</c:v>
                </c:pt>
                <c:pt idx="831">
                  <c:v>1.0927959719815052</c:v>
                </c:pt>
                <c:pt idx="832">
                  <c:v>1.3062114829401246</c:v>
                </c:pt>
                <c:pt idx="833">
                  <c:v>1.0986893047851836</c:v>
                </c:pt>
                <c:pt idx="834">
                  <c:v>1.1866459855656135</c:v>
                </c:pt>
                <c:pt idx="835">
                  <c:v>1.110431674454246</c:v>
                </c:pt>
                <c:pt idx="836">
                  <c:v>1.2085022565264845</c:v>
                </c:pt>
                <c:pt idx="837">
                  <c:v>0.85401686405120669</c:v>
                </c:pt>
                <c:pt idx="838">
                  <c:v>1.3351409251770963</c:v>
                </c:pt>
                <c:pt idx="839">
                  <c:v>1.0069004683150917</c:v>
                </c:pt>
                <c:pt idx="840">
                  <c:v>1.3161518024122836</c:v>
                </c:pt>
                <c:pt idx="841">
                  <c:v>1.4285914219588289</c:v>
                </c:pt>
                <c:pt idx="842">
                  <c:v>1.3672368468479821</c:v>
                </c:pt>
                <c:pt idx="843">
                  <c:v>1.3357914886550566</c:v>
                </c:pt>
                <c:pt idx="844">
                  <c:v>1.0175211145667415</c:v>
                </c:pt>
                <c:pt idx="845">
                  <c:v>0.65987892376545232</c:v>
                </c:pt>
                <c:pt idx="846">
                  <c:v>0.94121040524470434</c:v>
                </c:pt>
                <c:pt idx="847">
                  <c:v>0.99288812663312209</c:v>
                </c:pt>
                <c:pt idx="848">
                  <c:v>1.4142063697307226</c:v>
                </c:pt>
                <c:pt idx="849">
                  <c:v>1.1566720986807748</c:v>
                </c:pt>
                <c:pt idx="850">
                  <c:v>1.0277227667811328</c:v>
                </c:pt>
                <c:pt idx="851">
                  <c:v>1.0783700298245937</c:v>
                </c:pt>
                <c:pt idx="852">
                  <c:v>1.1675182973769251</c:v>
                </c:pt>
                <c:pt idx="853">
                  <c:v>1.1140837875264049</c:v>
                </c:pt>
                <c:pt idx="854">
                  <c:v>1.2355461323926806</c:v>
                </c:pt>
                <c:pt idx="855">
                  <c:v>1.2725031319041851</c:v>
                </c:pt>
                <c:pt idx="856">
                  <c:v>1.087205257518985</c:v>
                </c:pt>
                <c:pt idx="857">
                  <c:v>1.2944995646092343</c:v>
                </c:pt>
                <c:pt idx="858">
                  <c:v>1.1472175547866292</c:v>
                </c:pt>
                <c:pt idx="859">
                  <c:v>1.0812123212135902</c:v>
                </c:pt>
                <c:pt idx="860">
                  <c:v>1.2253806963514902</c:v>
                </c:pt>
                <c:pt idx="861">
                  <c:v>1.0782555648754755</c:v>
                </c:pt>
                <c:pt idx="862">
                  <c:v>1.1665809820419144</c:v>
                </c:pt>
                <c:pt idx="863">
                  <c:v>1.1002206897346405</c:v>
                </c:pt>
                <c:pt idx="864">
                  <c:v>1.2987401915599095</c:v>
                </c:pt>
                <c:pt idx="865">
                  <c:v>1.1283353223090704</c:v>
                </c:pt>
                <c:pt idx="866">
                  <c:v>1.1889743605063365</c:v>
                </c:pt>
                <c:pt idx="867">
                  <c:v>1.1268422544971093</c:v>
                </c:pt>
                <c:pt idx="868">
                  <c:v>1.3143616219959886</c:v>
                </c:pt>
                <c:pt idx="869">
                  <c:v>1.2406201743264085</c:v>
                </c:pt>
                <c:pt idx="870">
                  <c:v>1.2041598242480438</c:v>
                </c:pt>
                <c:pt idx="871">
                  <c:v>1.3250488119922232</c:v>
                </c:pt>
                <c:pt idx="872">
                  <c:v>1.2187833402867543</c:v>
                </c:pt>
                <c:pt idx="873">
                  <c:v>1.1592611894220506</c:v>
                </c:pt>
                <c:pt idx="874">
                  <c:v>1.1630669224875188</c:v>
                </c:pt>
                <c:pt idx="875">
                  <c:v>1.0272803593799293</c:v>
                </c:pt>
                <c:pt idx="876">
                  <c:v>1.3077405251589371</c:v>
                </c:pt>
                <c:pt idx="877">
                  <c:v>1.3727341196985794</c:v>
                </c:pt>
                <c:pt idx="878">
                  <c:v>1.0058775854127759</c:v>
                </c:pt>
                <c:pt idx="879">
                  <c:v>1.1754684336285748</c:v>
                </c:pt>
                <c:pt idx="880">
                  <c:v>1.3695284164511445</c:v>
                </c:pt>
                <c:pt idx="881">
                  <c:v>1.1729427566202804</c:v>
                </c:pt>
                <c:pt idx="882">
                  <c:v>1.2555437518876933</c:v>
                </c:pt>
                <c:pt idx="883">
                  <c:v>1.2119262719620345</c:v>
                </c:pt>
                <c:pt idx="884">
                  <c:v>1.1332353261284589</c:v>
                </c:pt>
                <c:pt idx="885">
                  <c:v>1.0409104507974536</c:v>
                </c:pt>
                <c:pt idx="886">
                  <c:v>1.328860390570104</c:v>
                </c:pt>
                <c:pt idx="887">
                  <c:v>1.0261458462075623</c:v>
                </c:pt>
                <c:pt idx="888">
                  <c:v>1.0853007749612114</c:v>
                </c:pt>
                <c:pt idx="889">
                  <c:v>1.2740119651391995</c:v>
                </c:pt>
                <c:pt idx="890">
                  <c:v>1.1712259502943181</c:v>
                </c:pt>
                <c:pt idx="891">
                  <c:v>0.98205971273163961</c:v>
                </c:pt>
                <c:pt idx="892">
                  <c:v>1.2797149876780096</c:v>
                </c:pt>
                <c:pt idx="893">
                  <c:v>1.0798529284267442</c:v>
                </c:pt>
                <c:pt idx="894">
                  <c:v>0.97565455616651353</c:v>
                </c:pt>
                <c:pt idx="895">
                  <c:v>1.3270433079236017</c:v>
                </c:pt>
                <c:pt idx="896">
                  <c:v>1.1212314373058361</c:v>
                </c:pt>
                <c:pt idx="897">
                  <c:v>1.3909587696453953</c:v>
                </c:pt>
                <c:pt idx="898">
                  <c:v>0.95582445842643038</c:v>
                </c:pt>
                <c:pt idx="899">
                  <c:v>1.1375846098745974</c:v>
                </c:pt>
                <c:pt idx="900">
                  <c:v>1.1960070652056281</c:v>
                </c:pt>
                <c:pt idx="901">
                  <c:v>1.2393428091865557</c:v>
                </c:pt>
                <c:pt idx="902">
                  <c:v>1.0843040085835087</c:v>
                </c:pt>
                <c:pt idx="903">
                  <c:v>1.033289861272696</c:v>
                </c:pt>
                <c:pt idx="904">
                  <c:v>1.1447534575730787</c:v>
                </c:pt>
                <c:pt idx="905">
                  <c:v>1.3876493363583817</c:v>
                </c:pt>
                <c:pt idx="906">
                  <c:v>0.88363174209269291</c:v>
                </c:pt>
                <c:pt idx="907">
                  <c:v>1.2519206674505103</c:v>
                </c:pt>
                <c:pt idx="908">
                  <c:v>1.2571845546774862</c:v>
                </c:pt>
                <c:pt idx="909">
                  <c:v>1.071084518735298</c:v>
                </c:pt>
                <c:pt idx="910">
                  <c:v>1.2459429698029709</c:v>
                </c:pt>
                <c:pt idx="911">
                  <c:v>1.3428975517250126</c:v>
                </c:pt>
                <c:pt idx="912">
                  <c:v>1.2034744372238033</c:v>
                </c:pt>
                <c:pt idx="913">
                  <c:v>1.0462128608960124</c:v>
                </c:pt>
                <c:pt idx="914">
                  <c:v>1.1439010081268457</c:v>
                </c:pt>
                <c:pt idx="915">
                  <c:v>1.2559583672127859</c:v>
                </c:pt>
                <c:pt idx="916">
                  <c:v>0.88813411225504457</c:v>
                </c:pt>
                <c:pt idx="917">
                  <c:v>1.3567125195629466</c:v>
                </c:pt>
                <c:pt idx="918">
                  <c:v>1.0179141762628778</c:v>
                </c:pt>
                <c:pt idx="919">
                  <c:v>1.2318737996763174</c:v>
                </c:pt>
                <c:pt idx="920">
                  <c:v>0.93289929284007622</c:v>
                </c:pt>
                <c:pt idx="921">
                  <c:v>1.2525615442694018</c:v>
                </c:pt>
                <c:pt idx="922">
                  <c:v>1.0671443031915682</c:v>
                </c:pt>
                <c:pt idx="923">
                  <c:v>1.0875536167749036</c:v>
                </c:pt>
                <c:pt idx="924">
                  <c:v>1.1117931620493391</c:v>
                </c:pt>
                <c:pt idx="925">
                  <c:v>1.3174788852689947</c:v>
                </c:pt>
                <c:pt idx="926">
                  <c:v>1.1446346998439034</c:v>
                </c:pt>
                <c:pt idx="927">
                  <c:v>1.0642597049635738</c:v>
                </c:pt>
                <c:pt idx="928">
                  <c:v>1.0248120470932101</c:v>
                </c:pt>
                <c:pt idx="929">
                  <c:v>1.0327304980987717</c:v>
                </c:pt>
                <c:pt idx="930">
                  <c:v>1.3615036443494177</c:v>
                </c:pt>
                <c:pt idx="931">
                  <c:v>0.97999189659331409</c:v>
                </c:pt>
                <c:pt idx="932">
                  <c:v>1.285344245059153</c:v>
                </c:pt>
                <c:pt idx="933">
                  <c:v>1.2422529743845132</c:v>
                </c:pt>
                <c:pt idx="934">
                  <c:v>1.1235894047991628</c:v>
                </c:pt>
                <c:pt idx="935">
                  <c:v>1.1510363621084554</c:v>
                </c:pt>
                <c:pt idx="936">
                  <c:v>1.4214791136862173</c:v>
                </c:pt>
                <c:pt idx="937">
                  <c:v>1.0493822146043303</c:v>
                </c:pt>
                <c:pt idx="938">
                  <c:v>1.2563118774741895</c:v>
                </c:pt>
                <c:pt idx="939">
                  <c:v>1.3661781736172363</c:v>
                </c:pt>
                <c:pt idx="940">
                  <c:v>1.3007068376187219</c:v>
                </c:pt>
                <c:pt idx="941">
                  <c:v>1.1959214197895682</c:v>
                </c:pt>
                <c:pt idx="942">
                  <c:v>1.3456014165729082</c:v>
                </c:pt>
                <c:pt idx="943">
                  <c:v>1.453505248678304</c:v>
                </c:pt>
                <c:pt idx="944">
                  <c:v>1.0081159285465655</c:v>
                </c:pt>
                <c:pt idx="945">
                  <c:v>1.1967570166651293</c:v>
                </c:pt>
                <c:pt idx="946">
                  <c:v>1.1866810045445839</c:v>
                </c:pt>
                <c:pt idx="947">
                  <c:v>0.96704729680091828</c:v>
                </c:pt>
                <c:pt idx="948">
                  <c:v>0.942947033367592</c:v>
                </c:pt>
                <c:pt idx="949">
                  <c:v>1.2066037003756509</c:v>
                </c:pt>
                <c:pt idx="950">
                  <c:v>1.3038585421075946</c:v>
                </c:pt>
                <c:pt idx="951">
                  <c:v>1.1024518847272955</c:v>
                </c:pt>
                <c:pt idx="952">
                  <c:v>1.0151978017501753</c:v>
                </c:pt>
                <c:pt idx="953">
                  <c:v>1.1629843697141844</c:v>
                </c:pt>
                <c:pt idx="954">
                  <c:v>1.0082219878438052</c:v>
                </c:pt>
                <c:pt idx="955">
                  <c:v>1.2738471251060037</c:v>
                </c:pt>
                <c:pt idx="956">
                  <c:v>1.1428149393365834</c:v>
                </c:pt>
                <c:pt idx="957">
                  <c:v>1.0427215137349692</c:v>
                </c:pt>
                <c:pt idx="958">
                  <c:v>1.234494556195405</c:v>
                </c:pt>
                <c:pt idx="959">
                  <c:v>1.221438322844453</c:v>
                </c:pt>
                <c:pt idx="960">
                  <c:v>1.4537955914148224</c:v>
                </c:pt>
                <c:pt idx="961">
                  <c:v>1.2206602865434908</c:v>
                </c:pt>
                <c:pt idx="962">
                  <c:v>1.2367835553664206</c:v>
                </c:pt>
                <c:pt idx="963">
                  <c:v>1.0631078722150866</c:v>
                </c:pt>
                <c:pt idx="964">
                  <c:v>0.90379837598641455</c:v>
                </c:pt>
                <c:pt idx="965">
                  <c:v>1.290952740553027</c:v>
                </c:pt>
                <c:pt idx="966">
                  <c:v>1.1560875067662542</c:v>
                </c:pt>
                <c:pt idx="967">
                  <c:v>1.1801776098587013</c:v>
                </c:pt>
                <c:pt idx="968">
                  <c:v>1.1221848418537925</c:v>
                </c:pt>
                <c:pt idx="969">
                  <c:v>0.90661396003417805</c:v>
                </c:pt>
                <c:pt idx="970">
                  <c:v>1.1605725949352526</c:v>
                </c:pt>
                <c:pt idx="971">
                  <c:v>1.1706510758460438</c:v>
                </c:pt>
                <c:pt idx="972">
                  <c:v>1.073052802421961</c:v>
                </c:pt>
                <c:pt idx="973">
                  <c:v>1.0194809383634462</c:v>
                </c:pt>
                <c:pt idx="974">
                  <c:v>1.0001191608293343</c:v>
                </c:pt>
                <c:pt idx="975">
                  <c:v>1.3294441045172294</c:v>
                </c:pt>
                <c:pt idx="976">
                  <c:v>1.2551610188029556</c:v>
                </c:pt>
                <c:pt idx="977">
                  <c:v>1.2545021313210265</c:v>
                </c:pt>
                <c:pt idx="978">
                  <c:v>1.2603193249353404</c:v>
                </c:pt>
                <c:pt idx="979">
                  <c:v>1.5070232142272637</c:v>
                </c:pt>
                <c:pt idx="980">
                  <c:v>1.3021884441055425</c:v>
                </c:pt>
                <c:pt idx="981">
                  <c:v>0.93670436698522086</c:v>
                </c:pt>
                <c:pt idx="982">
                  <c:v>1.0640169584926629</c:v>
                </c:pt>
                <c:pt idx="983">
                  <c:v>1.076313813430027</c:v>
                </c:pt>
                <c:pt idx="984">
                  <c:v>1.0842353443363126</c:v>
                </c:pt>
                <c:pt idx="985">
                  <c:v>1.084473203527371</c:v>
                </c:pt>
                <c:pt idx="986">
                  <c:v>1.1420922013812036</c:v>
                </c:pt>
                <c:pt idx="987">
                  <c:v>1.2974000930747653</c:v>
                </c:pt>
                <c:pt idx="988">
                  <c:v>1.0455791499862439</c:v>
                </c:pt>
                <c:pt idx="989">
                  <c:v>1.0789013149782418</c:v>
                </c:pt>
                <c:pt idx="990">
                  <c:v>1.1956967646594752</c:v>
                </c:pt>
                <c:pt idx="991">
                  <c:v>1.0010971858674136</c:v>
                </c:pt>
                <c:pt idx="992">
                  <c:v>1.4414695141157072</c:v>
                </c:pt>
                <c:pt idx="993">
                  <c:v>1.2650386651749446</c:v>
                </c:pt>
                <c:pt idx="994">
                  <c:v>1.1348202817306681</c:v>
                </c:pt>
                <c:pt idx="995">
                  <c:v>0.9307381554690336</c:v>
                </c:pt>
                <c:pt idx="996">
                  <c:v>1.0865248931244329</c:v>
                </c:pt>
                <c:pt idx="997">
                  <c:v>1.2830269891846255</c:v>
                </c:pt>
                <c:pt idx="998">
                  <c:v>1.4420772357717446</c:v>
                </c:pt>
                <c:pt idx="999">
                  <c:v>1.29117856181998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27-4A05-8D0C-2D88BE7BA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4571184"/>
        <c:axId val="1234568784"/>
      </c:lineChart>
      <c:catAx>
        <c:axId val="109332392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93317680"/>
        <c:crosses val="autoZero"/>
        <c:auto val="1"/>
        <c:lblAlgn val="ctr"/>
        <c:lblOffset val="100"/>
        <c:noMultiLvlLbl val="0"/>
      </c:catAx>
      <c:valAx>
        <c:axId val="1093317680"/>
        <c:scaling>
          <c:orientation val="minMax"/>
          <c:max val="4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323920"/>
        <c:crosses val="autoZero"/>
        <c:crossBetween val="between"/>
      </c:valAx>
      <c:valAx>
        <c:axId val="1234568784"/>
        <c:scaling>
          <c:orientation val="minMax"/>
          <c:max val="2.9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571184"/>
        <c:crosses val="max"/>
        <c:crossBetween val="between"/>
      </c:valAx>
      <c:catAx>
        <c:axId val="1234571184"/>
        <c:scaling>
          <c:orientation val="minMax"/>
        </c:scaling>
        <c:delete val="1"/>
        <c:axPos val="b"/>
        <c:majorTickMark val="out"/>
        <c:minorTickMark val="none"/>
        <c:tickLblPos val="nextTo"/>
        <c:crossAx val="12345687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5</xdr:row>
      <xdr:rowOff>175260</xdr:rowOff>
    </xdr:from>
    <xdr:to>
      <xdr:col>15</xdr:col>
      <xdr:colOff>438725</xdr:colOff>
      <xdr:row>23</xdr:row>
      <xdr:rowOff>3527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AEA81B-4C72-4DD9-8F56-4AA01A1AB4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1470660</xdr:colOff>
      <xdr:row>5</xdr:row>
      <xdr:rowOff>160020</xdr:rowOff>
    </xdr:from>
    <xdr:to>
      <xdr:col>13</xdr:col>
      <xdr:colOff>288626</xdr:colOff>
      <xdr:row>7</xdr:row>
      <xdr:rowOff>67970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892B676-0439-415D-9750-F04B97946266}"/>
            </a:ext>
          </a:extLst>
        </xdr:cNvPr>
        <xdr:cNvSpPr txBox="1"/>
      </xdr:nvSpPr>
      <xdr:spPr>
        <a:xfrm>
          <a:off x="8519160" y="1242060"/>
          <a:ext cx="2688926" cy="2737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PROBABILITY DISTRIBUTION OF NET PROFIT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2AB48E-8467-4AEF-9D25-CDAC900C1129}" name="Table1" displayName="Table1" ref="B3:G9" totalsRowShown="0" headerRowDxfId="7" dataDxfId="6">
  <autoFilter ref="B3:G9" xr:uid="{9B2AB48E-8467-4AEF-9D25-CDAC900C1129}"/>
  <tableColumns count="6">
    <tableColumn id="1" xr3:uid="{AB81AF07-14B1-4C7D-B754-364F0A08D681}" name="Scenario Name" dataDxfId="5"/>
    <tableColumn id="2" xr3:uid="{7E6128C9-28CD-4C4F-9B82-E18EA4453F50}" name="FX Volatility" dataDxfId="4"/>
    <tableColumn id="3" xr3:uid="{55575643-07D7-4E80-A423-CF0FB89E1C36}" name="FX Spot" dataDxfId="3"/>
    <tableColumn id="4" xr3:uid="{8EB4CF59-184A-40CA-A519-6770DA73A1CB}" name="Hedge Ratio" dataDxfId="2"/>
    <tableColumn id="5" xr3:uid="{513564CA-68B2-4DF4-A62A-651EE155CAA2}" name="Hedged Rate" dataDxfId="1"/>
    <tableColumn id="6" xr3:uid="{D4D09EF0-E9EE-4E42-AF85-0F69A619C84D}" name="Freight Multiplier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82BA3-38E0-4E3B-BF76-C47DF4B64372}">
  <sheetPr codeName="Sheet3"/>
  <dimension ref="A1:Q1004"/>
  <sheetViews>
    <sheetView showGridLines="0" tabSelected="1" workbookViewId="0">
      <pane ySplit="1" topLeftCell="A2" activePane="bottomLeft" state="frozen"/>
      <selection pane="bottomLeft" activeCell="B21" sqref="B21"/>
    </sheetView>
  </sheetViews>
  <sheetFormatPr defaultRowHeight="14.4" x14ac:dyDescent="0.3"/>
  <cols>
    <col min="1" max="1" width="17" style="8" customWidth="1"/>
    <col min="2" max="2" width="20" style="8" bestFit="1" customWidth="1"/>
    <col min="3" max="3" width="7" style="8" bestFit="1" customWidth="1"/>
    <col min="4" max="4" width="8.88671875" style="8"/>
    <col min="5" max="5" width="5" style="8" bestFit="1" customWidth="1"/>
    <col min="6" max="8" width="12" style="8" bestFit="1" customWidth="1"/>
    <col min="9" max="9" width="8.88671875" style="8"/>
    <col min="10" max="10" width="27.77734375" style="8" bestFit="1" customWidth="1"/>
    <col min="11" max="11" width="11.5546875" style="8" bestFit="1" customWidth="1"/>
    <col min="12" max="16384" width="8.88671875" style="8"/>
  </cols>
  <sheetData>
    <row r="1" spans="1:17" s="7" customFormat="1" ht="27.6" customHeight="1" x14ac:dyDescent="0.55000000000000004">
      <c r="A1" s="4" t="s">
        <v>20</v>
      </c>
      <c r="B1" s="5"/>
      <c r="C1" s="5"/>
      <c r="D1" s="5"/>
      <c r="E1" s="5"/>
      <c r="F1" s="5"/>
      <c r="G1" s="5"/>
      <c r="H1" s="6"/>
      <c r="I1" s="5"/>
      <c r="J1" s="5"/>
      <c r="K1" s="5"/>
      <c r="L1" s="5"/>
      <c r="M1" s="5"/>
      <c r="N1" s="5"/>
      <c r="O1" s="5"/>
      <c r="P1" s="5"/>
      <c r="Q1" s="5"/>
    </row>
    <row r="3" spans="1:17" x14ac:dyDescent="0.3">
      <c r="A3" s="2" t="s">
        <v>22</v>
      </c>
      <c r="B3" s="13" t="s">
        <v>14</v>
      </c>
      <c r="C3" s="13"/>
    </row>
    <row r="4" spans="1:17" x14ac:dyDescent="0.3">
      <c r="E4" s="11" t="s">
        <v>6</v>
      </c>
      <c r="F4" s="11" t="s">
        <v>7</v>
      </c>
      <c r="G4" s="11" t="s">
        <v>8</v>
      </c>
      <c r="H4" s="11" t="s">
        <v>9</v>
      </c>
    </row>
    <row r="5" spans="1:17" x14ac:dyDescent="0.3">
      <c r="B5" s="14" t="s">
        <v>0</v>
      </c>
      <c r="C5" s="15"/>
      <c r="E5" s="8">
        <f>ROW()-4</f>
        <v>1</v>
      </c>
      <c r="F5" s="8">
        <f t="shared" ref="F5:F68" ca="1" si="0">_xlfn.NORM.INV(RAND(), $C$9, $C$9 * $C$10)</f>
        <v>1.1293269881461825</v>
      </c>
      <c r="G5" s="8">
        <f t="shared" ref="G5:G68" ca="1" si="1">$C$7 - ($C$6 + ($C$8 * $C$11)) - (($C$6 + ($C$8 * $C$11)) * (1 - $C$12) * (F5 - $C$13))</f>
        <v>1839.1508555092921</v>
      </c>
      <c r="H5" s="8">
        <f t="shared" ref="H5:H68" ca="1" si="2">G5 / $C$7</f>
        <v>0.17577662768893168</v>
      </c>
      <c r="J5" s="9" t="s">
        <v>26</v>
      </c>
      <c r="K5" s="12">
        <f ca="1">_xlfn.PERCENTILE.INC(G5:G1004, 0.05)</f>
        <v>1232.9076526721576</v>
      </c>
    </row>
    <row r="6" spans="1:17" x14ac:dyDescent="0.3">
      <c r="B6" s="10" t="s">
        <v>1</v>
      </c>
      <c r="C6" s="10">
        <v>7272</v>
      </c>
      <c r="E6" s="8">
        <f t="shared" ref="E6:E69" si="3">ROW()-4</f>
        <v>2</v>
      </c>
      <c r="F6" s="8">
        <f t="shared" ca="1" si="0"/>
        <v>0.95863089713607064</v>
      </c>
      <c r="G6" s="8">
        <f t="shared" ca="1" si="1"/>
        <v>2211.8871072412476</v>
      </c>
      <c r="H6" s="8">
        <f t="shared" ca="1" si="2"/>
        <v>0.21140085130853939</v>
      </c>
    </row>
    <row r="7" spans="1:17" x14ac:dyDescent="0.3">
      <c r="B7" s="10" t="s">
        <v>2</v>
      </c>
      <c r="C7" s="10">
        <v>10463</v>
      </c>
      <c r="E7" s="8">
        <f t="shared" si="3"/>
        <v>3</v>
      </c>
      <c r="F7" s="8">
        <f t="shared" ca="1" si="0"/>
        <v>1.2923725985197605</v>
      </c>
      <c r="G7" s="8">
        <f t="shared" ca="1" si="1"/>
        <v>1483.1203845572879</v>
      </c>
      <c r="H7" s="8">
        <f t="shared" ca="1" si="2"/>
        <v>0.14174905711146785</v>
      </c>
    </row>
    <row r="8" spans="1:17" x14ac:dyDescent="0.3">
      <c r="B8" s="10" t="s">
        <v>3</v>
      </c>
      <c r="C8" s="10">
        <v>650</v>
      </c>
      <c r="E8" s="8">
        <f t="shared" si="3"/>
        <v>4</v>
      </c>
      <c r="F8" s="8">
        <f t="shared" ca="1" si="0"/>
        <v>1.2812127256755477</v>
      </c>
      <c r="G8" s="8">
        <f t="shared" ca="1" si="1"/>
        <v>1507.4893618967321</v>
      </c>
      <c r="H8" s="8">
        <f t="shared" ca="1" si="2"/>
        <v>0.14407811926758407</v>
      </c>
    </row>
    <row r="9" spans="1:17" x14ac:dyDescent="0.3">
      <c r="B9" s="10" t="s">
        <v>24</v>
      </c>
      <c r="C9" s="10">
        <f>_xlfn.XLOOKUP($B$3,Table1[Scenario Name],Table1[FX Spot],"N/A",0)</f>
        <v>1.18</v>
      </c>
      <c r="E9" s="8">
        <f t="shared" si="3"/>
        <v>5</v>
      </c>
      <c r="F9" s="8">
        <f t="shared" ca="1" si="0"/>
        <v>1.3839674715709112</v>
      </c>
      <c r="G9" s="8">
        <f t="shared" ca="1" si="1"/>
        <v>1283.111529890969</v>
      </c>
      <c r="H9" s="8">
        <f t="shared" ca="1" si="2"/>
        <v>0.12263323424361741</v>
      </c>
    </row>
    <row r="10" spans="1:17" x14ac:dyDescent="0.3">
      <c r="B10" s="10" t="s">
        <v>5</v>
      </c>
      <c r="C10" s="10">
        <f>_xlfn.XLOOKUP($B$3,Table1[Scenario Name],Table1[FX Volatility],"N/A",0)</f>
        <v>0.12</v>
      </c>
      <c r="E10" s="8">
        <f t="shared" si="3"/>
        <v>6</v>
      </c>
      <c r="F10" s="8">
        <f t="shared" ca="1" si="0"/>
        <v>1.3725340280811311</v>
      </c>
      <c r="G10" s="8">
        <f t="shared" ca="1" si="1"/>
        <v>1308.0778829313399</v>
      </c>
      <c r="H10" s="8">
        <f t="shared" ca="1" si="2"/>
        <v>0.12501939051240943</v>
      </c>
    </row>
    <row r="11" spans="1:17" x14ac:dyDescent="0.3">
      <c r="B11" s="10" t="s">
        <v>21</v>
      </c>
      <c r="C11" s="10">
        <f>_xlfn.XLOOKUP($B$3,Table1[Scenario Name],Table1[Freight Multiplier],"N/A",0)</f>
        <v>2.25</v>
      </c>
      <c r="E11" s="8">
        <f t="shared" si="3"/>
        <v>7</v>
      </c>
      <c r="F11" s="8">
        <f t="shared" ca="1" si="0"/>
        <v>1.1612342963604609</v>
      </c>
      <c r="G11" s="8">
        <f t="shared" ca="1" si="1"/>
        <v>1769.4772596098883</v>
      </c>
      <c r="H11" s="8">
        <f t="shared" ca="1" si="2"/>
        <v>0.16911758191817722</v>
      </c>
    </row>
    <row r="12" spans="1:17" x14ac:dyDescent="0.3">
      <c r="B12" s="10" t="s">
        <v>11</v>
      </c>
      <c r="C12" s="10">
        <f>_xlfn.XLOOKUP($B$3,Table1[Scenario Name],Table1[Hedge Ratio],"N/A",0)</f>
        <v>0.75</v>
      </c>
      <c r="E12" s="8">
        <f t="shared" si="3"/>
        <v>8</v>
      </c>
      <c r="F12" s="8">
        <f t="shared" ca="1" si="0"/>
        <v>1.1682829222211109</v>
      </c>
      <c r="G12" s="8">
        <f t="shared" ca="1" si="1"/>
        <v>1754.0857039649268</v>
      </c>
      <c r="H12" s="8">
        <f t="shared" ca="1" si="2"/>
        <v>0.16764653578944153</v>
      </c>
    </row>
    <row r="13" spans="1:17" x14ac:dyDescent="0.3">
      <c r="B13" s="10" t="s">
        <v>25</v>
      </c>
      <c r="C13" s="10">
        <f>_xlfn.XLOOKUP($B$3,Table1[Scenario Name],Table1[Hedged Rate],"N/A",0)</f>
        <v>1.18</v>
      </c>
      <c r="E13" s="8">
        <f t="shared" si="3"/>
        <v>9</v>
      </c>
      <c r="F13" s="8">
        <f t="shared" ca="1" si="0"/>
        <v>1.0466128078164658</v>
      </c>
      <c r="G13" s="8">
        <f t="shared" ca="1" si="1"/>
        <v>2019.7676075317697</v>
      </c>
      <c r="H13" s="8">
        <f t="shared" ca="1" si="2"/>
        <v>0.19303905261700943</v>
      </c>
    </row>
    <row r="14" spans="1:17" x14ac:dyDescent="0.3">
      <c r="E14" s="8">
        <f t="shared" si="3"/>
        <v>10</v>
      </c>
      <c r="F14" s="8">
        <f t="shared" ca="1" si="0"/>
        <v>0.93542261178723507</v>
      </c>
      <c r="G14" s="8">
        <f t="shared" ca="1" si="1"/>
        <v>2262.5652993360986</v>
      </c>
      <c r="H14" s="8">
        <f t="shared" ca="1" si="2"/>
        <v>0.216244413584641</v>
      </c>
    </row>
    <row r="15" spans="1:17" x14ac:dyDescent="0.3">
      <c r="E15" s="8">
        <f t="shared" si="3"/>
        <v>11</v>
      </c>
      <c r="F15" s="8">
        <f t="shared" ca="1" si="0"/>
        <v>1.462589075086258</v>
      </c>
      <c r="G15" s="8">
        <f t="shared" ca="1" si="1"/>
        <v>1111.4314309147699</v>
      </c>
      <c r="H15" s="8">
        <f t="shared" ca="1" si="2"/>
        <v>0.10622492888414124</v>
      </c>
    </row>
    <row r="16" spans="1:17" x14ac:dyDescent="0.3">
      <c r="E16" s="8">
        <f t="shared" si="3"/>
        <v>12</v>
      </c>
      <c r="F16" s="8">
        <f t="shared" ca="1" si="0"/>
        <v>1.1553985276785563</v>
      </c>
      <c r="G16" s="8">
        <f t="shared" ca="1" si="1"/>
        <v>1782.2203899979122</v>
      </c>
      <c r="H16" s="8">
        <f t="shared" ca="1" si="2"/>
        <v>0.1703355051130567</v>
      </c>
    </row>
    <row r="17" spans="5:8" x14ac:dyDescent="0.3">
      <c r="E17" s="8">
        <f t="shared" si="3"/>
        <v>13</v>
      </c>
      <c r="F17" s="8">
        <f t="shared" ca="1" si="0"/>
        <v>1.2815445527835407</v>
      </c>
      <c r="G17" s="8">
        <f t="shared" ca="1" si="1"/>
        <v>1506.7647759280408</v>
      </c>
      <c r="H17" s="8">
        <f t="shared" ca="1" si="2"/>
        <v>0.14400886704846036</v>
      </c>
    </row>
    <row r="18" spans="5:8" x14ac:dyDescent="0.3">
      <c r="E18" s="8">
        <f t="shared" si="3"/>
        <v>14</v>
      </c>
      <c r="F18" s="8">
        <f t="shared" ca="1" si="0"/>
        <v>1.1171497595636943</v>
      </c>
      <c r="G18" s="8">
        <f t="shared" ca="1" si="1"/>
        <v>1865.7413562727279</v>
      </c>
      <c r="H18" s="8">
        <f t="shared" ca="1" si="2"/>
        <v>0.17831801168620165</v>
      </c>
    </row>
    <row r="19" spans="5:8" x14ac:dyDescent="0.3">
      <c r="E19" s="8">
        <f t="shared" si="3"/>
        <v>15</v>
      </c>
      <c r="F19" s="8">
        <f t="shared" ca="1" si="0"/>
        <v>1.2088402014397697</v>
      </c>
      <c r="G19" s="8">
        <f t="shared" ca="1" si="1"/>
        <v>1665.5238151310828</v>
      </c>
      <c r="H19" s="8">
        <f t="shared" ca="1" si="2"/>
        <v>0.15918224363290479</v>
      </c>
    </row>
    <row r="20" spans="5:8" x14ac:dyDescent="0.3">
      <c r="E20" s="8">
        <f t="shared" si="3"/>
        <v>16</v>
      </c>
      <c r="F20" s="8">
        <f t="shared" ca="1" si="0"/>
        <v>1.5228507818218127</v>
      </c>
      <c r="G20" s="8">
        <f t="shared" ca="1" si="1"/>
        <v>979.84246154434425</v>
      </c>
      <c r="H20" s="8">
        <f t="shared" ca="1" si="2"/>
        <v>9.3648328542898243E-2</v>
      </c>
    </row>
    <row r="21" spans="5:8" x14ac:dyDescent="0.3">
      <c r="E21" s="8">
        <f t="shared" si="3"/>
        <v>17</v>
      </c>
      <c r="F21" s="8">
        <f t="shared" ca="1" si="0"/>
        <v>1.0343782848886272</v>
      </c>
      <c r="G21" s="8">
        <f t="shared" ca="1" si="1"/>
        <v>2046.4832176600714</v>
      </c>
      <c r="H21" s="8">
        <f t="shared" ca="1" si="2"/>
        <v>0.19559239392717875</v>
      </c>
    </row>
    <row r="22" spans="5:8" x14ac:dyDescent="0.3">
      <c r="E22" s="8">
        <f t="shared" si="3"/>
        <v>18</v>
      </c>
      <c r="F22" s="8">
        <f t="shared" ca="1" si="0"/>
        <v>1.249182709674572</v>
      </c>
      <c r="G22" s="8">
        <f t="shared" ca="1" si="1"/>
        <v>1577.4309055868625</v>
      </c>
      <c r="H22" s="8">
        <f t="shared" ca="1" si="2"/>
        <v>0.1507627741170661</v>
      </c>
    </row>
    <row r="23" spans="5:8" x14ac:dyDescent="0.3">
      <c r="E23" s="8">
        <f t="shared" si="3"/>
        <v>19</v>
      </c>
      <c r="F23" s="8">
        <f t="shared" ca="1" si="0"/>
        <v>1.2536726225072221</v>
      </c>
      <c r="G23" s="8">
        <f t="shared" ca="1" si="1"/>
        <v>1567.6266196776669</v>
      </c>
      <c r="H23" s="8">
        <f t="shared" ca="1" si="2"/>
        <v>0.14982573063917298</v>
      </c>
    </row>
    <row r="24" spans="5:8" x14ac:dyDescent="0.3">
      <c r="E24" s="8">
        <f t="shared" si="3"/>
        <v>20</v>
      </c>
      <c r="F24" s="8">
        <f t="shared" ca="1" si="0"/>
        <v>1.0828491887303116</v>
      </c>
      <c r="G24" s="8">
        <f t="shared" ca="1" si="1"/>
        <v>1940.6409402587733</v>
      </c>
      <c r="H24" s="8">
        <f t="shared" ca="1" si="2"/>
        <v>0.1854765306564822</v>
      </c>
    </row>
    <row r="25" spans="5:8" x14ac:dyDescent="0.3">
      <c r="E25" s="8">
        <f t="shared" si="3"/>
        <v>21</v>
      </c>
      <c r="F25" s="8">
        <f t="shared" ca="1" si="0"/>
        <v>1.2945798839898293</v>
      </c>
      <c r="G25" s="8">
        <f t="shared" ca="1" si="1"/>
        <v>1478.300500822709</v>
      </c>
      <c r="H25" s="8">
        <f t="shared" ca="1" si="2"/>
        <v>0.14128839728784373</v>
      </c>
    </row>
    <row r="26" spans="5:8" x14ac:dyDescent="0.3">
      <c r="E26" s="8">
        <f t="shared" si="3"/>
        <v>22</v>
      </c>
      <c r="F26" s="8">
        <f t="shared" ca="1" si="0"/>
        <v>1.2927182102331014</v>
      </c>
      <c r="G26" s="8">
        <f t="shared" ca="1" si="1"/>
        <v>1482.3656981797437</v>
      </c>
      <c r="H26" s="8">
        <f t="shared" ca="1" si="2"/>
        <v>0.14167692804929213</v>
      </c>
    </row>
    <row r="27" spans="5:8" x14ac:dyDescent="0.3">
      <c r="E27" s="8">
        <f t="shared" si="3"/>
        <v>23</v>
      </c>
      <c r="F27" s="8">
        <f t="shared" ca="1" si="0"/>
        <v>1.2314590372428855</v>
      </c>
      <c r="G27" s="8">
        <f t="shared" ca="1" si="1"/>
        <v>1616.1327598005039</v>
      </c>
      <c r="H27" s="8">
        <f t="shared" ca="1" si="2"/>
        <v>0.15446169930235151</v>
      </c>
    </row>
    <row r="28" spans="5:8" x14ac:dyDescent="0.3">
      <c r="E28" s="8">
        <f t="shared" si="3"/>
        <v>24</v>
      </c>
      <c r="F28" s="8">
        <f t="shared" ca="1" si="0"/>
        <v>0.94232324416551327</v>
      </c>
      <c r="G28" s="8">
        <f t="shared" ca="1" si="1"/>
        <v>2247.4969059590808</v>
      </c>
      <c r="H28" s="8">
        <f t="shared" ca="1" si="2"/>
        <v>0.21480425365182843</v>
      </c>
    </row>
    <row r="29" spans="5:8" x14ac:dyDescent="0.3">
      <c r="E29" s="8">
        <f t="shared" si="3"/>
        <v>25</v>
      </c>
      <c r="F29" s="8">
        <f t="shared" ca="1" si="0"/>
        <v>1.065713463058376</v>
      </c>
      <c r="G29" s="8">
        <f t="shared" ca="1" si="1"/>
        <v>1978.0589392291536</v>
      </c>
      <c r="H29" s="8">
        <f t="shared" ca="1" si="2"/>
        <v>0.18905275152720574</v>
      </c>
    </row>
    <row r="30" spans="5:8" x14ac:dyDescent="0.3">
      <c r="E30" s="8">
        <f t="shared" si="3"/>
        <v>26</v>
      </c>
      <c r="F30" s="8">
        <f t="shared" ca="1" si="0"/>
        <v>1.3561115601093008</v>
      </c>
      <c r="G30" s="8">
        <f t="shared" ca="1" si="1"/>
        <v>1343.9383945563279</v>
      </c>
      <c r="H30" s="8">
        <f t="shared" ca="1" si="2"/>
        <v>0.12844675471244651</v>
      </c>
    </row>
    <row r="31" spans="5:8" x14ac:dyDescent="0.3">
      <c r="E31" s="8">
        <f t="shared" si="3"/>
        <v>27</v>
      </c>
      <c r="F31" s="8">
        <f t="shared" ca="1" si="0"/>
        <v>1.3780928801128929</v>
      </c>
      <c r="G31" s="8">
        <f t="shared" ca="1" si="1"/>
        <v>1295.939434663484</v>
      </c>
      <c r="H31" s="8">
        <f t="shared" ca="1" si="2"/>
        <v>0.12385925974036931</v>
      </c>
    </row>
    <row r="32" spans="5:8" x14ac:dyDescent="0.3">
      <c r="E32" s="8">
        <f t="shared" si="3"/>
        <v>28</v>
      </c>
      <c r="F32" s="8">
        <f t="shared" ca="1" si="0"/>
        <v>1.1856864158045295</v>
      </c>
      <c r="G32" s="8">
        <f t="shared" ca="1" si="1"/>
        <v>1716.0830002888342</v>
      </c>
      <c r="H32" s="8">
        <f t="shared" ca="1" si="2"/>
        <v>0.16401443183492634</v>
      </c>
    </row>
    <row r="33" spans="5:8" x14ac:dyDescent="0.3">
      <c r="E33" s="8">
        <f t="shared" si="3"/>
        <v>29</v>
      </c>
      <c r="F33" s="8">
        <f t="shared" ca="1" si="0"/>
        <v>1.0104492928716253</v>
      </c>
      <c r="G33" s="8">
        <f t="shared" ca="1" si="1"/>
        <v>2098.7351628531969</v>
      </c>
      <c r="H33" s="8">
        <f t="shared" ca="1" si="2"/>
        <v>0.20058636747139413</v>
      </c>
    </row>
    <row r="34" spans="5:8" x14ac:dyDescent="0.3">
      <c r="E34" s="8">
        <f t="shared" si="3"/>
        <v>30</v>
      </c>
      <c r="F34" s="8">
        <f t="shared" ca="1" si="0"/>
        <v>1.2086588565440848</v>
      </c>
      <c r="G34" s="8">
        <f t="shared" ca="1" si="1"/>
        <v>1665.9198043789227</v>
      </c>
      <c r="H34" s="8">
        <f t="shared" ca="1" si="2"/>
        <v>0.15922009025890496</v>
      </c>
    </row>
    <row r="35" spans="5:8" x14ac:dyDescent="0.3">
      <c r="E35" s="8">
        <f t="shared" si="3"/>
        <v>31</v>
      </c>
      <c r="F35" s="8">
        <f t="shared" ca="1" si="0"/>
        <v>1.4094654672885154</v>
      </c>
      <c r="G35" s="8">
        <f t="shared" ca="1" si="1"/>
        <v>1227.4334689921154</v>
      </c>
      <c r="H35" s="8">
        <f t="shared" ca="1" si="2"/>
        <v>0.11731181009195407</v>
      </c>
    </row>
    <row r="36" spans="5:8" x14ac:dyDescent="0.3">
      <c r="E36" s="8">
        <f t="shared" si="3"/>
        <v>32</v>
      </c>
      <c r="F36" s="8">
        <f t="shared" ca="1" si="0"/>
        <v>0.84780039008526253</v>
      </c>
      <c r="G36" s="8">
        <f t="shared" ca="1" si="1"/>
        <v>2453.8993732000686</v>
      </c>
      <c r="H36" s="8">
        <f t="shared" ca="1" si="2"/>
        <v>0.23453114529294358</v>
      </c>
    </row>
    <row r="37" spans="5:8" x14ac:dyDescent="0.3">
      <c r="E37" s="8">
        <f t="shared" si="3"/>
        <v>33</v>
      </c>
      <c r="F37" s="8">
        <f t="shared" ca="1" si="0"/>
        <v>1.2913594393073633</v>
      </c>
      <c r="G37" s="8">
        <f t="shared" ca="1" si="1"/>
        <v>1485.3327443424587</v>
      </c>
      <c r="H37" s="8">
        <f t="shared" ca="1" si="2"/>
        <v>0.14196050313891415</v>
      </c>
    </row>
    <row r="38" spans="5:8" x14ac:dyDescent="0.3">
      <c r="E38" s="8">
        <f t="shared" si="3"/>
        <v>34</v>
      </c>
      <c r="F38" s="8">
        <f t="shared" ca="1" si="0"/>
        <v>1.397073120913602</v>
      </c>
      <c r="G38" s="8">
        <f t="shared" ca="1" si="1"/>
        <v>1254.4937063450357</v>
      </c>
      <c r="H38" s="8">
        <f t="shared" ca="1" si="2"/>
        <v>0.11989808910876762</v>
      </c>
    </row>
    <row r="39" spans="5:8" x14ac:dyDescent="0.3">
      <c r="E39" s="8">
        <f t="shared" si="3"/>
        <v>35</v>
      </c>
      <c r="F39" s="8">
        <f t="shared" ca="1" si="0"/>
        <v>1.1440566216569721</v>
      </c>
      <c r="G39" s="8">
        <f t="shared" ca="1" si="1"/>
        <v>1806.9868595342941</v>
      </c>
      <c r="H39" s="8">
        <f t="shared" ca="1" si="2"/>
        <v>0.17270255753935718</v>
      </c>
    </row>
    <row r="40" spans="5:8" x14ac:dyDescent="0.3">
      <c r="E40" s="8">
        <f t="shared" si="3"/>
        <v>36</v>
      </c>
      <c r="F40" s="8">
        <f t="shared" ca="1" si="0"/>
        <v>0.88508960215855526</v>
      </c>
      <c r="G40" s="8">
        <f t="shared" ca="1" si="1"/>
        <v>2372.4737174865245</v>
      </c>
      <c r="H40" s="8">
        <f t="shared" ca="1" si="2"/>
        <v>0.2267488977813748</v>
      </c>
    </row>
    <row r="41" spans="5:8" x14ac:dyDescent="0.3">
      <c r="E41" s="8">
        <f t="shared" si="3"/>
        <v>37</v>
      </c>
      <c r="F41" s="8">
        <f t="shared" ca="1" si="0"/>
        <v>1.2031640572062094</v>
      </c>
      <c r="G41" s="8">
        <f t="shared" ca="1" si="1"/>
        <v>1677.9183855830909</v>
      </c>
      <c r="H41" s="8">
        <f t="shared" ca="1" si="2"/>
        <v>0.16036685325270866</v>
      </c>
    </row>
    <row r="42" spans="5:8" x14ac:dyDescent="0.3">
      <c r="E42" s="8">
        <f t="shared" si="3"/>
        <v>38</v>
      </c>
      <c r="F42" s="8">
        <f t="shared" ca="1" si="0"/>
        <v>1.1932635104878671</v>
      </c>
      <c r="G42" s="8">
        <f t="shared" ca="1" si="1"/>
        <v>1699.5374669109312</v>
      </c>
      <c r="H42" s="8">
        <f t="shared" ca="1" si="2"/>
        <v>0.1624330944194716</v>
      </c>
    </row>
    <row r="43" spans="5:8" x14ac:dyDescent="0.3">
      <c r="E43" s="8">
        <f t="shared" si="3"/>
        <v>39</v>
      </c>
      <c r="F43" s="8">
        <f t="shared" ca="1" si="0"/>
        <v>1.2182226681300024</v>
      </c>
      <c r="G43" s="8">
        <f t="shared" ca="1" si="1"/>
        <v>1645.0360263046234</v>
      </c>
      <c r="H43" s="8">
        <f t="shared" ca="1" si="2"/>
        <v>0.15722412561451052</v>
      </c>
    </row>
    <row r="44" spans="5:8" x14ac:dyDescent="0.3">
      <c r="E44" s="8">
        <f t="shared" si="3"/>
        <v>40</v>
      </c>
      <c r="F44" s="8">
        <f t="shared" ca="1" si="0"/>
        <v>1.2423590686018435</v>
      </c>
      <c r="G44" s="8">
        <f t="shared" ca="1" si="1"/>
        <v>1592.3311788242993</v>
      </c>
      <c r="H44" s="8">
        <f t="shared" ca="1" si="2"/>
        <v>0.15218686598722156</v>
      </c>
    </row>
    <row r="45" spans="5:8" x14ac:dyDescent="0.3">
      <c r="E45" s="8">
        <f t="shared" si="3"/>
        <v>41</v>
      </c>
      <c r="F45" s="8">
        <f t="shared" ca="1" si="0"/>
        <v>1.1579340759556642</v>
      </c>
      <c r="G45" s="8">
        <f t="shared" ca="1" si="1"/>
        <v>1776.6837033913125</v>
      </c>
      <c r="H45" s="8">
        <f t="shared" ca="1" si="2"/>
        <v>0.16980633693886193</v>
      </c>
    </row>
    <row r="46" spans="5:8" x14ac:dyDescent="0.3">
      <c r="E46" s="8">
        <f t="shared" si="3"/>
        <v>42</v>
      </c>
      <c r="F46" s="8">
        <f t="shared" ca="1" si="0"/>
        <v>1.1701740818525379</v>
      </c>
      <c r="G46" s="8">
        <f t="shared" ca="1" si="1"/>
        <v>1749.9561205147518</v>
      </c>
      <c r="H46" s="8">
        <f t="shared" ca="1" si="2"/>
        <v>0.16725185133467951</v>
      </c>
    </row>
    <row r="47" spans="5:8" x14ac:dyDescent="0.3">
      <c r="E47" s="8">
        <f t="shared" si="3"/>
        <v>43</v>
      </c>
      <c r="F47" s="8">
        <f t="shared" ca="1" si="0"/>
        <v>1.0336544776973402</v>
      </c>
      <c r="G47" s="8">
        <f t="shared" ca="1" si="1"/>
        <v>2048.0637411381454</v>
      </c>
      <c r="H47" s="8">
        <f t="shared" ca="1" si="2"/>
        <v>0.1957434522735492</v>
      </c>
    </row>
    <row r="48" spans="5:8" x14ac:dyDescent="0.3">
      <c r="E48" s="8">
        <f t="shared" si="3"/>
        <v>44</v>
      </c>
      <c r="F48" s="8">
        <f t="shared" ca="1" si="0"/>
        <v>1.229945939953091</v>
      </c>
      <c r="G48" s="8">
        <f t="shared" ca="1" si="1"/>
        <v>1619.4367968699316</v>
      </c>
      <c r="H48" s="8">
        <f t="shared" ca="1" si="2"/>
        <v>0.15477748225842794</v>
      </c>
    </row>
    <row r="49" spans="5:8" x14ac:dyDescent="0.3">
      <c r="E49" s="8">
        <f t="shared" si="3"/>
        <v>45</v>
      </c>
      <c r="F49" s="8">
        <f t="shared" ca="1" si="0"/>
        <v>1.0227474113470982</v>
      </c>
      <c r="G49" s="8">
        <f t="shared" ca="1" si="1"/>
        <v>2071.8806838971923</v>
      </c>
      <c r="H49" s="8">
        <f t="shared" ca="1" si="2"/>
        <v>0.19801975378927575</v>
      </c>
    </row>
    <row r="50" spans="5:8" x14ac:dyDescent="0.3">
      <c r="E50" s="8">
        <f t="shared" si="3"/>
        <v>46</v>
      </c>
      <c r="F50" s="8">
        <f t="shared" ca="1" si="0"/>
        <v>1.0038375333543865</v>
      </c>
      <c r="G50" s="8">
        <f t="shared" ca="1" si="1"/>
        <v>2113.1727662290277</v>
      </c>
      <c r="H50" s="8">
        <f t="shared" ca="1" si="2"/>
        <v>0.20196623972369565</v>
      </c>
    </row>
    <row r="51" spans="5:8" x14ac:dyDescent="0.3">
      <c r="E51" s="8">
        <f t="shared" si="3"/>
        <v>47</v>
      </c>
      <c r="F51" s="8">
        <f t="shared" ca="1" si="0"/>
        <v>1.0111551764954214</v>
      </c>
      <c r="G51" s="8">
        <f t="shared" ca="1" si="1"/>
        <v>2097.1937777251851</v>
      </c>
      <c r="H51" s="8">
        <f t="shared" ca="1" si="2"/>
        <v>0.20043904976824861</v>
      </c>
    </row>
    <row r="52" spans="5:8" x14ac:dyDescent="0.3">
      <c r="E52" s="8">
        <f t="shared" si="3"/>
        <v>48</v>
      </c>
      <c r="F52" s="8">
        <f t="shared" ca="1" si="0"/>
        <v>1.1346322431495712</v>
      </c>
      <c r="G52" s="8">
        <f t="shared" ca="1" si="1"/>
        <v>1827.5661680525175</v>
      </c>
      <c r="H52" s="8">
        <f t="shared" ca="1" si="2"/>
        <v>0.17466942254157675</v>
      </c>
    </row>
    <row r="53" spans="5:8" x14ac:dyDescent="0.3">
      <c r="E53" s="8">
        <f t="shared" si="3"/>
        <v>49</v>
      </c>
      <c r="F53" s="8">
        <f t="shared" ca="1" si="0"/>
        <v>1.2766964789105597</v>
      </c>
      <c r="G53" s="8">
        <f t="shared" ca="1" si="1"/>
        <v>1517.3511512389289</v>
      </c>
      <c r="H53" s="8">
        <f t="shared" ca="1" si="2"/>
        <v>0.14502065862935382</v>
      </c>
    </row>
    <row r="54" spans="5:8" x14ac:dyDescent="0.3">
      <c r="E54" s="8">
        <f t="shared" si="3"/>
        <v>50</v>
      </c>
      <c r="F54" s="8">
        <f t="shared" ca="1" si="0"/>
        <v>1.0356388529862908</v>
      </c>
      <c r="G54" s="8">
        <f t="shared" ca="1" si="1"/>
        <v>2043.7306096478108</v>
      </c>
      <c r="H54" s="8">
        <f t="shared" ca="1" si="2"/>
        <v>0.19532931373868018</v>
      </c>
    </row>
    <row r="55" spans="5:8" x14ac:dyDescent="0.3">
      <c r="E55" s="8">
        <f t="shared" si="3"/>
        <v>51</v>
      </c>
      <c r="F55" s="8">
        <f t="shared" ca="1" si="0"/>
        <v>1.0366604827310837</v>
      </c>
      <c r="G55" s="8">
        <f t="shared" ca="1" si="1"/>
        <v>2041.4997533963374</v>
      </c>
      <c r="H55" s="8">
        <f t="shared" ca="1" si="2"/>
        <v>0.19511609991363255</v>
      </c>
    </row>
    <row r="56" spans="5:8" x14ac:dyDescent="0.3">
      <c r="E56" s="8">
        <f t="shared" si="3"/>
        <v>52</v>
      </c>
      <c r="F56" s="8">
        <f t="shared" ca="1" si="0"/>
        <v>1.0538993109283314</v>
      </c>
      <c r="G56" s="8">
        <f t="shared" ca="1" si="1"/>
        <v>2003.8566171741222</v>
      </c>
      <c r="H56" s="8">
        <f t="shared" ca="1" si="2"/>
        <v>0.1915183615764238</v>
      </c>
    </row>
    <row r="57" spans="5:8" x14ac:dyDescent="0.3">
      <c r="E57" s="8">
        <f t="shared" si="3"/>
        <v>53</v>
      </c>
      <c r="F57" s="8">
        <f t="shared" ca="1" si="0"/>
        <v>1.133995920287749</v>
      </c>
      <c r="G57" s="8">
        <f t="shared" ca="1" si="1"/>
        <v>1828.955658561664</v>
      </c>
      <c r="H57" s="8">
        <f t="shared" ca="1" si="2"/>
        <v>0.17480222293430794</v>
      </c>
    </row>
    <row r="58" spans="5:8" x14ac:dyDescent="0.3">
      <c r="E58" s="8">
        <f t="shared" si="3"/>
        <v>54</v>
      </c>
      <c r="F58" s="8">
        <f t="shared" ca="1" si="0"/>
        <v>1.3015471213242336</v>
      </c>
      <c r="G58" s="8">
        <f t="shared" ca="1" si="1"/>
        <v>1463.0866671983704</v>
      </c>
      <c r="H58" s="8">
        <f t="shared" ca="1" si="2"/>
        <v>0.13983433692042152</v>
      </c>
    </row>
    <row r="59" spans="5:8" x14ac:dyDescent="0.3">
      <c r="E59" s="8">
        <f t="shared" si="3"/>
        <v>55</v>
      </c>
      <c r="F59" s="8">
        <f t="shared" ca="1" si="0"/>
        <v>1.1629890688211062</v>
      </c>
      <c r="G59" s="8">
        <f t="shared" ca="1" si="1"/>
        <v>1765.6454945955118</v>
      </c>
      <c r="H59" s="8">
        <f t="shared" ca="1" si="2"/>
        <v>0.16875136142554828</v>
      </c>
    </row>
    <row r="60" spans="5:8" x14ac:dyDescent="0.3">
      <c r="E60" s="8">
        <f t="shared" si="3"/>
        <v>56</v>
      </c>
      <c r="F60" s="8">
        <f t="shared" ca="1" si="0"/>
        <v>1.4032418292424689</v>
      </c>
      <c r="G60" s="8">
        <f t="shared" ca="1" si="1"/>
        <v>1241.0235606204137</v>
      </c>
      <c r="H60" s="8">
        <f t="shared" ca="1" si="2"/>
        <v>0.11861068150821119</v>
      </c>
    </row>
    <row r="61" spans="5:8" x14ac:dyDescent="0.3">
      <c r="E61" s="8">
        <f t="shared" si="3"/>
        <v>57</v>
      </c>
      <c r="F61" s="8">
        <f t="shared" ca="1" si="0"/>
        <v>0.99597489747045043</v>
      </c>
      <c r="G61" s="8">
        <f t="shared" ca="1" si="1"/>
        <v>2130.3418145110877</v>
      </c>
      <c r="H61" s="8">
        <f t="shared" ca="1" si="2"/>
        <v>0.20360716950311455</v>
      </c>
    </row>
    <row r="62" spans="5:8" x14ac:dyDescent="0.3">
      <c r="E62" s="8">
        <f t="shared" si="3"/>
        <v>58</v>
      </c>
      <c r="F62" s="8">
        <f t="shared" ca="1" si="0"/>
        <v>1.2344833840825522</v>
      </c>
      <c r="G62" s="8">
        <f t="shared" ca="1" si="1"/>
        <v>1609.5287204327369</v>
      </c>
      <c r="H62" s="8">
        <f t="shared" ca="1" si="2"/>
        <v>0.15383051901297304</v>
      </c>
    </row>
    <row r="63" spans="5:8" x14ac:dyDescent="0.3">
      <c r="E63" s="8">
        <f t="shared" si="3"/>
        <v>59</v>
      </c>
      <c r="F63" s="8">
        <f t="shared" ca="1" si="0"/>
        <v>1.1236251661973407</v>
      </c>
      <c r="G63" s="8">
        <f t="shared" ca="1" si="1"/>
        <v>1851.6014964623319</v>
      </c>
      <c r="H63" s="8">
        <f t="shared" ca="1" si="2"/>
        <v>0.17696659624030697</v>
      </c>
    </row>
    <row r="64" spans="5:8" x14ac:dyDescent="0.3">
      <c r="E64" s="8">
        <f t="shared" si="3"/>
        <v>60</v>
      </c>
      <c r="F64" s="8">
        <f t="shared" ca="1" si="0"/>
        <v>1.4302336997564162</v>
      </c>
      <c r="G64" s="8">
        <f t="shared" ca="1" si="1"/>
        <v>1182.0834373693956</v>
      </c>
      <c r="H64" s="8">
        <f t="shared" ca="1" si="2"/>
        <v>0.11297748612915948</v>
      </c>
    </row>
    <row r="65" spans="5:8" x14ac:dyDescent="0.3">
      <c r="E65" s="8">
        <f t="shared" si="3"/>
        <v>61</v>
      </c>
      <c r="F65" s="8">
        <f t="shared" ca="1" si="0"/>
        <v>1.2531815332677172</v>
      </c>
      <c r="G65" s="8">
        <f t="shared" ca="1" si="1"/>
        <v>1568.6989744182808</v>
      </c>
      <c r="H65" s="8">
        <f t="shared" ca="1" si="2"/>
        <v>0.14992822081795668</v>
      </c>
    </row>
    <row r="66" spans="5:8" x14ac:dyDescent="0.3">
      <c r="E66" s="8">
        <f t="shared" si="3"/>
        <v>62</v>
      </c>
      <c r="F66" s="8">
        <f t="shared" ca="1" si="0"/>
        <v>0.98401556208751517</v>
      </c>
      <c r="G66" s="8">
        <f t="shared" ca="1" si="1"/>
        <v>2156.4565182366496</v>
      </c>
      <c r="H66" s="8">
        <f t="shared" ca="1" si="2"/>
        <v>0.20610307925419569</v>
      </c>
    </row>
    <row r="67" spans="5:8" x14ac:dyDescent="0.3">
      <c r="E67" s="8">
        <f t="shared" si="3"/>
        <v>63</v>
      </c>
      <c r="F67" s="8">
        <f t="shared" ca="1" si="0"/>
        <v>0.9490710322729915</v>
      </c>
      <c r="G67" s="8">
        <f t="shared" ca="1" si="1"/>
        <v>2232.7622671528889</v>
      </c>
      <c r="H67" s="8">
        <f t="shared" ca="1" si="2"/>
        <v>0.21339599227304681</v>
      </c>
    </row>
    <row r="68" spans="5:8" x14ac:dyDescent="0.3">
      <c r="E68" s="8">
        <f t="shared" si="3"/>
        <v>64</v>
      </c>
      <c r="F68" s="8">
        <f t="shared" ca="1" si="0"/>
        <v>1.4092115327518531</v>
      </c>
      <c r="G68" s="8">
        <f t="shared" ca="1" si="1"/>
        <v>1227.9879667947348</v>
      </c>
      <c r="H68" s="8">
        <f t="shared" ca="1" si="2"/>
        <v>0.11736480615451923</v>
      </c>
    </row>
    <row r="69" spans="5:8" x14ac:dyDescent="0.3">
      <c r="E69" s="8">
        <f t="shared" si="3"/>
        <v>65</v>
      </c>
      <c r="F69" s="8">
        <f t="shared" ref="F69:F132" ca="1" si="4">_xlfn.NORM.INV(RAND(), $C$9, $C$9 * $C$10)</f>
        <v>1.1685393831972857</v>
      </c>
      <c r="G69" s="8">
        <f t="shared" ref="G69:G132" ca="1" si="5">$C$7 - ($C$6 + ($C$8 * $C$11)) - (($C$6 + ($C$8 * $C$11)) * (1 - $C$12) * (F69 - $C$13))</f>
        <v>1753.525689365827</v>
      </c>
      <c r="H69" s="8">
        <f t="shared" ref="H69:H132" ca="1" si="6">G69 / $C$7</f>
        <v>0.16759301245969865</v>
      </c>
    </row>
    <row r="70" spans="5:8" x14ac:dyDescent="0.3">
      <c r="E70" s="8">
        <f t="shared" ref="E70:E133" si="7">ROW()-4</f>
        <v>66</v>
      </c>
      <c r="F70" s="8">
        <f t="shared" ca="1" si="4"/>
        <v>1.3237052844791952</v>
      </c>
      <c r="G70" s="8">
        <f t="shared" ca="1" si="5"/>
        <v>1414.7015481791173</v>
      </c>
      <c r="H70" s="8">
        <f t="shared" ca="1" si="6"/>
        <v>0.13520993483504895</v>
      </c>
    </row>
    <row r="71" spans="5:8" x14ac:dyDescent="0.3">
      <c r="E71" s="8">
        <f t="shared" si="7"/>
        <v>67</v>
      </c>
      <c r="F71" s="8">
        <f t="shared" ca="1" si="4"/>
        <v>1.178687881370829</v>
      </c>
      <c r="G71" s="8">
        <f t="shared" ca="1" si="5"/>
        <v>1731.3651750416234</v>
      </c>
      <c r="H71" s="8">
        <f t="shared" ca="1" si="6"/>
        <v>0.16547502389769889</v>
      </c>
    </row>
    <row r="72" spans="5:8" x14ac:dyDescent="0.3">
      <c r="E72" s="8">
        <f t="shared" si="7"/>
        <v>68</v>
      </c>
      <c r="F72" s="8">
        <f t="shared" ca="1" si="4"/>
        <v>0.93453937215742688</v>
      </c>
      <c r="G72" s="8">
        <f t="shared" ca="1" si="5"/>
        <v>2264.4939634727384</v>
      </c>
      <c r="H72" s="8">
        <f t="shared" ca="1" si="6"/>
        <v>0.21642874543369381</v>
      </c>
    </row>
    <row r="73" spans="5:8" x14ac:dyDescent="0.3">
      <c r="E73" s="8">
        <f t="shared" si="7"/>
        <v>69</v>
      </c>
      <c r="F73" s="8">
        <f t="shared" ca="1" si="4"/>
        <v>1.1287375035474529</v>
      </c>
      <c r="G73" s="8">
        <f t="shared" ca="1" si="5"/>
        <v>1840.438068816193</v>
      </c>
      <c r="H73" s="8">
        <f t="shared" ca="1" si="6"/>
        <v>0.17589965295003279</v>
      </c>
    </row>
    <row r="74" spans="5:8" x14ac:dyDescent="0.3">
      <c r="E74" s="8">
        <f t="shared" si="7"/>
        <v>70</v>
      </c>
      <c r="F74" s="8">
        <f t="shared" ca="1" si="4"/>
        <v>1.033812112095003</v>
      </c>
      <c r="G74" s="8">
        <f t="shared" ca="1" si="5"/>
        <v>2047.7195267265488</v>
      </c>
      <c r="H74" s="8">
        <f t="shared" ca="1" si="6"/>
        <v>0.19571055402146123</v>
      </c>
    </row>
    <row r="75" spans="5:8" x14ac:dyDescent="0.3">
      <c r="E75" s="8">
        <f t="shared" si="7"/>
        <v>71</v>
      </c>
      <c r="F75" s="8">
        <f t="shared" ca="1" si="4"/>
        <v>0.96391926979920173</v>
      </c>
      <c r="G75" s="8">
        <f t="shared" ca="1" si="5"/>
        <v>2200.3392844847181</v>
      </c>
      <c r="H75" s="8">
        <f t="shared" ca="1" si="6"/>
        <v>0.21029716950059429</v>
      </c>
    </row>
    <row r="76" spans="5:8" x14ac:dyDescent="0.3">
      <c r="E76" s="8">
        <f t="shared" si="7"/>
        <v>72</v>
      </c>
      <c r="F76" s="8">
        <f t="shared" ca="1" si="4"/>
        <v>1.1962472296235969</v>
      </c>
      <c r="G76" s="8">
        <f t="shared" ca="1" si="5"/>
        <v>1693.0221432131732</v>
      </c>
      <c r="H76" s="8">
        <f t="shared" ca="1" si="6"/>
        <v>0.16181039311986745</v>
      </c>
    </row>
    <row r="77" spans="5:8" x14ac:dyDescent="0.3">
      <c r="E77" s="8">
        <f t="shared" si="7"/>
        <v>73</v>
      </c>
      <c r="F77" s="8">
        <f t="shared" ca="1" si="4"/>
        <v>1.2759421156115214</v>
      </c>
      <c r="G77" s="8">
        <f t="shared" ca="1" si="5"/>
        <v>1518.9983977977915</v>
      </c>
      <c r="H77" s="8">
        <f t="shared" ca="1" si="6"/>
        <v>0.14517809402635876</v>
      </c>
    </row>
    <row r="78" spans="5:8" x14ac:dyDescent="0.3">
      <c r="E78" s="8">
        <f t="shared" si="7"/>
        <v>74</v>
      </c>
      <c r="F78" s="8">
        <f t="shared" ca="1" si="4"/>
        <v>1.1472976766771557</v>
      </c>
      <c r="G78" s="8">
        <f t="shared" ca="1" si="5"/>
        <v>1799.9096107658459</v>
      </c>
      <c r="H78" s="8">
        <f t="shared" ca="1" si="6"/>
        <v>0.17202615031691157</v>
      </c>
    </row>
    <row r="79" spans="5:8" x14ac:dyDescent="0.3">
      <c r="E79" s="8">
        <f t="shared" si="7"/>
        <v>75</v>
      </c>
      <c r="F79" s="8">
        <f t="shared" ca="1" si="4"/>
        <v>1.4124057401123995</v>
      </c>
      <c r="G79" s="8">
        <f t="shared" ca="1" si="5"/>
        <v>1221.0130157470614</v>
      </c>
      <c r="H79" s="8">
        <f t="shared" ca="1" si="6"/>
        <v>0.11669817602475976</v>
      </c>
    </row>
    <row r="80" spans="5:8" x14ac:dyDescent="0.3">
      <c r="E80" s="8">
        <f t="shared" si="7"/>
        <v>76</v>
      </c>
      <c r="F80" s="8">
        <f t="shared" ca="1" si="4"/>
        <v>1.2702809962856669</v>
      </c>
      <c r="G80" s="8">
        <f t="shared" ca="1" si="5"/>
        <v>1531.3601594857105</v>
      </c>
      <c r="H80" s="8">
        <f t="shared" ca="1" si="6"/>
        <v>0.14635956795237604</v>
      </c>
    </row>
    <row r="81" spans="5:8" x14ac:dyDescent="0.3">
      <c r="E81" s="8">
        <f t="shared" si="7"/>
        <v>77</v>
      </c>
      <c r="F81" s="8">
        <f t="shared" ca="1" si="4"/>
        <v>1.0795011255149121</v>
      </c>
      <c r="G81" s="8">
        <f t="shared" ca="1" si="5"/>
        <v>1947.9518547974999</v>
      </c>
      <c r="H81" s="8">
        <f t="shared" ca="1" si="6"/>
        <v>0.18617527045756474</v>
      </c>
    </row>
    <row r="82" spans="5:8" x14ac:dyDescent="0.3">
      <c r="E82" s="8">
        <f t="shared" si="7"/>
        <v>78</v>
      </c>
      <c r="F82" s="8">
        <f t="shared" ca="1" si="4"/>
        <v>1.2901170302058238</v>
      </c>
      <c r="G82" s="8">
        <f t="shared" ca="1" si="5"/>
        <v>1488.045699916808</v>
      </c>
      <c r="H82" s="8">
        <f t="shared" ca="1" si="6"/>
        <v>0.14221979355030182</v>
      </c>
    </row>
    <row r="83" spans="5:8" x14ac:dyDescent="0.3">
      <c r="E83" s="8">
        <f t="shared" si="7"/>
        <v>79</v>
      </c>
      <c r="F83" s="8">
        <f t="shared" ca="1" si="4"/>
        <v>1.171650114729385</v>
      </c>
      <c r="G83" s="8">
        <f t="shared" ca="1" si="5"/>
        <v>1746.7330182240466</v>
      </c>
      <c r="H83" s="8">
        <f t="shared" ca="1" si="6"/>
        <v>0.16694380371060372</v>
      </c>
    </row>
    <row r="84" spans="5:8" x14ac:dyDescent="0.3">
      <c r="E84" s="8">
        <f t="shared" si="7"/>
        <v>80</v>
      </c>
      <c r="F84" s="8">
        <f t="shared" ca="1" si="4"/>
        <v>1.4193633372464729</v>
      </c>
      <c r="G84" s="8">
        <f t="shared" ca="1" si="5"/>
        <v>1205.8202327051704</v>
      </c>
      <c r="H84" s="8">
        <f t="shared" ca="1" si="6"/>
        <v>0.1152461275642904</v>
      </c>
    </row>
    <row r="85" spans="5:8" x14ac:dyDescent="0.3">
      <c r="E85" s="8">
        <f t="shared" si="7"/>
        <v>81</v>
      </c>
      <c r="F85" s="8">
        <f t="shared" ca="1" si="4"/>
        <v>1.1413358714528901</v>
      </c>
      <c r="G85" s="8">
        <f t="shared" ca="1" si="5"/>
        <v>1812.9279576986828</v>
      </c>
      <c r="H85" s="8">
        <f t="shared" ca="1" si="6"/>
        <v>0.17327037730083941</v>
      </c>
    </row>
    <row r="86" spans="5:8" x14ac:dyDescent="0.3">
      <c r="E86" s="8">
        <f t="shared" si="7"/>
        <v>82</v>
      </c>
      <c r="F86" s="8">
        <f t="shared" ca="1" si="4"/>
        <v>1.2916960638801736</v>
      </c>
      <c r="G86" s="8">
        <f t="shared" ca="1" si="5"/>
        <v>1484.5976825096559</v>
      </c>
      <c r="H86" s="8">
        <f t="shared" ca="1" si="6"/>
        <v>0.1418902496903045</v>
      </c>
    </row>
    <row r="87" spans="5:8" x14ac:dyDescent="0.3">
      <c r="E87" s="8">
        <f t="shared" si="7"/>
        <v>83</v>
      </c>
      <c r="F87" s="8">
        <f t="shared" ca="1" si="4"/>
        <v>1.3237662655975615</v>
      </c>
      <c r="G87" s="8">
        <f t="shared" ca="1" si="5"/>
        <v>1414.5683882845246</v>
      </c>
      <c r="H87" s="8">
        <f t="shared" ca="1" si="6"/>
        <v>0.13519720809371352</v>
      </c>
    </row>
    <row r="88" spans="5:8" x14ac:dyDescent="0.3">
      <c r="E88" s="8">
        <f t="shared" si="7"/>
        <v>84</v>
      </c>
      <c r="F88" s="8">
        <f t="shared" ca="1" si="4"/>
        <v>1.277713940333306</v>
      </c>
      <c r="G88" s="8">
        <f t="shared" ca="1" si="5"/>
        <v>1515.1293970396846</v>
      </c>
      <c r="H88" s="8">
        <f t="shared" ca="1" si="6"/>
        <v>0.1448083147318823</v>
      </c>
    </row>
    <row r="89" spans="5:8" x14ac:dyDescent="0.3">
      <c r="E89" s="8">
        <f t="shared" si="7"/>
        <v>85</v>
      </c>
      <c r="F89" s="8">
        <f t="shared" ca="1" si="4"/>
        <v>1.2308952967356468</v>
      </c>
      <c r="G89" s="8">
        <f t="shared" ca="1" si="5"/>
        <v>1617.3637576656231</v>
      </c>
      <c r="H89" s="8">
        <f t="shared" ca="1" si="6"/>
        <v>0.154579351779186</v>
      </c>
    </row>
    <row r="90" spans="5:8" x14ac:dyDescent="0.3">
      <c r="E90" s="8">
        <f t="shared" si="7"/>
        <v>86</v>
      </c>
      <c r="F90" s="8">
        <f t="shared" ca="1" si="4"/>
        <v>1.3292772412207847</v>
      </c>
      <c r="G90" s="8">
        <f t="shared" ca="1" si="5"/>
        <v>1402.5344841392639</v>
      </c>
      <c r="H90" s="8">
        <f t="shared" ca="1" si="6"/>
        <v>0.13404706911395048</v>
      </c>
    </row>
    <row r="91" spans="5:8" x14ac:dyDescent="0.3">
      <c r="E91" s="8">
        <f t="shared" si="7"/>
        <v>87</v>
      </c>
      <c r="F91" s="8">
        <f t="shared" ca="1" si="4"/>
        <v>1.3835298299947638</v>
      </c>
      <c r="G91" s="8">
        <f t="shared" ca="1" si="5"/>
        <v>1284.0671749776839</v>
      </c>
      <c r="H91" s="8">
        <f t="shared" ca="1" si="6"/>
        <v>0.12272456991089399</v>
      </c>
    </row>
    <row r="92" spans="5:8" x14ac:dyDescent="0.3">
      <c r="E92" s="8">
        <f t="shared" si="7"/>
        <v>88</v>
      </c>
      <c r="F92" s="8">
        <f t="shared" ca="1" si="4"/>
        <v>1.0967775133008413</v>
      </c>
      <c r="G92" s="8">
        <f t="shared" ca="1" si="5"/>
        <v>1910.2267025184503</v>
      </c>
      <c r="H92" s="8">
        <f t="shared" ca="1" si="6"/>
        <v>0.18256969344532642</v>
      </c>
    </row>
    <row r="93" spans="5:8" x14ac:dyDescent="0.3">
      <c r="E93" s="8">
        <f t="shared" si="7"/>
        <v>89</v>
      </c>
      <c r="F93" s="8">
        <f t="shared" ca="1" si="4"/>
        <v>1.1420366219705731</v>
      </c>
      <c r="G93" s="8">
        <f t="shared" ca="1" si="5"/>
        <v>1811.3977813495071</v>
      </c>
      <c r="H93" s="8">
        <f t="shared" ca="1" si="6"/>
        <v>0.17312413087541881</v>
      </c>
    </row>
    <row r="94" spans="5:8" x14ac:dyDescent="0.3">
      <c r="E94" s="8">
        <f t="shared" si="7"/>
        <v>90</v>
      </c>
      <c r="F94" s="8">
        <f t="shared" ca="1" si="4"/>
        <v>1.3568326360523055</v>
      </c>
      <c r="G94" s="8">
        <f t="shared" ca="1" si="5"/>
        <v>1342.3638351002842</v>
      </c>
      <c r="H94" s="8">
        <f t="shared" ca="1" si="6"/>
        <v>0.12829626637678335</v>
      </c>
    </row>
    <row r="95" spans="5:8" x14ac:dyDescent="0.3">
      <c r="E95" s="8">
        <f t="shared" si="7"/>
        <v>91</v>
      </c>
      <c r="F95" s="8">
        <f t="shared" ca="1" si="4"/>
        <v>0.90566350756149294</v>
      </c>
      <c r="G95" s="8">
        <f t="shared" ca="1" si="5"/>
        <v>2327.5480233010348</v>
      </c>
      <c r="H95" s="8">
        <f t="shared" ca="1" si="6"/>
        <v>0.22245512981946239</v>
      </c>
    </row>
    <row r="96" spans="5:8" x14ac:dyDescent="0.3">
      <c r="E96" s="8">
        <f t="shared" si="7"/>
        <v>92</v>
      </c>
      <c r="F96" s="8">
        <f t="shared" ca="1" si="4"/>
        <v>1.1626061315595684</v>
      </c>
      <c r="G96" s="8">
        <f t="shared" ca="1" si="5"/>
        <v>1766.4816859732373</v>
      </c>
      <c r="H96" s="8">
        <f t="shared" ca="1" si="6"/>
        <v>0.16883128031857375</v>
      </c>
    </row>
    <row r="97" spans="5:8" x14ac:dyDescent="0.3">
      <c r="E97" s="8">
        <f t="shared" si="7"/>
        <v>93</v>
      </c>
      <c r="F97" s="8">
        <f t="shared" ca="1" si="4"/>
        <v>1.1851942124848407</v>
      </c>
      <c r="G97" s="8">
        <f t="shared" ca="1" si="5"/>
        <v>1717.1577877627897</v>
      </c>
      <c r="H97" s="8">
        <f t="shared" ca="1" si="6"/>
        <v>0.16411715452191433</v>
      </c>
    </row>
    <row r="98" spans="5:8" x14ac:dyDescent="0.3">
      <c r="E98" s="8">
        <f t="shared" si="7"/>
        <v>94</v>
      </c>
      <c r="F98" s="8">
        <f t="shared" ca="1" si="4"/>
        <v>1.1048914782555443</v>
      </c>
      <c r="G98" s="8">
        <f t="shared" ca="1" si="5"/>
        <v>1892.5088457942368</v>
      </c>
      <c r="H98" s="8">
        <f t="shared" ca="1" si="6"/>
        <v>0.18087631136330276</v>
      </c>
    </row>
    <row r="99" spans="5:8" x14ac:dyDescent="0.3">
      <c r="E99" s="8">
        <f t="shared" si="7"/>
        <v>95</v>
      </c>
      <c r="F99" s="8">
        <f t="shared" ca="1" si="4"/>
        <v>1.5778616053640373</v>
      </c>
      <c r="G99" s="8">
        <f t="shared" ca="1" si="5"/>
        <v>859.71945198695391</v>
      </c>
      <c r="H99" s="8">
        <f t="shared" ca="1" si="6"/>
        <v>8.216758596836031E-2</v>
      </c>
    </row>
    <row r="100" spans="5:8" x14ac:dyDescent="0.3">
      <c r="E100" s="8">
        <f t="shared" si="7"/>
        <v>96</v>
      </c>
      <c r="F100" s="8">
        <f t="shared" ca="1" si="4"/>
        <v>0.99403531048705884</v>
      </c>
      <c r="G100" s="8">
        <f t="shared" ca="1" si="5"/>
        <v>2134.5771451376959</v>
      </c>
      <c r="H100" s="8">
        <f t="shared" ca="1" si="6"/>
        <v>0.20401196073188338</v>
      </c>
    </row>
    <row r="101" spans="5:8" x14ac:dyDescent="0.3">
      <c r="E101" s="8">
        <f t="shared" si="7"/>
        <v>97</v>
      </c>
      <c r="F101" s="8">
        <f t="shared" ca="1" si="4"/>
        <v>1.3388236057008307</v>
      </c>
      <c r="G101" s="8">
        <f t="shared" ca="1" si="5"/>
        <v>1381.6888040015233</v>
      </c>
      <c r="H101" s="8">
        <f t="shared" ca="1" si="6"/>
        <v>0.13205474567538214</v>
      </c>
    </row>
    <row r="102" spans="5:8" x14ac:dyDescent="0.3">
      <c r="E102" s="8">
        <f t="shared" si="7"/>
        <v>98</v>
      </c>
      <c r="F102" s="8">
        <f t="shared" ca="1" si="4"/>
        <v>1.0528340233473086</v>
      </c>
      <c r="G102" s="8">
        <f t="shared" ca="1" si="5"/>
        <v>2006.1828057682333</v>
      </c>
      <c r="H102" s="8">
        <f t="shared" ca="1" si="6"/>
        <v>0.19174068677895759</v>
      </c>
    </row>
    <row r="103" spans="5:8" x14ac:dyDescent="0.3">
      <c r="E103" s="8">
        <f t="shared" si="7"/>
        <v>99</v>
      </c>
      <c r="F103" s="8">
        <f t="shared" ca="1" si="4"/>
        <v>1.500120634752967</v>
      </c>
      <c r="G103" s="8">
        <f t="shared" ca="1" si="5"/>
        <v>1029.4765789375524</v>
      </c>
      <c r="H103" s="8">
        <f t="shared" ca="1" si="6"/>
        <v>9.8392103501629788E-2</v>
      </c>
    </row>
    <row r="104" spans="5:8" x14ac:dyDescent="0.3">
      <c r="E104" s="8">
        <f t="shared" si="7"/>
        <v>100</v>
      </c>
      <c r="F104" s="8">
        <f t="shared" ca="1" si="4"/>
        <v>1.2301154824693792</v>
      </c>
      <c r="G104" s="8">
        <f t="shared" ca="1" si="5"/>
        <v>1619.0665795928016</v>
      </c>
      <c r="H104" s="8">
        <f t="shared" ca="1" si="6"/>
        <v>0.15474209878551101</v>
      </c>
    </row>
    <row r="105" spans="5:8" x14ac:dyDescent="0.3">
      <c r="E105" s="8">
        <f t="shared" si="7"/>
        <v>101</v>
      </c>
      <c r="F105" s="8">
        <f t="shared" ca="1" si="4"/>
        <v>1.2615402836131788</v>
      </c>
      <c r="G105" s="8">
        <f t="shared" ca="1" si="5"/>
        <v>1550.4465981951723</v>
      </c>
      <c r="H105" s="8">
        <f t="shared" ca="1" si="6"/>
        <v>0.14818375209740728</v>
      </c>
    </row>
    <row r="106" spans="5:8" x14ac:dyDescent="0.3">
      <c r="E106" s="8">
        <f t="shared" si="7"/>
        <v>102</v>
      </c>
      <c r="F106" s="8">
        <f t="shared" ca="1" si="4"/>
        <v>1.0286902524771939</v>
      </c>
      <c r="G106" s="8">
        <f t="shared" ca="1" si="5"/>
        <v>2058.9037474344873</v>
      </c>
      <c r="H106" s="8">
        <f t="shared" ca="1" si="6"/>
        <v>0.19677948460618247</v>
      </c>
    </row>
    <row r="107" spans="5:8" x14ac:dyDescent="0.3">
      <c r="E107" s="8">
        <f t="shared" si="7"/>
        <v>103</v>
      </c>
      <c r="F107" s="8">
        <f t="shared" ca="1" si="4"/>
        <v>1.2397075614936868</v>
      </c>
      <c r="G107" s="8">
        <f t="shared" ca="1" si="5"/>
        <v>1598.1210760333481</v>
      </c>
      <c r="H107" s="8">
        <f t="shared" ca="1" si="6"/>
        <v>0.15274023473509971</v>
      </c>
    </row>
    <row r="108" spans="5:8" x14ac:dyDescent="0.3">
      <c r="E108" s="8">
        <f t="shared" si="7"/>
        <v>104</v>
      </c>
      <c r="F108" s="8">
        <f t="shared" ca="1" si="4"/>
        <v>1.0078918193490316</v>
      </c>
      <c r="G108" s="8">
        <f t="shared" ca="1" si="5"/>
        <v>2104.3197259739709</v>
      </c>
      <c r="H108" s="8">
        <f t="shared" ca="1" si="6"/>
        <v>0.20112011143782577</v>
      </c>
    </row>
    <row r="109" spans="5:8" x14ac:dyDescent="0.3">
      <c r="E109" s="8">
        <f t="shared" si="7"/>
        <v>105</v>
      </c>
      <c r="F109" s="8">
        <f t="shared" ca="1" si="4"/>
        <v>1.3044663046520477</v>
      </c>
      <c r="G109" s="8">
        <f t="shared" ca="1" si="5"/>
        <v>1456.7122655041721</v>
      </c>
      <c r="H109" s="8">
        <f t="shared" ca="1" si="6"/>
        <v>0.13922510422480858</v>
      </c>
    </row>
    <row r="110" spans="5:8" x14ac:dyDescent="0.3">
      <c r="E110" s="8">
        <f t="shared" si="7"/>
        <v>106</v>
      </c>
      <c r="F110" s="8">
        <f t="shared" ca="1" si="4"/>
        <v>1.1778023944237719</v>
      </c>
      <c r="G110" s="8">
        <f t="shared" ca="1" si="5"/>
        <v>1733.298746476391</v>
      </c>
      <c r="H110" s="8">
        <f t="shared" ca="1" si="6"/>
        <v>0.16565982476119573</v>
      </c>
    </row>
    <row r="111" spans="5:8" x14ac:dyDescent="0.3">
      <c r="E111" s="8">
        <f t="shared" si="7"/>
        <v>107</v>
      </c>
      <c r="F111" s="8">
        <f t="shared" ca="1" si="4"/>
        <v>1.0088065404710214</v>
      </c>
      <c r="G111" s="8">
        <f t="shared" ca="1" si="5"/>
        <v>2102.3223180639657</v>
      </c>
      <c r="H111" s="8">
        <f t="shared" ca="1" si="6"/>
        <v>0.20092920941068199</v>
      </c>
    </row>
    <row r="112" spans="5:8" x14ac:dyDescent="0.3">
      <c r="E112" s="8">
        <f t="shared" si="7"/>
        <v>108</v>
      </c>
      <c r="F112" s="8">
        <f t="shared" ca="1" si="4"/>
        <v>1.1799407953885965</v>
      </c>
      <c r="G112" s="8">
        <f t="shared" ca="1" si="5"/>
        <v>1728.6292806695758</v>
      </c>
      <c r="H112" s="8">
        <f t="shared" ca="1" si="6"/>
        <v>0.16521354111340683</v>
      </c>
    </row>
    <row r="113" spans="5:8" x14ac:dyDescent="0.3">
      <c r="E113" s="8">
        <f t="shared" si="7"/>
        <v>109</v>
      </c>
      <c r="F113" s="8">
        <f t="shared" ca="1" si="4"/>
        <v>1.052867033726121</v>
      </c>
      <c r="G113" s="8">
        <f t="shared" ca="1" si="5"/>
        <v>2006.1107234797989</v>
      </c>
      <c r="H113" s="8">
        <f t="shared" ca="1" si="6"/>
        <v>0.19173379752267983</v>
      </c>
    </row>
    <row r="114" spans="5:8" x14ac:dyDescent="0.3">
      <c r="E114" s="8">
        <f t="shared" si="7"/>
        <v>110</v>
      </c>
      <c r="F114" s="8">
        <f t="shared" ca="1" si="4"/>
        <v>0.98194581946719561</v>
      </c>
      <c r="G114" s="8">
        <f t="shared" ca="1" si="5"/>
        <v>2160.9760599659448</v>
      </c>
      <c r="H114" s="8">
        <f t="shared" ca="1" si="6"/>
        <v>0.20653503392582861</v>
      </c>
    </row>
    <row r="115" spans="5:8" x14ac:dyDescent="0.3">
      <c r="E115" s="8">
        <f t="shared" si="7"/>
        <v>111</v>
      </c>
      <c r="F115" s="8">
        <f t="shared" ca="1" si="4"/>
        <v>1.1272799847969914</v>
      </c>
      <c r="G115" s="8">
        <f t="shared" ca="1" si="5"/>
        <v>1843.6207431976695</v>
      </c>
      <c r="H115" s="8">
        <f t="shared" ca="1" si="6"/>
        <v>0.17620383668141734</v>
      </c>
    </row>
    <row r="116" spans="5:8" x14ac:dyDescent="0.3">
      <c r="E116" s="8">
        <f t="shared" si="7"/>
        <v>112</v>
      </c>
      <c r="F116" s="8">
        <f t="shared" ca="1" si="4"/>
        <v>1.2559994389668401</v>
      </c>
      <c r="G116" s="8">
        <f t="shared" ca="1" si="5"/>
        <v>1562.5457250860336</v>
      </c>
      <c r="H116" s="8">
        <f t="shared" ca="1" si="6"/>
        <v>0.14934012473344485</v>
      </c>
    </row>
    <row r="117" spans="5:8" x14ac:dyDescent="0.3">
      <c r="E117" s="8">
        <f t="shared" si="7"/>
        <v>113</v>
      </c>
      <c r="F117" s="8">
        <f t="shared" ca="1" si="4"/>
        <v>1.0754768718072711</v>
      </c>
      <c r="G117" s="8">
        <f t="shared" ca="1" si="5"/>
        <v>1956.7393157998474</v>
      </c>
      <c r="H117" s="8">
        <f t="shared" ca="1" si="6"/>
        <v>0.18701513101403491</v>
      </c>
    </row>
    <row r="118" spans="5:8" x14ac:dyDescent="0.3">
      <c r="E118" s="8">
        <f t="shared" si="7"/>
        <v>114</v>
      </c>
      <c r="F118" s="8">
        <f t="shared" ca="1" si="4"/>
        <v>1.4631893381973464</v>
      </c>
      <c r="G118" s="8">
        <f t="shared" ca="1" si="5"/>
        <v>1110.1206813788194</v>
      </c>
      <c r="H118" s="8">
        <f t="shared" ca="1" si="6"/>
        <v>0.10609965415070433</v>
      </c>
    </row>
    <row r="119" spans="5:8" x14ac:dyDescent="0.3">
      <c r="E119" s="8">
        <f t="shared" si="7"/>
        <v>115</v>
      </c>
      <c r="F119" s="8">
        <f t="shared" ca="1" si="4"/>
        <v>1.3508054395594022</v>
      </c>
      <c r="G119" s="8">
        <f t="shared" ca="1" si="5"/>
        <v>1355.5249720421002</v>
      </c>
      <c r="H119" s="8">
        <f t="shared" ca="1" si="6"/>
        <v>0.12955414049910161</v>
      </c>
    </row>
    <row r="120" spans="5:8" x14ac:dyDescent="0.3">
      <c r="E120" s="8">
        <f t="shared" si="7"/>
        <v>116</v>
      </c>
      <c r="F120" s="8">
        <f t="shared" ca="1" si="4"/>
        <v>1.1739406378302004</v>
      </c>
      <c r="G120" s="8">
        <f t="shared" ca="1" si="5"/>
        <v>1741.7313747180285</v>
      </c>
      <c r="H120" s="8">
        <f t="shared" ca="1" si="6"/>
        <v>0.1664657722181046</v>
      </c>
    </row>
    <row r="121" spans="5:8" x14ac:dyDescent="0.3">
      <c r="E121" s="8">
        <f t="shared" si="7"/>
        <v>117</v>
      </c>
      <c r="F121" s="8">
        <f t="shared" ca="1" si="4"/>
        <v>1.2133637226682632</v>
      </c>
      <c r="G121" s="8">
        <f t="shared" ca="1" si="5"/>
        <v>1655.6461410885136</v>
      </c>
      <c r="H121" s="8">
        <f t="shared" ca="1" si="6"/>
        <v>0.15823818609275672</v>
      </c>
    </row>
    <row r="122" spans="5:8" x14ac:dyDescent="0.3">
      <c r="E122" s="8">
        <f t="shared" si="7"/>
        <v>118</v>
      </c>
      <c r="F122" s="8">
        <f t="shared" ca="1" si="4"/>
        <v>1.2565015472086922</v>
      </c>
      <c r="G122" s="8">
        <f t="shared" ca="1" si="5"/>
        <v>1561.4493089764194</v>
      </c>
      <c r="H122" s="8">
        <f t="shared" ca="1" si="6"/>
        <v>0.14923533489213603</v>
      </c>
    </row>
    <row r="123" spans="5:8" x14ac:dyDescent="0.3">
      <c r="E123" s="8">
        <f t="shared" si="7"/>
        <v>119</v>
      </c>
      <c r="F123" s="8">
        <f t="shared" ca="1" si="4"/>
        <v>1.371426731723858</v>
      </c>
      <c r="G123" s="8">
        <f t="shared" ca="1" si="5"/>
        <v>1310.4958029394904</v>
      </c>
      <c r="H123" s="8">
        <f t="shared" ca="1" si="6"/>
        <v>0.12525048293410021</v>
      </c>
    </row>
    <row r="124" spans="5:8" x14ac:dyDescent="0.3">
      <c r="E124" s="8">
        <f t="shared" si="7"/>
        <v>120</v>
      </c>
      <c r="F124" s="8">
        <f t="shared" ca="1" si="4"/>
        <v>1.0606148513307541</v>
      </c>
      <c r="G124" s="8">
        <f t="shared" ca="1" si="5"/>
        <v>1989.192395262882</v>
      </c>
      <c r="H124" s="8">
        <f t="shared" ca="1" si="6"/>
        <v>0.19011683028413284</v>
      </c>
    </row>
    <row r="125" spans="5:8" x14ac:dyDescent="0.3">
      <c r="E125" s="8">
        <f t="shared" si="7"/>
        <v>121</v>
      </c>
      <c r="F125" s="8">
        <f t="shared" ca="1" si="4"/>
        <v>1.0872514998702314</v>
      </c>
      <c r="G125" s="8">
        <f t="shared" ca="1" si="5"/>
        <v>1931.0279435958657</v>
      </c>
      <c r="H125" s="8">
        <f t="shared" ca="1" si="6"/>
        <v>0.18455776962590709</v>
      </c>
    </row>
    <row r="126" spans="5:8" x14ac:dyDescent="0.3">
      <c r="E126" s="8">
        <f t="shared" si="7"/>
        <v>122</v>
      </c>
      <c r="F126" s="8">
        <f t="shared" ca="1" si="4"/>
        <v>0.86838193753433646</v>
      </c>
      <c r="G126" s="8">
        <f t="shared" ca="1" si="5"/>
        <v>2408.9569916515843</v>
      </c>
      <c r="H126" s="8">
        <f t="shared" ca="1" si="6"/>
        <v>0.23023578243826667</v>
      </c>
    </row>
    <row r="127" spans="5:8" x14ac:dyDescent="0.3">
      <c r="E127" s="8">
        <f t="shared" si="7"/>
        <v>123</v>
      </c>
      <c r="F127" s="8">
        <f t="shared" ca="1" si="4"/>
        <v>1.1503989637494849</v>
      </c>
      <c r="G127" s="8">
        <f t="shared" ca="1" si="5"/>
        <v>1793.1375627825309</v>
      </c>
      <c r="H127" s="8">
        <f t="shared" ca="1" si="6"/>
        <v>0.17137891262377244</v>
      </c>
    </row>
    <row r="128" spans="5:8" x14ac:dyDescent="0.3">
      <c r="E128" s="8">
        <f t="shared" si="7"/>
        <v>124</v>
      </c>
      <c r="F128" s="8">
        <f t="shared" ca="1" si="4"/>
        <v>1.4978077964275553</v>
      </c>
      <c r="G128" s="8">
        <f t="shared" ca="1" si="5"/>
        <v>1034.5269505258793</v>
      </c>
      <c r="H128" s="8">
        <f t="shared" ca="1" si="6"/>
        <v>9.8874792174890508E-2</v>
      </c>
    </row>
    <row r="129" spans="5:8" x14ac:dyDescent="0.3">
      <c r="E129" s="8">
        <f t="shared" si="7"/>
        <v>125</v>
      </c>
      <c r="F129" s="8">
        <f t="shared" ca="1" si="4"/>
        <v>1.4626459220911256</v>
      </c>
      <c r="G129" s="8">
        <f t="shared" ca="1" si="5"/>
        <v>1111.3072983737657</v>
      </c>
      <c r="H129" s="8">
        <f t="shared" ca="1" si="6"/>
        <v>0.10621306493106811</v>
      </c>
    </row>
    <row r="130" spans="5:8" x14ac:dyDescent="0.3">
      <c r="E130" s="8">
        <f t="shared" si="7"/>
        <v>126</v>
      </c>
      <c r="F130" s="8">
        <f t="shared" ca="1" si="4"/>
        <v>1.2859090244663309</v>
      </c>
      <c r="G130" s="8">
        <f t="shared" ca="1" si="5"/>
        <v>1497.2344064497079</v>
      </c>
      <c r="H130" s="8">
        <f t="shared" ca="1" si="6"/>
        <v>0.14309800310137702</v>
      </c>
    </row>
    <row r="131" spans="5:8" x14ac:dyDescent="0.3">
      <c r="E131" s="8">
        <f t="shared" si="7"/>
        <v>127</v>
      </c>
      <c r="F131" s="8">
        <f t="shared" ca="1" si="4"/>
        <v>1.1569128471227939</v>
      </c>
      <c r="G131" s="8">
        <f t="shared" ca="1" si="5"/>
        <v>1778.9136842014891</v>
      </c>
      <c r="H131" s="8">
        <f t="shared" ca="1" si="6"/>
        <v>0.17001946709371013</v>
      </c>
    </row>
    <row r="132" spans="5:8" x14ac:dyDescent="0.3">
      <c r="E132" s="8">
        <f t="shared" si="7"/>
        <v>128</v>
      </c>
      <c r="F132" s="8">
        <f t="shared" ca="1" si="4"/>
        <v>0.90913036886534138</v>
      </c>
      <c r="G132" s="8">
        <f t="shared" ca="1" si="5"/>
        <v>2319.9776982864187</v>
      </c>
      <c r="H132" s="8">
        <f t="shared" ca="1" si="6"/>
        <v>0.22173159689251828</v>
      </c>
    </row>
    <row r="133" spans="5:8" x14ac:dyDescent="0.3">
      <c r="E133" s="8">
        <f t="shared" si="7"/>
        <v>129</v>
      </c>
      <c r="F133" s="8">
        <f t="shared" ref="F133:F196" ca="1" si="8">_xlfn.NORM.INV(RAND(), $C$9, $C$9 * $C$10)</f>
        <v>1.3013959230082985</v>
      </c>
      <c r="G133" s="8">
        <f t="shared" ref="G133:G196" ca="1" si="9">$C$7 - ($C$6 + ($C$8 * $C$11)) - (($C$6 + ($C$8 * $C$11)) * (1 - $C$12) * (F133 - $C$13))</f>
        <v>1463.4168276210039</v>
      </c>
      <c r="H133" s="8">
        <f t="shared" ref="H133:H196" ca="1" si="10">G133 / $C$7</f>
        <v>0.1398658919641598</v>
      </c>
    </row>
    <row r="134" spans="5:8" x14ac:dyDescent="0.3">
      <c r="E134" s="8">
        <f t="shared" ref="E134:E197" si="11">ROW()-4</f>
        <v>130</v>
      </c>
      <c r="F134" s="8">
        <f t="shared" ca="1" si="8"/>
        <v>1.0174457736563771</v>
      </c>
      <c r="G134" s="8">
        <f t="shared" ca="1" si="9"/>
        <v>2083.4574724995932</v>
      </c>
      <c r="H134" s="8">
        <f t="shared" ca="1" si="10"/>
        <v>0.19912620400454872</v>
      </c>
    </row>
    <row r="135" spans="5:8" x14ac:dyDescent="0.3">
      <c r="E135" s="8">
        <f t="shared" si="11"/>
        <v>131</v>
      </c>
      <c r="F135" s="8">
        <f t="shared" ca="1" si="8"/>
        <v>1.2143900228763269</v>
      </c>
      <c r="G135" s="8">
        <f t="shared" ca="1" si="9"/>
        <v>1653.4050862966806</v>
      </c>
      <c r="H135" s="8">
        <f t="shared" ca="1" si="10"/>
        <v>0.15802399754340826</v>
      </c>
    </row>
    <row r="136" spans="5:8" x14ac:dyDescent="0.3">
      <c r="E136" s="8">
        <f t="shared" si="11"/>
        <v>132</v>
      </c>
      <c r="F136" s="8">
        <f t="shared" ca="1" si="8"/>
        <v>1.2327055576456238</v>
      </c>
      <c r="G136" s="8">
        <f t="shared" ca="1" si="9"/>
        <v>1613.4108266860744</v>
      </c>
      <c r="H136" s="8">
        <f t="shared" ca="1" si="10"/>
        <v>0.15420155086362175</v>
      </c>
    </row>
    <row r="137" spans="5:8" x14ac:dyDescent="0.3">
      <c r="E137" s="8">
        <f t="shared" si="11"/>
        <v>133</v>
      </c>
      <c r="F137" s="8">
        <f t="shared" ca="1" si="8"/>
        <v>1.2667769657337087</v>
      </c>
      <c r="G137" s="8">
        <f t="shared" ca="1" si="9"/>
        <v>1539.0116481997302</v>
      </c>
      <c r="H137" s="8">
        <f t="shared" ca="1" si="10"/>
        <v>0.14709085809038805</v>
      </c>
    </row>
    <row r="138" spans="5:8" x14ac:dyDescent="0.3">
      <c r="E138" s="8">
        <f t="shared" si="11"/>
        <v>134</v>
      </c>
      <c r="F138" s="8">
        <f t="shared" ca="1" si="8"/>
        <v>0.94633530824343037</v>
      </c>
      <c r="G138" s="8">
        <f t="shared" ca="1" si="9"/>
        <v>2238.7360625369392</v>
      </c>
      <c r="H138" s="8">
        <f t="shared" ca="1" si="10"/>
        <v>0.21396693706747005</v>
      </c>
    </row>
    <row r="139" spans="5:8" x14ac:dyDescent="0.3">
      <c r="E139" s="8">
        <f t="shared" si="11"/>
        <v>135</v>
      </c>
      <c r="F139" s="8">
        <f t="shared" ca="1" si="8"/>
        <v>1.3729909701462994</v>
      </c>
      <c r="G139" s="8">
        <f t="shared" ca="1" si="9"/>
        <v>1307.0800928142867</v>
      </c>
      <c r="H139" s="8">
        <f t="shared" ca="1" si="10"/>
        <v>0.12492402683879257</v>
      </c>
    </row>
    <row r="140" spans="5:8" x14ac:dyDescent="0.3">
      <c r="E140" s="8">
        <f t="shared" si="11"/>
        <v>136</v>
      </c>
      <c r="F140" s="8">
        <f t="shared" ca="1" si="8"/>
        <v>1.0823394455891102</v>
      </c>
      <c r="G140" s="8">
        <f t="shared" ca="1" si="9"/>
        <v>1941.7540281254792</v>
      </c>
      <c r="H140" s="8">
        <f t="shared" ca="1" si="10"/>
        <v>0.18558291389902315</v>
      </c>
    </row>
    <row r="141" spans="5:8" x14ac:dyDescent="0.3">
      <c r="E141" s="8">
        <f t="shared" si="11"/>
        <v>137</v>
      </c>
      <c r="F141" s="8">
        <f t="shared" ca="1" si="8"/>
        <v>0.97341570215133733</v>
      </c>
      <c r="G141" s="8">
        <f t="shared" ca="1" si="9"/>
        <v>2179.6026373897857</v>
      </c>
      <c r="H141" s="8">
        <f t="shared" ca="1" si="10"/>
        <v>0.20831526688232685</v>
      </c>
    </row>
    <row r="142" spans="5:8" x14ac:dyDescent="0.3">
      <c r="E142" s="8">
        <f t="shared" si="11"/>
        <v>138</v>
      </c>
      <c r="F142" s="8">
        <f t="shared" ca="1" si="8"/>
        <v>1.1364118116275514</v>
      </c>
      <c r="G142" s="8">
        <f t="shared" ca="1" si="9"/>
        <v>1823.6802578347879</v>
      </c>
      <c r="H142" s="8">
        <f t="shared" ca="1" si="10"/>
        <v>0.17429802712747661</v>
      </c>
    </row>
    <row r="143" spans="5:8" x14ac:dyDescent="0.3">
      <c r="E143" s="8">
        <f t="shared" si="11"/>
        <v>139</v>
      </c>
      <c r="F143" s="8">
        <f t="shared" ca="1" si="8"/>
        <v>1.1107194793056294</v>
      </c>
      <c r="G143" s="8">
        <f t="shared" ca="1" si="9"/>
        <v>1879.7826770012448</v>
      </c>
      <c r="H143" s="8">
        <f t="shared" ca="1" si="10"/>
        <v>0.1796600092708826</v>
      </c>
    </row>
    <row r="144" spans="5:8" x14ac:dyDescent="0.3">
      <c r="E144" s="8">
        <f t="shared" si="11"/>
        <v>140</v>
      </c>
      <c r="F144" s="8">
        <f t="shared" ca="1" si="8"/>
        <v>1.1166463083984821</v>
      </c>
      <c r="G144" s="8">
        <f t="shared" ca="1" si="9"/>
        <v>1866.8407048233644</v>
      </c>
      <c r="H144" s="8">
        <f t="shared" ca="1" si="10"/>
        <v>0.17842308179521785</v>
      </c>
    </row>
    <row r="145" spans="5:8" x14ac:dyDescent="0.3">
      <c r="E145" s="8">
        <f t="shared" si="11"/>
        <v>141</v>
      </c>
      <c r="F145" s="8">
        <f t="shared" ca="1" si="8"/>
        <v>1.1942615342280332</v>
      </c>
      <c r="G145" s="8">
        <f t="shared" ca="1" si="9"/>
        <v>1697.358157321311</v>
      </c>
      <c r="H145" s="8">
        <f t="shared" ca="1" si="10"/>
        <v>0.16222480716059554</v>
      </c>
    </row>
    <row r="146" spans="5:8" x14ac:dyDescent="0.3">
      <c r="E146" s="8">
        <f t="shared" si="11"/>
        <v>142</v>
      </c>
      <c r="F146" s="8">
        <f t="shared" ca="1" si="8"/>
        <v>1.2659780586797358</v>
      </c>
      <c r="G146" s="8">
        <f t="shared" ca="1" si="9"/>
        <v>1540.7561616154619</v>
      </c>
      <c r="H146" s="8">
        <f t="shared" ca="1" si="10"/>
        <v>0.14725758975585032</v>
      </c>
    </row>
    <row r="147" spans="5:8" x14ac:dyDescent="0.3">
      <c r="E147" s="8">
        <f t="shared" si="11"/>
        <v>143</v>
      </c>
      <c r="F147" s="8">
        <f t="shared" ca="1" si="8"/>
        <v>1.0277052041874313</v>
      </c>
      <c r="G147" s="8">
        <f t="shared" ca="1" si="9"/>
        <v>2061.0547235062204</v>
      </c>
      <c r="H147" s="8">
        <f t="shared" ca="1" si="10"/>
        <v>0.19698506389240375</v>
      </c>
    </row>
    <row r="148" spans="5:8" x14ac:dyDescent="0.3">
      <c r="E148" s="8">
        <f t="shared" si="11"/>
        <v>144</v>
      </c>
      <c r="F148" s="8">
        <f t="shared" ca="1" si="8"/>
        <v>1.3955840414498848</v>
      </c>
      <c r="G148" s="8">
        <f t="shared" ca="1" si="9"/>
        <v>1257.7452974889952</v>
      </c>
      <c r="H148" s="8">
        <f t="shared" ca="1" si="10"/>
        <v>0.12020885955165776</v>
      </c>
    </row>
    <row r="149" spans="5:8" x14ac:dyDescent="0.3">
      <c r="E149" s="8">
        <f t="shared" si="11"/>
        <v>145</v>
      </c>
      <c r="F149" s="8">
        <f t="shared" ca="1" si="8"/>
        <v>1.3119259055939938</v>
      </c>
      <c r="G149" s="8">
        <f t="shared" ca="1" si="9"/>
        <v>1440.4232943973152</v>
      </c>
      <c r="H149" s="8">
        <f t="shared" ca="1" si="10"/>
        <v>0.13766828771837095</v>
      </c>
    </row>
    <row r="150" spans="5:8" x14ac:dyDescent="0.3">
      <c r="E150" s="8">
        <f t="shared" si="11"/>
        <v>146</v>
      </c>
      <c r="F150" s="8">
        <f t="shared" ca="1" si="8"/>
        <v>1.2441950580245602</v>
      </c>
      <c r="G150" s="8">
        <f t="shared" ca="1" si="9"/>
        <v>1588.3220664211196</v>
      </c>
      <c r="H150" s="8">
        <f t="shared" ca="1" si="10"/>
        <v>0.15180369553867148</v>
      </c>
    </row>
    <row r="151" spans="5:8" x14ac:dyDescent="0.3">
      <c r="E151" s="8">
        <f t="shared" si="11"/>
        <v>147</v>
      </c>
      <c r="F151" s="8">
        <f t="shared" ca="1" si="8"/>
        <v>1.0310506072976744</v>
      </c>
      <c r="G151" s="8">
        <f t="shared" ca="1" si="9"/>
        <v>2053.7496176396157</v>
      </c>
      <c r="H151" s="8">
        <f t="shared" ca="1" si="10"/>
        <v>0.19628687925447919</v>
      </c>
    </row>
    <row r="152" spans="5:8" x14ac:dyDescent="0.3">
      <c r="E152" s="8">
        <f t="shared" si="11"/>
        <v>148</v>
      </c>
      <c r="F152" s="8">
        <f t="shared" ca="1" si="8"/>
        <v>1.3798150922007526</v>
      </c>
      <c r="G152" s="8">
        <f t="shared" ca="1" si="9"/>
        <v>1292.1787692931314</v>
      </c>
      <c r="H152" s="8">
        <f t="shared" ca="1" si="10"/>
        <v>0.12349983458789367</v>
      </c>
    </row>
    <row r="153" spans="5:8" x14ac:dyDescent="0.3">
      <c r="E153" s="8">
        <f t="shared" si="11"/>
        <v>149</v>
      </c>
      <c r="F153" s="8">
        <f t="shared" ca="1" si="8"/>
        <v>1.2499004087106971</v>
      </c>
      <c r="G153" s="8">
        <f t="shared" ca="1" si="9"/>
        <v>1575.8637200291039</v>
      </c>
      <c r="H153" s="8">
        <f t="shared" ca="1" si="10"/>
        <v>0.15061299054086819</v>
      </c>
    </row>
    <row r="154" spans="5:8" x14ac:dyDescent="0.3">
      <c r="E154" s="8">
        <f t="shared" si="11"/>
        <v>150</v>
      </c>
      <c r="F154" s="8">
        <f t="shared" ca="1" si="8"/>
        <v>1.1549408339417626</v>
      </c>
      <c r="G154" s="8">
        <f t="shared" ca="1" si="9"/>
        <v>1783.2198214839184</v>
      </c>
      <c r="H154" s="8">
        <f t="shared" ca="1" si="10"/>
        <v>0.17043102566031906</v>
      </c>
    </row>
    <row r="155" spans="5:8" x14ac:dyDescent="0.3">
      <c r="E155" s="8">
        <f t="shared" si="11"/>
        <v>151</v>
      </c>
      <c r="F155" s="8">
        <f t="shared" ca="1" si="8"/>
        <v>1.1174527949713289</v>
      </c>
      <c r="G155" s="8">
        <f t="shared" ca="1" si="9"/>
        <v>1865.0796405807318</v>
      </c>
      <c r="H155" s="8">
        <f t="shared" ca="1" si="10"/>
        <v>0.17825476828641229</v>
      </c>
    </row>
    <row r="156" spans="5:8" x14ac:dyDescent="0.3">
      <c r="E156" s="8">
        <f t="shared" si="11"/>
        <v>152</v>
      </c>
      <c r="F156" s="8">
        <f t="shared" ca="1" si="8"/>
        <v>1.0328168575689316</v>
      </c>
      <c r="G156" s="8">
        <f t="shared" ca="1" si="9"/>
        <v>2049.8927893910418</v>
      </c>
      <c r="H156" s="8">
        <f t="shared" ca="1" si="10"/>
        <v>0.19591826334617621</v>
      </c>
    </row>
    <row r="157" spans="5:8" x14ac:dyDescent="0.3">
      <c r="E157" s="8">
        <f t="shared" si="11"/>
        <v>153</v>
      </c>
      <c r="F157" s="8">
        <f t="shared" ca="1" si="8"/>
        <v>1.1935677369560991</v>
      </c>
      <c r="G157" s="8">
        <f t="shared" ca="1" si="9"/>
        <v>1698.8731503892379</v>
      </c>
      <c r="H157" s="8">
        <f t="shared" ca="1" si="10"/>
        <v>0.16236960244568843</v>
      </c>
    </row>
    <row r="158" spans="5:8" x14ac:dyDescent="0.3">
      <c r="E158" s="8">
        <f t="shared" si="11"/>
        <v>154</v>
      </c>
      <c r="F158" s="8">
        <f t="shared" ca="1" si="8"/>
        <v>1.3440201226102269</v>
      </c>
      <c r="G158" s="8">
        <f t="shared" ca="1" si="9"/>
        <v>1370.3415597652433</v>
      </c>
      <c r="H158" s="8">
        <f t="shared" ca="1" si="10"/>
        <v>0.13097023413602632</v>
      </c>
    </row>
    <row r="159" spans="5:8" x14ac:dyDescent="0.3">
      <c r="E159" s="8">
        <f t="shared" si="11"/>
        <v>155</v>
      </c>
      <c r="F159" s="8">
        <f t="shared" ca="1" si="8"/>
        <v>1.1335473233543816</v>
      </c>
      <c r="G159" s="8">
        <f t="shared" ca="1" si="9"/>
        <v>1829.9352260402884</v>
      </c>
      <c r="H159" s="8">
        <f t="shared" ca="1" si="10"/>
        <v>0.17489584498139046</v>
      </c>
    </row>
    <row r="160" spans="5:8" x14ac:dyDescent="0.3">
      <c r="E160" s="8">
        <f t="shared" si="11"/>
        <v>156</v>
      </c>
      <c r="F160" s="8">
        <f t="shared" ca="1" si="8"/>
        <v>1.2298168408056707</v>
      </c>
      <c r="G160" s="8">
        <f t="shared" ca="1" si="9"/>
        <v>1619.7187009957172</v>
      </c>
      <c r="H160" s="8">
        <f t="shared" ca="1" si="10"/>
        <v>0.15480442521224477</v>
      </c>
    </row>
    <row r="161" spans="5:8" x14ac:dyDescent="0.3">
      <c r="E161" s="8">
        <f t="shared" si="11"/>
        <v>157</v>
      </c>
      <c r="F161" s="8">
        <f t="shared" ca="1" si="8"/>
        <v>1.1941782804432062</v>
      </c>
      <c r="G161" s="8">
        <f t="shared" ca="1" si="9"/>
        <v>1697.5399523672038</v>
      </c>
      <c r="H161" s="8">
        <f t="shared" ca="1" si="10"/>
        <v>0.16224218220082232</v>
      </c>
    </row>
    <row r="162" spans="5:8" x14ac:dyDescent="0.3">
      <c r="E162" s="8">
        <f t="shared" si="11"/>
        <v>158</v>
      </c>
      <c r="F162" s="8">
        <f t="shared" ca="1" si="8"/>
        <v>1.1632390056253661</v>
      </c>
      <c r="G162" s="8">
        <f t="shared" ca="1" si="9"/>
        <v>1765.0997263413099</v>
      </c>
      <c r="H162" s="8">
        <f t="shared" ca="1" si="10"/>
        <v>0.16869919968855107</v>
      </c>
    </row>
    <row r="163" spans="5:8" x14ac:dyDescent="0.3">
      <c r="E163" s="8">
        <f t="shared" si="11"/>
        <v>159</v>
      </c>
      <c r="F163" s="8">
        <f t="shared" ca="1" si="8"/>
        <v>1.1887235826751028</v>
      </c>
      <c r="G163" s="8">
        <f t="shared" ca="1" si="9"/>
        <v>1709.4509667810785</v>
      </c>
      <c r="H163" s="8">
        <f t="shared" ca="1" si="10"/>
        <v>0.16338057600889597</v>
      </c>
    </row>
    <row r="164" spans="5:8" x14ac:dyDescent="0.3">
      <c r="E164" s="8">
        <f t="shared" si="11"/>
        <v>160</v>
      </c>
      <c r="F164" s="8">
        <f t="shared" ca="1" si="8"/>
        <v>0.85622884142665545</v>
      </c>
      <c r="G164" s="8">
        <f t="shared" ca="1" si="9"/>
        <v>2435.4947961397193</v>
      </c>
      <c r="H164" s="8">
        <f t="shared" ca="1" si="10"/>
        <v>0.23277212999519442</v>
      </c>
    </row>
    <row r="165" spans="5:8" x14ac:dyDescent="0.3">
      <c r="E165" s="8">
        <f t="shared" si="11"/>
        <v>161</v>
      </c>
      <c r="F165" s="8">
        <f t="shared" ca="1" si="8"/>
        <v>1.4739087219965794</v>
      </c>
      <c r="G165" s="8">
        <f t="shared" ca="1" si="9"/>
        <v>1086.7135669302193</v>
      </c>
      <c r="H165" s="8">
        <f t="shared" ca="1" si="10"/>
        <v>0.10386252192776635</v>
      </c>
    </row>
    <row r="166" spans="5:8" x14ac:dyDescent="0.3">
      <c r="E166" s="8">
        <f t="shared" si="11"/>
        <v>162</v>
      </c>
      <c r="F166" s="8">
        <f t="shared" ca="1" si="8"/>
        <v>1.3415237528065493</v>
      </c>
      <c r="G166" s="8">
        <f t="shared" ca="1" si="9"/>
        <v>1375.7926952777984</v>
      </c>
      <c r="H166" s="8">
        <f t="shared" ca="1" si="10"/>
        <v>0.13149122577442401</v>
      </c>
    </row>
    <row r="167" spans="5:8" x14ac:dyDescent="0.3">
      <c r="E167" s="8">
        <f t="shared" si="11"/>
        <v>163</v>
      </c>
      <c r="F167" s="8">
        <f t="shared" ca="1" si="8"/>
        <v>0.99034416412205062</v>
      </c>
      <c r="G167" s="8">
        <f t="shared" ca="1" si="9"/>
        <v>2142.6372246189871</v>
      </c>
      <c r="H167" s="8">
        <f t="shared" ca="1" si="10"/>
        <v>0.20478230188463989</v>
      </c>
    </row>
    <row r="168" spans="5:8" x14ac:dyDescent="0.3">
      <c r="E168" s="8">
        <f t="shared" si="11"/>
        <v>164</v>
      </c>
      <c r="F168" s="8">
        <f t="shared" ca="1" si="8"/>
        <v>1.192830594891112</v>
      </c>
      <c r="G168" s="8">
        <f t="shared" ca="1" si="9"/>
        <v>1700.4827922308955</v>
      </c>
      <c r="H168" s="8">
        <f t="shared" ca="1" si="10"/>
        <v>0.16252344377624922</v>
      </c>
    </row>
    <row r="169" spans="5:8" x14ac:dyDescent="0.3">
      <c r="E169" s="8">
        <f t="shared" si="11"/>
        <v>165</v>
      </c>
      <c r="F169" s="8">
        <f t="shared" ca="1" si="8"/>
        <v>0.88219012768089633</v>
      </c>
      <c r="G169" s="8">
        <f t="shared" ca="1" si="9"/>
        <v>2378.8050824428028</v>
      </c>
      <c r="H169" s="8">
        <f t="shared" ca="1" si="10"/>
        <v>0.22735401724579976</v>
      </c>
    </row>
    <row r="170" spans="5:8" x14ac:dyDescent="0.3">
      <c r="E170" s="8">
        <f t="shared" si="11"/>
        <v>166</v>
      </c>
      <c r="F170" s="8">
        <f t="shared" ca="1" si="8"/>
        <v>1.3058304921960291</v>
      </c>
      <c r="G170" s="8">
        <f t="shared" ca="1" si="9"/>
        <v>1453.7333914784458</v>
      </c>
      <c r="H170" s="8">
        <f t="shared" ca="1" si="10"/>
        <v>0.13894039868856406</v>
      </c>
    </row>
    <row r="171" spans="5:8" x14ac:dyDescent="0.3">
      <c r="E171" s="8">
        <f t="shared" si="11"/>
        <v>167</v>
      </c>
      <c r="F171" s="8">
        <f t="shared" ca="1" si="8"/>
        <v>0.94057542411965089</v>
      </c>
      <c r="G171" s="8">
        <f t="shared" ca="1" si="9"/>
        <v>2251.3134895067269</v>
      </c>
      <c r="H171" s="8">
        <f t="shared" ca="1" si="10"/>
        <v>0.21516902317755204</v>
      </c>
    </row>
    <row r="172" spans="5:8" x14ac:dyDescent="0.3">
      <c r="E172" s="8">
        <f t="shared" si="11"/>
        <v>168</v>
      </c>
      <c r="F172" s="8">
        <f t="shared" ca="1" si="8"/>
        <v>1.096753660017548</v>
      </c>
      <c r="G172" s="8">
        <f t="shared" ca="1" si="9"/>
        <v>1910.2787891441815</v>
      </c>
      <c r="H172" s="8">
        <f t="shared" ca="1" si="10"/>
        <v>0.1825746716184824</v>
      </c>
    </row>
    <row r="173" spans="5:8" x14ac:dyDescent="0.3">
      <c r="E173" s="8">
        <f t="shared" si="11"/>
        <v>169</v>
      </c>
      <c r="F173" s="8">
        <f t="shared" ca="1" si="8"/>
        <v>1.1849177270882165</v>
      </c>
      <c r="G173" s="8">
        <f t="shared" ca="1" si="9"/>
        <v>1717.761528186993</v>
      </c>
      <c r="H173" s="8">
        <f t="shared" ca="1" si="10"/>
        <v>0.1641748569422721</v>
      </c>
    </row>
    <row r="174" spans="5:8" x14ac:dyDescent="0.3">
      <c r="E174" s="8">
        <f t="shared" si="11"/>
        <v>170</v>
      </c>
      <c r="F174" s="8">
        <f t="shared" ca="1" si="8"/>
        <v>1.1732424644715727</v>
      </c>
      <c r="G174" s="8">
        <f t="shared" ca="1" si="9"/>
        <v>1743.2559235182621</v>
      </c>
      <c r="H174" s="8">
        <f t="shared" ca="1" si="10"/>
        <v>0.16661148079119392</v>
      </c>
    </row>
    <row r="175" spans="5:8" x14ac:dyDescent="0.3">
      <c r="E175" s="8">
        <f t="shared" si="11"/>
        <v>171</v>
      </c>
      <c r="F175" s="8">
        <f t="shared" ca="1" si="8"/>
        <v>1.1165515589533488</v>
      </c>
      <c r="G175" s="8">
        <f t="shared" ca="1" si="9"/>
        <v>1867.0476020804936</v>
      </c>
      <c r="H175" s="8">
        <f t="shared" ca="1" si="10"/>
        <v>0.1784428559763446</v>
      </c>
    </row>
    <row r="176" spans="5:8" x14ac:dyDescent="0.3">
      <c r="E176" s="8">
        <f t="shared" si="11"/>
        <v>172</v>
      </c>
      <c r="F176" s="8">
        <f t="shared" ca="1" si="8"/>
        <v>1.003591420514631</v>
      </c>
      <c r="G176" s="8">
        <f t="shared" ca="1" si="9"/>
        <v>2113.7101843787386</v>
      </c>
      <c r="H176" s="8">
        <f t="shared" ca="1" si="10"/>
        <v>0.20201760340043379</v>
      </c>
    </row>
    <row r="177" spans="5:8" x14ac:dyDescent="0.3">
      <c r="E177" s="8">
        <f t="shared" si="11"/>
        <v>173</v>
      </c>
      <c r="F177" s="8">
        <f t="shared" ca="1" si="8"/>
        <v>0.98650160358622596</v>
      </c>
      <c r="G177" s="8">
        <f t="shared" ca="1" si="9"/>
        <v>2151.0279358690273</v>
      </c>
      <c r="H177" s="8">
        <f t="shared" ca="1" si="10"/>
        <v>0.20558424312998444</v>
      </c>
    </row>
    <row r="178" spans="5:8" x14ac:dyDescent="0.3">
      <c r="E178" s="8">
        <f t="shared" si="11"/>
        <v>174</v>
      </c>
      <c r="F178" s="8">
        <f t="shared" ca="1" si="8"/>
        <v>1.2415308170604185</v>
      </c>
      <c r="G178" s="8">
        <f t="shared" ca="1" si="9"/>
        <v>1594.1397695964436</v>
      </c>
      <c r="H178" s="8">
        <f t="shared" ca="1" si="10"/>
        <v>0.15235972183852084</v>
      </c>
    </row>
    <row r="179" spans="5:8" x14ac:dyDescent="0.3">
      <c r="E179" s="8">
        <f t="shared" si="11"/>
        <v>175</v>
      </c>
      <c r="F179" s="8">
        <f t="shared" ca="1" si="8"/>
        <v>1.0850525982502761</v>
      </c>
      <c r="G179" s="8">
        <f t="shared" ca="1" si="9"/>
        <v>1935.8295201457406</v>
      </c>
      <c r="H179" s="8">
        <f t="shared" ca="1" si="10"/>
        <v>0.18501667974249647</v>
      </c>
    </row>
    <row r="180" spans="5:8" x14ac:dyDescent="0.3">
      <c r="E180" s="8">
        <f t="shared" si="11"/>
        <v>176</v>
      </c>
      <c r="F180" s="8">
        <f t="shared" ca="1" si="8"/>
        <v>1.0618963833938533</v>
      </c>
      <c r="G180" s="8">
        <f t="shared" ca="1" si="9"/>
        <v>1986.394009811597</v>
      </c>
      <c r="H180" s="8">
        <f t="shared" ca="1" si="10"/>
        <v>0.18984937492225912</v>
      </c>
    </row>
    <row r="181" spans="5:8" x14ac:dyDescent="0.3">
      <c r="E181" s="8">
        <f t="shared" si="11"/>
        <v>177</v>
      </c>
      <c r="F181" s="8">
        <f t="shared" ca="1" si="8"/>
        <v>1.117333314275039</v>
      </c>
      <c r="G181" s="8">
        <f t="shared" ca="1" si="9"/>
        <v>1865.3405416161677</v>
      </c>
      <c r="H181" s="8">
        <f t="shared" ca="1" si="10"/>
        <v>0.17827970387232797</v>
      </c>
    </row>
    <row r="182" spans="5:8" x14ac:dyDescent="0.3">
      <c r="E182" s="8">
        <f t="shared" si="11"/>
        <v>178</v>
      </c>
      <c r="F182" s="8">
        <f t="shared" ca="1" si="8"/>
        <v>1.1084891108030053</v>
      </c>
      <c r="G182" s="8">
        <f t="shared" ca="1" si="9"/>
        <v>1884.6529654227875</v>
      </c>
      <c r="H182" s="8">
        <f t="shared" ca="1" si="10"/>
        <v>0.18012548651656193</v>
      </c>
    </row>
    <row r="183" spans="5:8" x14ac:dyDescent="0.3">
      <c r="E183" s="8">
        <f t="shared" si="11"/>
        <v>179</v>
      </c>
      <c r="F183" s="8">
        <f t="shared" ca="1" si="8"/>
        <v>1.2744244208865643</v>
      </c>
      <c r="G183" s="8">
        <f t="shared" ca="1" si="9"/>
        <v>1522.3124739415759</v>
      </c>
      <c r="H183" s="8">
        <f t="shared" ca="1" si="10"/>
        <v>0.14549483646579145</v>
      </c>
    </row>
    <row r="184" spans="5:8" x14ac:dyDescent="0.3">
      <c r="E184" s="8">
        <f t="shared" si="11"/>
        <v>180</v>
      </c>
      <c r="F184" s="8">
        <f t="shared" ca="1" si="8"/>
        <v>1.2791204531719635</v>
      </c>
      <c r="G184" s="8">
        <f t="shared" ca="1" si="9"/>
        <v>1512.0581004423709</v>
      </c>
      <c r="H184" s="8">
        <f t="shared" ca="1" si="10"/>
        <v>0.14451477591917911</v>
      </c>
    </row>
    <row r="185" spans="5:8" x14ac:dyDescent="0.3">
      <c r="E185" s="8">
        <f t="shared" si="11"/>
        <v>181</v>
      </c>
      <c r="F185" s="8">
        <f t="shared" ca="1" si="8"/>
        <v>1.0705871833814993</v>
      </c>
      <c r="G185" s="8">
        <f t="shared" ca="1" si="9"/>
        <v>1967.4165616885734</v>
      </c>
      <c r="H185" s="8">
        <f t="shared" ca="1" si="10"/>
        <v>0.18803560753976617</v>
      </c>
    </row>
    <row r="186" spans="5:8" x14ac:dyDescent="0.3">
      <c r="E186" s="8">
        <f t="shared" si="11"/>
        <v>182</v>
      </c>
      <c r="F186" s="8">
        <f t="shared" ca="1" si="8"/>
        <v>1.0922170722794391</v>
      </c>
      <c r="G186" s="8">
        <f t="shared" ca="1" si="9"/>
        <v>1920.1849955438097</v>
      </c>
      <c r="H186" s="8">
        <f t="shared" ca="1" si="10"/>
        <v>0.18352145613531584</v>
      </c>
    </row>
    <row r="187" spans="5:8" x14ac:dyDescent="0.3">
      <c r="E187" s="8">
        <f t="shared" si="11"/>
        <v>183</v>
      </c>
      <c r="F187" s="8">
        <f t="shared" ca="1" si="8"/>
        <v>1.4170195597692326</v>
      </c>
      <c r="G187" s="8">
        <f t="shared" ca="1" si="9"/>
        <v>1210.9381637989095</v>
      </c>
      <c r="H187" s="8">
        <f t="shared" ca="1" si="10"/>
        <v>0.11573527322937106</v>
      </c>
    </row>
    <row r="188" spans="5:8" x14ac:dyDescent="0.3">
      <c r="E188" s="8">
        <f t="shared" si="11"/>
        <v>184</v>
      </c>
      <c r="F188" s="8">
        <f t="shared" ca="1" si="8"/>
        <v>1.1769696602684083</v>
      </c>
      <c r="G188" s="8">
        <f t="shared" ca="1" si="9"/>
        <v>1735.1171255963968</v>
      </c>
      <c r="H188" s="8">
        <f t="shared" ca="1" si="10"/>
        <v>0.16583361613269587</v>
      </c>
    </row>
    <row r="189" spans="5:8" x14ac:dyDescent="0.3">
      <c r="E189" s="8">
        <f t="shared" si="11"/>
        <v>185</v>
      </c>
      <c r="F189" s="8">
        <f t="shared" ca="1" si="8"/>
        <v>1.2106864353341511</v>
      </c>
      <c r="G189" s="8">
        <f t="shared" ca="1" si="9"/>
        <v>1661.4923326434641</v>
      </c>
      <c r="H189" s="8">
        <f t="shared" ca="1" si="10"/>
        <v>0.15879693516615351</v>
      </c>
    </row>
    <row r="190" spans="5:8" x14ac:dyDescent="0.3">
      <c r="E190" s="8">
        <f t="shared" si="11"/>
        <v>186</v>
      </c>
      <c r="F190" s="8">
        <f t="shared" ca="1" si="8"/>
        <v>1.0313350590451709</v>
      </c>
      <c r="G190" s="8">
        <f t="shared" ca="1" si="9"/>
        <v>2053.1284816924885</v>
      </c>
      <c r="H190" s="8">
        <f t="shared" ca="1" si="10"/>
        <v>0.19622751425905463</v>
      </c>
    </row>
    <row r="191" spans="5:8" x14ac:dyDescent="0.3">
      <c r="E191" s="8">
        <f t="shared" si="11"/>
        <v>187</v>
      </c>
      <c r="F191" s="8">
        <f t="shared" ca="1" si="8"/>
        <v>0.93174470843738899</v>
      </c>
      <c r="G191" s="8">
        <f t="shared" ca="1" si="9"/>
        <v>2270.5964610384062</v>
      </c>
      <c r="H191" s="8">
        <f t="shared" ca="1" si="10"/>
        <v>0.21701199092405679</v>
      </c>
    </row>
    <row r="192" spans="5:8" x14ac:dyDescent="0.3">
      <c r="E192" s="8">
        <f t="shared" si="11"/>
        <v>188</v>
      </c>
      <c r="F192" s="8">
        <f t="shared" ca="1" si="8"/>
        <v>1.3200974992675634</v>
      </c>
      <c r="G192" s="8">
        <f t="shared" ca="1" si="9"/>
        <v>1422.5795981618667</v>
      </c>
      <c r="H192" s="8">
        <f t="shared" ca="1" si="10"/>
        <v>0.13596287853979419</v>
      </c>
    </row>
    <row r="193" spans="5:8" x14ac:dyDescent="0.3">
      <c r="E193" s="8">
        <f t="shared" si="11"/>
        <v>189</v>
      </c>
      <c r="F193" s="8">
        <f t="shared" ca="1" si="8"/>
        <v>1.1068862768541146</v>
      </c>
      <c r="G193" s="8">
        <f t="shared" ca="1" si="9"/>
        <v>1888.1529537044339</v>
      </c>
      <c r="H193" s="8">
        <f t="shared" ca="1" si="10"/>
        <v>0.18045999748680436</v>
      </c>
    </row>
    <row r="194" spans="5:8" x14ac:dyDescent="0.3">
      <c r="E194" s="8">
        <f t="shared" si="11"/>
        <v>190</v>
      </c>
      <c r="F194" s="8">
        <f t="shared" ca="1" si="8"/>
        <v>1.1924483388522902</v>
      </c>
      <c r="G194" s="8">
        <f t="shared" ca="1" si="9"/>
        <v>1701.3174960736678</v>
      </c>
      <c r="H194" s="8">
        <f t="shared" ca="1" si="10"/>
        <v>0.1626032204982957</v>
      </c>
    </row>
    <row r="195" spans="5:8" x14ac:dyDescent="0.3">
      <c r="E195" s="8">
        <f t="shared" si="11"/>
        <v>191</v>
      </c>
      <c r="F195" s="8">
        <f t="shared" ca="1" si="8"/>
        <v>0.99554238528030115</v>
      </c>
      <c r="G195" s="8">
        <f t="shared" ca="1" si="9"/>
        <v>2131.2862589423021</v>
      </c>
      <c r="H195" s="8">
        <f t="shared" ca="1" si="10"/>
        <v>0.20369743466905305</v>
      </c>
    </row>
    <row r="196" spans="5:8" x14ac:dyDescent="0.3">
      <c r="E196" s="8">
        <f t="shared" si="11"/>
        <v>192</v>
      </c>
      <c r="F196" s="8">
        <f t="shared" ca="1" si="8"/>
        <v>1.1931707105706253</v>
      </c>
      <c r="G196" s="8">
        <f t="shared" ca="1" si="9"/>
        <v>1699.7401071302181</v>
      </c>
      <c r="H196" s="8">
        <f t="shared" ca="1" si="10"/>
        <v>0.16245246173470498</v>
      </c>
    </row>
    <row r="197" spans="5:8" x14ac:dyDescent="0.3">
      <c r="E197" s="8">
        <f t="shared" si="11"/>
        <v>193</v>
      </c>
      <c r="F197" s="8">
        <f t="shared" ref="F197:F260" ca="1" si="12">_xlfn.NORM.INV(RAND(), $C$9, $C$9 * $C$10)</f>
        <v>1.2749263400228943</v>
      </c>
      <c r="G197" s="8">
        <f t="shared" ref="G197:G260" ca="1" si="13">$C$7 - ($C$6 + ($C$8 * $C$11)) - (($C$6 + ($C$8 * $C$11)) * (1 - $C$12) * (F197 - $C$13))</f>
        <v>1521.2164707675074</v>
      </c>
      <c r="H197" s="8">
        <f t="shared" ref="H197:H260" ca="1" si="14">G197 / $C$7</f>
        <v>0.14539008609074905</v>
      </c>
    </row>
    <row r="198" spans="5:8" x14ac:dyDescent="0.3">
      <c r="E198" s="8">
        <f t="shared" ref="E198:E261" si="15">ROW()-4</f>
        <v>194</v>
      </c>
      <c r="F198" s="8">
        <f t="shared" ca="1" si="12"/>
        <v>1.1751924408336376</v>
      </c>
      <c r="G198" s="8">
        <f t="shared" ca="1" si="13"/>
        <v>1738.9979063846479</v>
      </c>
      <c r="H198" s="8">
        <f t="shared" ca="1" si="14"/>
        <v>0.16620452130217411</v>
      </c>
    </row>
    <row r="199" spans="5:8" x14ac:dyDescent="0.3">
      <c r="E199" s="8">
        <f t="shared" si="15"/>
        <v>195</v>
      </c>
      <c r="F199" s="8">
        <f t="shared" ca="1" si="12"/>
        <v>1.0505082999367679</v>
      </c>
      <c r="G199" s="8">
        <f t="shared" ca="1" si="13"/>
        <v>2011.2613135505751</v>
      </c>
      <c r="H199" s="8">
        <f t="shared" ca="1" si="14"/>
        <v>0.19222606456566713</v>
      </c>
    </row>
    <row r="200" spans="5:8" x14ac:dyDescent="0.3">
      <c r="E200" s="8">
        <f t="shared" si="15"/>
        <v>196</v>
      </c>
      <c r="F200" s="8">
        <f t="shared" ca="1" si="12"/>
        <v>1.3210873415707169</v>
      </c>
      <c r="G200" s="8">
        <f t="shared" ca="1" si="13"/>
        <v>1420.4181537626432</v>
      </c>
      <c r="H200" s="8">
        <f t="shared" ca="1" si="14"/>
        <v>0.13575629874439865</v>
      </c>
    </row>
    <row r="201" spans="5:8" x14ac:dyDescent="0.3">
      <c r="E201" s="8">
        <f t="shared" si="15"/>
        <v>197</v>
      </c>
      <c r="F201" s="8">
        <f t="shared" ca="1" si="12"/>
        <v>1.296498348243631</v>
      </c>
      <c r="G201" s="8">
        <f t="shared" ca="1" si="13"/>
        <v>1474.1112943165012</v>
      </c>
      <c r="H201" s="8">
        <f t="shared" ca="1" si="14"/>
        <v>0.14088801436648202</v>
      </c>
    </row>
    <row r="202" spans="5:8" x14ac:dyDescent="0.3">
      <c r="E202" s="8">
        <f t="shared" si="15"/>
        <v>198</v>
      </c>
      <c r="F202" s="8">
        <f t="shared" ca="1" si="12"/>
        <v>1.0953346299503839</v>
      </c>
      <c r="G202" s="8">
        <f t="shared" ca="1" si="13"/>
        <v>1913.3774186745929</v>
      </c>
      <c r="H202" s="8">
        <f t="shared" ca="1" si="14"/>
        <v>0.18287082277306632</v>
      </c>
    </row>
    <row r="203" spans="5:8" x14ac:dyDescent="0.3">
      <c r="E203" s="8">
        <f t="shared" si="15"/>
        <v>199</v>
      </c>
      <c r="F203" s="8">
        <f t="shared" ca="1" si="12"/>
        <v>1.1878274715593642</v>
      </c>
      <c r="G203" s="8">
        <f t="shared" ca="1" si="13"/>
        <v>1711.4077374161832</v>
      </c>
      <c r="H203" s="8">
        <f t="shared" ca="1" si="14"/>
        <v>0.16356759413324889</v>
      </c>
    </row>
    <row r="204" spans="5:8" x14ac:dyDescent="0.3">
      <c r="E204" s="8">
        <f t="shared" si="15"/>
        <v>200</v>
      </c>
      <c r="F204" s="8">
        <f t="shared" ca="1" si="12"/>
        <v>1.1840849204554407</v>
      </c>
      <c r="G204" s="8">
        <f t="shared" ca="1" si="13"/>
        <v>1719.5800655704882</v>
      </c>
      <c r="H204" s="8">
        <f t="shared" ca="1" si="14"/>
        <v>0.16434866343978669</v>
      </c>
    </row>
    <row r="205" spans="5:8" x14ac:dyDescent="0.3">
      <c r="E205" s="8">
        <f t="shared" si="15"/>
        <v>201</v>
      </c>
      <c r="F205" s="8">
        <f t="shared" ca="1" si="12"/>
        <v>1.303097987186443</v>
      </c>
      <c r="G205" s="8">
        <f t="shared" ca="1" si="13"/>
        <v>1459.7001577300034</v>
      </c>
      <c r="H205" s="8">
        <f t="shared" ca="1" si="14"/>
        <v>0.13951067167447229</v>
      </c>
    </row>
    <row r="206" spans="5:8" x14ac:dyDescent="0.3">
      <c r="E206" s="8">
        <f t="shared" si="15"/>
        <v>202</v>
      </c>
      <c r="F206" s="8">
        <f t="shared" ca="1" si="12"/>
        <v>1.1958289564096256</v>
      </c>
      <c r="G206" s="8">
        <f t="shared" ca="1" si="13"/>
        <v>1693.9354950600311</v>
      </c>
      <c r="H206" s="8">
        <f t="shared" ca="1" si="14"/>
        <v>0.16189768661569637</v>
      </c>
    </row>
    <row r="207" spans="5:8" x14ac:dyDescent="0.3">
      <c r="E207" s="8">
        <f t="shared" si="15"/>
        <v>203</v>
      </c>
      <c r="F207" s="8">
        <f t="shared" ca="1" si="12"/>
        <v>1.1284206838606727</v>
      </c>
      <c r="G207" s="8">
        <f t="shared" ca="1" si="13"/>
        <v>1841.1298842047383</v>
      </c>
      <c r="H207" s="8">
        <f t="shared" ca="1" si="14"/>
        <v>0.17596577312479578</v>
      </c>
    </row>
    <row r="208" spans="5:8" x14ac:dyDescent="0.3">
      <c r="E208" s="8">
        <f t="shared" si="15"/>
        <v>204</v>
      </c>
      <c r="F208" s="8">
        <f t="shared" ca="1" si="12"/>
        <v>1.3795510685260937</v>
      </c>
      <c r="G208" s="8">
        <f t="shared" ca="1" si="13"/>
        <v>1292.7552979897087</v>
      </c>
      <c r="H208" s="8">
        <f t="shared" ca="1" si="14"/>
        <v>0.1235549362505695</v>
      </c>
    </row>
    <row r="209" spans="5:8" x14ac:dyDescent="0.3">
      <c r="E209" s="8">
        <f t="shared" si="15"/>
        <v>205</v>
      </c>
      <c r="F209" s="8">
        <f t="shared" ca="1" si="12"/>
        <v>0.89641142790530526</v>
      </c>
      <c r="G209" s="8">
        <f t="shared" ca="1" si="13"/>
        <v>2347.7510957402778</v>
      </c>
      <c r="H209" s="8">
        <f t="shared" ca="1" si="14"/>
        <v>0.22438603610248284</v>
      </c>
    </row>
    <row r="210" spans="5:8" x14ac:dyDescent="0.3">
      <c r="E210" s="8">
        <f t="shared" si="15"/>
        <v>206</v>
      </c>
      <c r="F210" s="8">
        <f t="shared" ca="1" si="12"/>
        <v>0.86303631560443961</v>
      </c>
      <c r="G210" s="8">
        <f t="shared" ca="1" si="13"/>
        <v>2420.6298253382556</v>
      </c>
      <c r="H210" s="8">
        <f t="shared" ca="1" si="14"/>
        <v>0.2313514121512239</v>
      </c>
    </row>
    <row r="211" spans="5:8" x14ac:dyDescent="0.3">
      <c r="E211" s="8">
        <f t="shared" si="15"/>
        <v>207</v>
      </c>
      <c r="F211" s="8">
        <f t="shared" ca="1" si="12"/>
        <v>1.1649649092383239</v>
      </c>
      <c r="G211" s="8">
        <f t="shared" ca="1" si="13"/>
        <v>1761.3310000644649</v>
      </c>
      <c r="H211" s="8">
        <f t="shared" ca="1" si="14"/>
        <v>0.16833900411588118</v>
      </c>
    </row>
    <row r="212" spans="5:8" x14ac:dyDescent="0.3">
      <c r="E212" s="8">
        <f t="shared" si="15"/>
        <v>208</v>
      </c>
      <c r="F212" s="8">
        <f t="shared" ca="1" si="12"/>
        <v>1.3312724530447391</v>
      </c>
      <c r="G212" s="8">
        <f t="shared" ca="1" si="13"/>
        <v>1398.1776897201814</v>
      </c>
      <c r="H212" s="8">
        <f t="shared" ca="1" si="14"/>
        <v>0.13363066899743681</v>
      </c>
    </row>
    <row r="213" spans="5:8" x14ac:dyDescent="0.3">
      <c r="E213" s="8">
        <f t="shared" si="15"/>
        <v>209</v>
      </c>
      <c r="F213" s="8">
        <f t="shared" ca="1" si="12"/>
        <v>1.1398318410638173</v>
      </c>
      <c r="G213" s="8">
        <f t="shared" ca="1" si="13"/>
        <v>1816.2121960570219</v>
      </c>
      <c r="H213" s="8">
        <f t="shared" ca="1" si="14"/>
        <v>0.17358426799742158</v>
      </c>
    </row>
    <row r="214" spans="5:8" x14ac:dyDescent="0.3">
      <c r="E214" s="8">
        <f t="shared" si="15"/>
        <v>210</v>
      </c>
      <c r="F214" s="8">
        <f t="shared" ca="1" si="12"/>
        <v>1.4317167426274882</v>
      </c>
      <c r="G214" s="8">
        <f t="shared" ca="1" si="13"/>
        <v>1178.845027880051</v>
      </c>
      <c r="H214" s="8">
        <f t="shared" ca="1" si="14"/>
        <v>0.11266797552136586</v>
      </c>
    </row>
    <row r="215" spans="5:8" x14ac:dyDescent="0.3">
      <c r="E215" s="8">
        <f t="shared" si="15"/>
        <v>211</v>
      </c>
      <c r="F215" s="8">
        <f t="shared" ca="1" si="12"/>
        <v>1.3017036197661411</v>
      </c>
      <c r="G215" s="8">
        <f t="shared" ca="1" si="13"/>
        <v>1462.7449332881599</v>
      </c>
      <c r="H215" s="8">
        <f t="shared" ca="1" si="14"/>
        <v>0.13980167574196309</v>
      </c>
    </row>
    <row r="216" spans="5:8" x14ac:dyDescent="0.3">
      <c r="E216" s="8">
        <f t="shared" si="15"/>
        <v>212</v>
      </c>
      <c r="F216" s="8">
        <f t="shared" ca="1" si="12"/>
        <v>1.0798290828353467</v>
      </c>
      <c r="G216" s="8">
        <f t="shared" ca="1" si="13"/>
        <v>1947.2357189936658</v>
      </c>
      <c r="H216" s="8">
        <f t="shared" ca="1" si="14"/>
        <v>0.18610682586195793</v>
      </c>
    </row>
    <row r="217" spans="5:8" x14ac:dyDescent="0.3">
      <c r="E217" s="8">
        <f t="shared" si="15"/>
        <v>213</v>
      </c>
      <c r="F217" s="8">
        <f t="shared" ca="1" si="12"/>
        <v>1.2902656120401643</v>
      </c>
      <c r="G217" s="8">
        <f t="shared" ca="1" si="13"/>
        <v>1487.721252908796</v>
      </c>
      <c r="H217" s="8">
        <f t="shared" ca="1" si="14"/>
        <v>0.14218878456549708</v>
      </c>
    </row>
    <row r="218" spans="5:8" x14ac:dyDescent="0.3">
      <c r="E218" s="8">
        <f t="shared" si="15"/>
        <v>214</v>
      </c>
      <c r="F218" s="8">
        <f t="shared" ca="1" si="12"/>
        <v>1.3834427611786331</v>
      </c>
      <c r="G218" s="8">
        <f t="shared" ca="1" si="13"/>
        <v>1284.2573006213072</v>
      </c>
      <c r="H218" s="8">
        <f t="shared" ca="1" si="14"/>
        <v>0.12274274114702353</v>
      </c>
    </row>
    <row r="219" spans="5:8" x14ac:dyDescent="0.3">
      <c r="E219" s="8">
        <f t="shared" si="15"/>
        <v>215</v>
      </c>
      <c r="F219" s="8">
        <f t="shared" ca="1" si="12"/>
        <v>0.92412604870996673</v>
      </c>
      <c r="G219" s="8">
        <f t="shared" ca="1" si="13"/>
        <v>2287.232756885699</v>
      </c>
      <c r="H219" s="8">
        <f t="shared" ca="1" si="14"/>
        <v>0.21860200295189708</v>
      </c>
    </row>
    <row r="220" spans="5:8" x14ac:dyDescent="0.3">
      <c r="E220" s="8">
        <f t="shared" si="15"/>
        <v>216</v>
      </c>
      <c r="F220" s="8">
        <f t="shared" ca="1" si="12"/>
        <v>1.1066433180535933</v>
      </c>
      <c r="G220" s="8">
        <f t="shared" ca="1" si="13"/>
        <v>1888.6834846152221</v>
      </c>
      <c r="H220" s="8">
        <f t="shared" ca="1" si="14"/>
        <v>0.1805107029164888</v>
      </c>
    </row>
    <row r="221" spans="5:8" x14ac:dyDescent="0.3">
      <c r="E221" s="8">
        <f t="shared" si="15"/>
        <v>217</v>
      </c>
      <c r="F221" s="8">
        <f t="shared" ca="1" si="12"/>
        <v>1.0005629213209137</v>
      </c>
      <c r="G221" s="8">
        <f t="shared" ca="1" si="13"/>
        <v>2120.3232909306198</v>
      </c>
      <c r="H221" s="8">
        <f t="shared" ca="1" si="14"/>
        <v>0.20264965028487239</v>
      </c>
    </row>
    <row r="222" spans="5:8" x14ac:dyDescent="0.3">
      <c r="E222" s="8">
        <f t="shared" si="15"/>
        <v>218</v>
      </c>
      <c r="F222" s="8">
        <f t="shared" ca="1" si="12"/>
        <v>1.2072910079437371</v>
      </c>
      <c r="G222" s="8">
        <f t="shared" ca="1" si="13"/>
        <v>1668.906672778857</v>
      </c>
      <c r="H222" s="8">
        <f t="shared" ca="1" si="14"/>
        <v>0.15950555985652842</v>
      </c>
    </row>
    <row r="223" spans="5:8" x14ac:dyDescent="0.3">
      <c r="E223" s="8">
        <f t="shared" si="15"/>
        <v>219</v>
      </c>
      <c r="F223" s="8">
        <f t="shared" ca="1" si="12"/>
        <v>1.146896080273158</v>
      </c>
      <c r="G223" s="8">
        <f t="shared" ca="1" si="13"/>
        <v>1800.7865467135252</v>
      </c>
      <c r="H223" s="8">
        <f t="shared" ca="1" si="14"/>
        <v>0.17210996336744006</v>
      </c>
    </row>
    <row r="224" spans="5:8" x14ac:dyDescent="0.3">
      <c r="E224" s="8">
        <f t="shared" si="15"/>
        <v>220</v>
      </c>
      <c r="F224" s="8">
        <f t="shared" ca="1" si="12"/>
        <v>1.113862119638227</v>
      </c>
      <c r="G224" s="8">
        <f t="shared" ca="1" si="13"/>
        <v>1872.9203290049763</v>
      </c>
      <c r="H224" s="8">
        <f t="shared" ca="1" si="14"/>
        <v>0.17900414116457769</v>
      </c>
    </row>
    <row r="225" spans="5:8" x14ac:dyDescent="0.3">
      <c r="E225" s="8">
        <f t="shared" si="15"/>
        <v>221</v>
      </c>
      <c r="F225" s="8">
        <f t="shared" ca="1" si="12"/>
        <v>1.3586638900378796</v>
      </c>
      <c r="G225" s="8">
        <f t="shared" ca="1" si="13"/>
        <v>1338.3650631160351</v>
      </c>
      <c r="H225" s="8">
        <f t="shared" ca="1" si="14"/>
        <v>0.1279140842125619</v>
      </c>
    </row>
    <row r="226" spans="5:8" x14ac:dyDescent="0.3">
      <c r="E226" s="8">
        <f t="shared" si="15"/>
        <v>222</v>
      </c>
      <c r="F226" s="8">
        <f t="shared" ca="1" si="12"/>
        <v>0.95864298664715952</v>
      </c>
      <c r="G226" s="8">
        <f t="shared" ca="1" si="13"/>
        <v>2211.8607082825961</v>
      </c>
      <c r="H226" s="8">
        <f t="shared" ca="1" si="14"/>
        <v>0.21139832823115703</v>
      </c>
    </row>
    <row r="227" spans="5:8" x14ac:dyDescent="0.3">
      <c r="E227" s="8">
        <f t="shared" si="15"/>
        <v>223</v>
      </c>
      <c r="F227" s="8">
        <f t="shared" ca="1" si="12"/>
        <v>1.301317874290318</v>
      </c>
      <c r="G227" s="8">
        <f t="shared" ca="1" si="13"/>
        <v>1463.5872567528043</v>
      </c>
      <c r="H227" s="8">
        <f t="shared" ca="1" si="14"/>
        <v>0.13988218070847791</v>
      </c>
    </row>
    <row r="228" spans="5:8" x14ac:dyDescent="0.3">
      <c r="E228" s="8">
        <f t="shared" si="15"/>
        <v>224</v>
      </c>
      <c r="F228" s="8">
        <f t="shared" ca="1" si="12"/>
        <v>1.1634208274613571</v>
      </c>
      <c r="G228" s="8">
        <f t="shared" ca="1" si="13"/>
        <v>1764.702695634694</v>
      </c>
      <c r="H228" s="8">
        <f t="shared" ca="1" si="14"/>
        <v>0.1686612535252503</v>
      </c>
    </row>
    <row r="229" spans="5:8" x14ac:dyDescent="0.3">
      <c r="E229" s="8">
        <f t="shared" si="15"/>
        <v>225</v>
      </c>
      <c r="F229" s="8">
        <f t="shared" ca="1" si="12"/>
        <v>1.2771716138741342</v>
      </c>
      <c r="G229" s="8">
        <f t="shared" ca="1" si="13"/>
        <v>1516.3136346540934</v>
      </c>
      <c r="H229" s="8">
        <f t="shared" ca="1" si="14"/>
        <v>0.1449214981032298</v>
      </c>
    </row>
    <row r="230" spans="5:8" x14ac:dyDescent="0.3">
      <c r="E230" s="8">
        <f t="shared" si="15"/>
        <v>226</v>
      </c>
      <c r="F230" s="8">
        <f t="shared" ca="1" si="12"/>
        <v>1.0589950367285867</v>
      </c>
      <c r="G230" s="8">
        <f t="shared" ca="1" si="13"/>
        <v>1992.7294629235396</v>
      </c>
      <c r="H230" s="8">
        <f t="shared" ca="1" si="14"/>
        <v>0.19045488511168304</v>
      </c>
    </row>
    <row r="231" spans="5:8" x14ac:dyDescent="0.3">
      <c r="E231" s="8">
        <f t="shared" si="15"/>
        <v>227</v>
      </c>
      <c r="F231" s="8">
        <f t="shared" ca="1" si="12"/>
        <v>1.3480370748294219</v>
      </c>
      <c r="G231" s="8">
        <f t="shared" ca="1" si="13"/>
        <v>1361.5700424756035</v>
      </c>
      <c r="H231" s="8">
        <f t="shared" ca="1" si="14"/>
        <v>0.13013189739803149</v>
      </c>
    </row>
    <row r="232" spans="5:8" x14ac:dyDescent="0.3">
      <c r="E232" s="8">
        <f t="shared" si="15"/>
        <v>228</v>
      </c>
      <c r="F232" s="8">
        <f t="shared" ca="1" si="12"/>
        <v>0.93009870108833259</v>
      </c>
      <c r="G232" s="8">
        <f t="shared" ca="1" si="13"/>
        <v>2274.1907238359895</v>
      </c>
      <c r="H232" s="8">
        <f t="shared" ca="1" si="14"/>
        <v>0.21735551217012228</v>
      </c>
    </row>
    <row r="233" spans="5:8" x14ac:dyDescent="0.3">
      <c r="E233" s="8">
        <f t="shared" si="15"/>
        <v>229</v>
      </c>
      <c r="F233" s="8">
        <f t="shared" ca="1" si="12"/>
        <v>1.2606390320931151</v>
      </c>
      <c r="G233" s="8">
        <f t="shared" ca="1" si="13"/>
        <v>1552.4145935456713</v>
      </c>
      <c r="H233" s="8">
        <f t="shared" ca="1" si="14"/>
        <v>0.14837184302261983</v>
      </c>
    </row>
    <row r="234" spans="5:8" x14ac:dyDescent="0.3">
      <c r="E234" s="8">
        <f t="shared" si="15"/>
        <v>230</v>
      </c>
      <c r="F234" s="8">
        <f t="shared" ca="1" si="12"/>
        <v>0.96987996500734375</v>
      </c>
      <c r="G234" s="8">
        <f t="shared" ca="1" si="13"/>
        <v>2187.323361410839</v>
      </c>
      <c r="H234" s="8">
        <f t="shared" ca="1" si="14"/>
        <v>0.20905317417670258</v>
      </c>
    </row>
    <row r="235" spans="5:8" x14ac:dyDescent="0.3">
      <c r="E235" s="8">
        <f t="shared" si="15"/>
        <v>231</v>
      </c>
      <c r="F235" s="8">
        <f t="shared" ca="1" si="12"/>
        <v>1.1781186684730089</v>
      </c>
      <c r="G235" s="8">
        <f t="shared" ca="1" si="13"/>
        <v>1732.6081225556256</v>
      </c>
      <c r="H235" s="8">
        <f t="shared" ca="1" si="14"/>
        <v>0.1655938184608263</v>
      </c>
    </row>
    <row r="236" spans="5:8" x14ac:dyDescent="0.3">
      <c r="E236" s="8">
        <f t="shared" si="15"/>
        <v>232</v>
      </c>
      <c r="F236" s="8">
        <f t="shared" ca="1" si="12"/>
        <v>1.1008558762139193</v>
      </c>
      <c r="G236" s="8">
        <f t="shared" ca="1" si="13"/>
        <v>1901.3210873023802</v>
      </c>
      <c r="H236" s="8">
        <f t="shared" ca="1" si="14"/>
        <v>0.1817185403137131</v>
      </c>
    </row>
    <row r="237" spans="5:8" x14ac:dyDescent="0.3">
      <c r="E237" s="8">
        <f t="shared" si="15"/>
        <v>233</v>
      </c>
      <c r="F237" s="8">
        <f t="shared" ca="1" si="12"/>
        <v>0.78571143988486647</v>
      </c>
      <c r="G237" s="8">
        <f t="shared" ca="1" si="13"/>
        <v>2589.4783570814084</v>
      </c>
      <c r="H237" s="8">
        <f t="shared" ca="1" si="14"/>
        <v>0.24748909080391937</v>
      </c>
    </row>
    <row r="238" spans="5:8" x14ac:dyDescent="0.3">
      <c r="E238" s="8">
        <f t="shared" si="15"/>
        <v>234</v>
      </c>
      <c r="F238" s="8">
        <f t="shared" ca="1" si="12"/>
        <v>1.1875768632278507</v>
      </c>
      <c r="G238" s="8">
        <f t="shared" ca="1" si="13"/>
        <v>1711.9549720340842</v>
      </c>
      <c r="H238" s="8">
        <f t="shared" ca="1" si="14"/>
        <v>0.16361989601778498</v>
      </c>
    </row>
    <row r="239" spans="5:8" x14ac:dyDescent="0.3">
      <c r="E239" s="8">
        <f t="shared" si="15"/>
        <v>235</v>
      </c>
      <c r="F239" s="8">
        <f t="shared" ca="1" si="12"/>
        <v>1.3162354864201853</v>
      </c>
      <c r="G239" s="8">
        <f t="shared" ca="1" si="13"/>
        <v>1431.0127859657227</v>
      </c>
      <c r="H239" s="8">
        <f t="shared" ca="1" si="14"/>
        <v>0.13676887947679658</v>
      </c>
    </row>
    <row r="240" spans="5:8" x14ac:dyDescent="0.3">
      <c r="E240" s="8">
        <f t="shared" si="15"/>
        <v>236</v>
      </c>
      <c r="F240" s="8">
        <f t="shared" ca="1" si="12"/>
        <v>1.3241101757843292</v>
      </c>
      <c r="G240" s="8">
        <f t="shared" ca="1" si="13"/>
        <v>1413.8174174029441</v>
      </c>
      <c r="H240" s="8">
        <f t="shared" ca="1" si="14"/>
        <v>0.13512543413962957</v>
      </c>
    </row>
    <row r="241" spans="5:8" x14ac:dyDescent="0.3">
      <c r="E241" s="8">
        <f t="shared" si="15"/>
        <v>237</v>
      </c>
      <c r="F241" s="8">
        <f t="shared" ca="1" si="12"/>
        <v>1.2453819294938251</v>
      </c>
      <c r="G241" s="8">
        <f t="shared" ca="1" si="13"/>
        <v>1585.730384209046</v>
      </c>
      <c r="H241" s="8">
        <f t="shared" ca="1" si="14"/>
        <v>0.15155599581468471</v>
      </c>
    </row>
    <row r="242" spans="5:8" x14ac:dyDescent="0.3">
      <c r="E242" s="8">
        <f t="shared" si="15"/>
        <v>238</v>
      </c>
      <c r="F242" s="8">
        <f t="shared" ca="1" si="12"/>
        <v>1.1263829717384857</v>
      </c>
      <c r="G242" s="8">
        <f t="shared" ca="1" si="13"/>
        <v>1845.5794833375492</v>
      </c>
      <c r="H242" s="8">
        <f t="shared" ca="1" si="14"/>
        <v>0.17639104304095854</v>
      </c>
    </row>
    <row r="243" spans="5:8" x14ac:dyDescent="0.3">
      <c r="E243" s="8">
        <f t="shared" si="15"/>
        <v>239</v>
      </c>
      <c r="F243" s="8">
        <f t="shared" ca="1" si="12"/>
        <v>1.1072935780529478</v>
      </c>
      <c r="G243" s="8">
        <f t="shared" ca="1" si="13"/>
        <v>1887.2635606241317</v>
      </c>
      <c r="H243" s="8">
        <f t="shared" ca="1" si="14"/>
        <v>0.18037499384728392</v>
      </c>
    </row>
    <row r="244" spans="5:8" x14ac:dyDescent="0.3">
      <c r="E244" s="8">
        <f t="shared" si="15"/>
        <v>240</v>
      </c>
      <c r="F244" s="8">
        <f t="shared" ca="1" si="12"/>
        <v>1.217112591322447</v>
      </c>
      <c r="G244" s="8">
        <f t="shared" ca="1" si="13"/>
        <v>1647.4600177735215</v>
      </c>
      <c r="H244" s="8">
        <f t="shared" ca="1" si="14"/>
        <v>0.15745579831535139</v>
      </c>
    </row>
    <row r="245" spans="5:8" x14ac:dyDescent="0.3">
      <c r="E245" s="8">
        <f t="shared" si="15"/>
        <v>241</v>
      </c>
      <c r="F245" s="8">
        <f t="shared" ca="1" si="12"/>
        <v>1.0804279169577407</v>
      </c>
      <c r="G245" s="8">
        <f t="shared" ca="1" si="13"/>
        <v>1945.9280898331535</v>
      </c>
      <c r="H245" s="8">
        <f t="shared" ca="1" si="14"/>
        <v>0.18598184935803819</v>
      </c>
    </row>
    <row r="246" spans="5:8" x14ac:dyDescent="0.3">
      <c r="E246" s="8">
        <f t="shared" si="15"/>
        <v>242</v>
      </c>
      <c r="F246" s="8">
        <f t="shared" ca="1" si="12"/>
        <v>1.1591947624459786</v>
      </c>
      <c r="G246" s="8">
        <f t="shared" ca="1" si="13"/>
        <v>1773.9308368538998</v>
      </c>
      <c r="H246" s="8">
        <f t="shared" ca="1" si="14"/>
        <v>0.16954323204185223</v>
      </c>
    </row>
    <row r="247" spans="5:8" x14ac:dyDescent="0.3">
      <c r="E247" s="8">
        <f t="shared" si="15"/>
        <v>243</v>
      </c>
      <c r="F247" s="8">
        <f t="shared" ca="1" si="12"/>
        <v>1.0061327770598876</v>
      </c>
      <c r="G247" s="8">
        <f t="shared" ca="1" si="13"/>
        <v>2108.1608146926028</v>
      </c>
      <c r="H247" s="8">
        <f t="shared" ca="1" si="14"/>
        <v>0.20148722304239727</v>
      </c>
    </row>
    <row r="248" spans="5:8" x14ac:dyDescent="0.3">
      <c r="E248" s="8">
        <f t="shared" si="15"/>
        <v>244</v>
      </c>
      <c r="F248" s="8">
        <f t="shared" ca="1" si="12"/>
        <v>1.2231097259135941</v>
      </c>
      <c r="G248" s="8">
        <f t="shared" ca="1" si="13"/>
        <v>1634.364524751928</v>
      </c>
      <c r="H248" s="8">
        <f t="shared" ca="1" si="14"/>
        <v>0.15620419810302283</v>
      </c>
    </row>
    <row r="249" spans="5:8" x14ac:dyDescent="0.3">
      <c r="E249" s="8">
        <f t="shared" si="15"/>
        <v>245</v>
      </c>
      <c r="F249" s="8">
        <f t="shared" ca="1" si="12"/>
        <v>1.3960745401757073</v>
      </c>
      <c r="G249" s="8">
        <f t="shared" ca="1" si="13"/>
        <v>1256.674232208821</v>
      </c>
      <c r="H249" s="8">
        <f t="shared" ca="1" si="14"/>
        <v>0.12010649261290461</v>
      </c>
    </row>
    <row r="250" spans="5:8" x14ac:dyDescent="0.3">
      <c r="E250" s="8">
        <f t="shared" si="15"/>
        <v>246</v>
      </c>
      <c r="F250" s="8">
        <f t="shared" ca="1" si="12"/>
        <v>1.1948682519691862</v>
      </c>
      <c r="G250" s="8">
        <f t="shared" ca="1" si="13"/>
        <v>1696.0333132937856</v>
      </c>
      <c r="H250" s="8">
        <f t="shared" ca="1" si="14"/>
        <v>0.16209818534777651</v>
      </c>
    </row>
    <row r="251" spans="5:8" x14ac:dyDescent="0.3">
      <c r="E251" s="8">
        <f t="shared" si="15"/>
        <v>247</v>
      </c>
      <c r="F251" s="8">
        <f t="shared" ca="1" si="12"/>
        <v>1.1710249082762925</v>
      </c>
      <c r="G251" s="8">
        <f t="shared" ca="1" si="13"/>
        <v>1748.0982346651808</v>
      </c>
      <c r="H251" s="8">
        <f t="shared" ca="1" si="14"/>
        <v>0.16707428411212663</v>
      </c>
    </row>
    <row r="252" spans="5:8" x14ac:dyDescent="0.3">
      <c r="E252" s="8">
        <f t="shared" si="15"/>
        <v>248</v>
      </c>
      <c r="F252" s="8">
        <f t="shared" ca="1" si="12"/>
        <v>1.2680710227973531</v>
      </c>
      <c r="G252" s="8">
        <f t="shared" ca="1" si="13"/>
        <v>1536.1859128441297</v>
      </c>
      <c r="H252" s="8">
        <f t="shared" ca="1" si="14"/>
        <v>0.14682078876461147</v>
      </c>
    </row>
    <row r="253" spans="5:8" x14ac:dyDescent="0.3">
      <c r="E253" s="8">
        <f t="shared" si="15"/>
        <v>249</v>
      </c>
      <c r="F253" s="8">
        <f t="shared" ca="1" si="12"/>
        <v>1.224430884319295</v>
      </c>
      <c r="G253" s="8">
        <f t="shared" ca="1" si="13"/>
        <v>1631.4796102282792</v>
      </c>
      <c r="H253" s="8">
        <f t="shared" ca="1" si="14"/>
        <v>0.15592847273518867</v>
      </c>
    </row>
    <row r="254" spans="5:8" x14ac:dyDescent="0.3">
      <c r="E254" s="8">
        <f t="shared" si="15"/>
        <v>250</v>
      </c>
      <c r="F254" s="8">
        <f t="shared" ca="1" si="12"/>
        <v>1.1169248050553475</v>
      </c>
      <c r="G254" s="8">
        <f t="shared" ca="1" si="13"/>
        <v>1866.2325725610167</v>
      </c>
      <c r="H254" s="8">
        <f t="shared" ca="1" si="14"/>
        <v>0.17836495962544363</v>
      </c>
    </row>
    <row r="255" spans="5:8" x14ac:dyDescent="0.3">
      <c r="E255" s="8">
        <f t="shared" si="15"/>
        <v>251</v>
      </c>
      <c r="F255" s="8">
        <f t="shared" ca="1" si="12"/>
        <v>1.0987165725730277</v>
      </c>
      <c r="G255" s="8">
        <f t="shared" ca="1" si="13"/>
        <v>1905.9925242152224</v>
      </c>
      <c r="H255" s="8">
        <f t="shared" ca="1" si="14"/>
        <v>0.18216501234972976</v>
      </c>
    </row>
    <row r="256" spans="5:8" x14ac:dyDescent="0.3">
      <c r="E256" s="8">
        <f t="shared" si="15"/>
        <v>252</v>
      </c>
      <c r="F256" s="8">
        <f t="shared" ca="1" si="12"/>
        <v>1.1072582025547655</v>
      </c>
      <c r="G256" s="8">
        <f t="shared" ca="1" si="13"/>
        <v>1887.34080744635</v>
      </c>
      <c r="H256" s="8">
        <f t="shared" ca="1" si="14"/>
        <v>0.18038237670327345</v>
      </c>
    </row>
    <row r="257" spans="5:8" x14ac:dyDescent="0.3">
      <c r="E257" s="8">
        <f t="shared" si="15"/>
        <v>253</v>
      </c>
      <c r="F257" s="8">
        <f t="shared" ca="1" si="12"/>
        <v>1.2699163275989052</v>
      </c>
      <c r="G257" s="8">
        <f t="shared" ca="1" si="13"/>
        <v>1532.1564591468405</v>
      </c>
      <c r="H257" s="8">
        <f t="shared" ca="1" si="14"/>
        <v>0.14643567419925838</v>
      </c>
    </row>
    <row r="258" spans="5:8" x14ac:dyDescent="0.3">
      <c r="E258" s="8">
        <f t="shared" si="15"/>
        <v>254</v>
      </c>
      <c r="F258" s="8">
        <f t="shared" ca="1" si="12"/>
        <v>1.0250722299623496</v>
      </c>
      <c r="G258" s="8">
        <f t="shared" ca="1" si="13"/>
        <v>2066.8041518484642</v>
      </c>
      <c r="H258" s="8">
        <f t="shared" ca="1" si="14"/>
        <v>0.19753456483307505</v>
      </c>
    </row>
    <row r="259" spans="5:8" x14ac:dyDescent="0.3">
      <c r="E259" s="8">
        <f t="shared" si="15"/>
        <v>255</v>
      </c>
      <c r="F259" s="8">
        <f t="shared" ca="1" si="12"/>
        <v>1.4859354741865696</v>
      </c>
      <c r="G259" s="8">
        <f t="shared" ca="1" si="13"/>
        <v>1060.4516501793519</v>
      </c>
      <c r="H259" s="8">
        <f t="shared" ca="1" si="14"/>
        <v>0.10135254230902722</v>
      </c>
    </row>
    <row r="260" spans="5:8" x14ac:dyDescent="0.3">
      <c r="E260" s="8">
        <f t="shared" si="15"/>
        <v>256</v>
      </c>
      <c r="F260" s="8">
        <f t="shared" ca="1" si="12"/>
        <v>1.1853245155473759</v>
      </c>
      <c r="G260" s="8">
        <f t="shared" ca="1" si="13"/>
        <v>1716.8732547378611</v>
      </c>
      <c r="H260" s="8">
        <f t="shared" ca="1" si="14"/>
        <v>0.16408996031136969</v>
      </c>
    </row>
    <row r="261" spans="5:8" x14ac:dyDescent="0.3">
      <c r="E261" s="8">
        <f t="shared" si="15"/>
        <v>257</v>
      </c>
      <c r="F261" s="8">
        <f t="shared" ref="F261:F324" ca="1" si="16">_xlfn.NORM.INV(RAND(), $C$9, $C$9 * $C$10)</f>
        <v>0.99055004479950948</v>
      </c>
      <c r="G261" s="8">
        <f t="shared" ref="G261:G324" ca="1" si="17">$C$7 - ($C$6 + ($C$8 * $C$11)) - (($C$6 + ($C$8 * $C$11)) * (1 - $C$12) * (F261 - $C$13))</f>
        <v>2142.1876584246711</v>
      </c>
      <c r="H261" s="8">
        <f t="shared" ref="H261:H324" ca="1" si="18">G261 / $C$7</f>
        <v>0.204739334648253</v>
      </c>
    </row>
    <row r="262" spans="5:8" x14ac:dyDescent="0.3">
      <c r="E262" s="8">
        <f t="shared" ref="E262:E325" si="19">ROW()-4</f>
        <v>258</v>
      </c>
      <c r="F262" s="8">
        <f t="shared" ca="1" si="16"/>
        <v>0.98712580286802998</v>
      </c>
      <c r="G262" s="8">
        <f t="shared" ca="1" si="17"/>
        <v>2149.664918712298</v>
      </c>
      <c r="H262" s="8">
        <f t="shared" ca="1" si="18"/>
        <v>0.20545397292481105</v>
      </c>
    </row>
    <row r="263" spans="5:8" x14ac:dyDescent="0.3">
      <c r="E263" s="8">
        <f t="shared" si="19"/>
        <v>259</v>
      </c>
      <c r="F263" s="8">
        <f t="shared" ca="1" si="16"/>
        <v>1.1311406009766278</v>
      </c>
      <c r="G263" s="8">
        <f t="shared" ca="1" si="17"/>
        <v>1835.1906051924109</v>
      </c>
      <c r="H263" s="8">
        <f t="shared" ca="1" si="18"/>
        <v>0.17539812722855883</v>
      </c>
    </row>
    <row r="264" spans="5:8" x14ac:dyDescent="0.3">
      <c r="E264" s="8">
        <f t="shared" si="19"/>
        <v>260</v>
      </c>
      <c r="F264" s="8">
        <f t="shared" ca="1" si="16"/>
        <v>1.2342049994641553</v>
      </c>
      <c r="G264" s="8">
        <f t="shared" ca="1" si="17"/>
        <v>1610.1366080450837</v>
      </c>
      <c r="H264" s="8">
        <f t="shared" ca="1" si="18"/>
        <v>0.15388861780035207</v>
      </c>
    </row>
    <row r="265" spans="5:8" x14ac:dyDescent="0.3">
      <c r="E265" s="8">
        <f t="shared" si="19"/>
        <v>261</v>
      </c>
      <c r="F265" s="8">
        <f t="shared" ca="1" si="16"/>
        <v>1.2459558966351301</v>
      </c>
      <c r="G265" s="8">
        <f t="shared" ca="1" si="17"/>
        <v>1584.477055210114</v>
      </c>
      <c r="H265" s="8">
        <f t="shared" ca="1" si="18"/>
        <v>0.15143620904235058</v>
      </c>
    </row>
    <row r="266" spans="5:8" x14ac:dyDescent="0.3">
      <c r="E266" s="8">
        <f t="shared" si="19"/>
        <v>262</v>
      </c>
      <c r="F266" s="8">
        <f t="shared" ca="1" si="16"/>
        <v>1.1722450133342828</v>
      </c>
      <c r="G266" s="8">
        <f t="shared" ca="1" si="17"/>
        <v>1745.4339827579267</v>
      </c>
      <c r="H266" s="8">
        <f t="shared" ca="1" si="18"/>
        <v>0.16681964854801937</v>
      </c>
    </row>
    <row r="267" spans="5:8" x14ac:dyDescent="0.3">
      <c r="E267" s="8">
        <f t="shared" si="19"/>
        <v>263</v>
      </c>
      <c r="F267" s="8">
        <f t="shared" ca="1" si="16"/>
        <v>1.2458084978809059</v>
      </c>
      <c r="G267" s="8">
        <f t="shared" ca="1" si="17"/>
        <v>1584.7989188148067</v>
      </c>
      <c r="H267" s="8">
        <f t="shared" ca="1" si="18"/>
        <v>0.15146697111868554</v>
      </c>
    </row>
    <row r="268" spans="5:8" x14ac:dyDescent="0.3">
      <c r="E268" s="8">
        <f t="shared" si="19"/>
        <v>264</v>
      </c>
      <c r="F268" s="8">
        <f t="shared" ca="1" si="16"/>
        <v>0.74971681181629746</v>
      </c>
      <c r="G268" s="8">
        <f t="shared" ca="1" si="17"/>
        <v>2668.0771267976374</v>
      </c>
      <c r="H268" s="8">
        <f t="shared" ca="1" si="18"/>
        <v>0.25500115901726439</v>
      </c>
    </row>
    <row r="269" spans="5:8" x14ac:dyDescent="0.3">
      <c r="E269" s="8">
        <f t="shared" si="19"/>
        <v>265</v>
      </c>
      <c r="F269" s="8">
        <f t="shared" ca="1" si="16"/>
        <v>0.98482180087380633</v>
      </c>
      <c r="G269" s="8">
        <f t="shared" ca="1" si="17"/>
        <v>2154.6959950669343</v>
      </c>
      <c r="H269" s="8">
        <f t="shared" ca="1" si="18"/>
        <v>0.20593481745837086</v>
      </c>
    </row>
    <row r="270" spans="5:8" x14ac:dyDescent="0.3">
      <c r="E270" s="8">
        <f t="shared" si="19"/>
        <v>266</v>
      </c>
      <c r="F270" s="8">
        <f t="shared" ca="1" si="16"/>
        <v>1.09690581636764</v>
      </c>
      <c r="G270" s="8">
        <f t="shared" ca="1" si="17"/>
        <v>1909.946536734212</v>
      </c>
      <c r="H270" s="8">
        <f t="shared" ca="1" si="18"/>
        <v>0.18254291663329944</v>
      </c>
    </row>
    <row r="271" spans="5:8" x14ac:dyDescent="0.3">
      <c r="E271" s="8">
        <f t="shared" si="19"/>
        <v>267</v>
      </c>
      <c r="F271" s="8">
        <f t="shared" ca="1" si="16"/>
        <v>1.4459050485884046</v>
      </c>
      <c r="G271" s="8">
        <f t="shared" ca="1" si="17"/>
        <v>1147.8630882761449</v>
      </c>
      <c r="H271" s="8">
        <f t="shared" ca="1" si="18"/>
        <v>0.10970688027106422</v>
      </c>
    </row>
    <row r="272" spans="5:8" x14ac:dyDescent="0.3">
      <c r="E272" s="8">
        <f t="shared" si="19"/>
        <v>268</v>
      </c>
      <c r="F272" s="8">
        <f t="shared" ca="1" si="16"/>
        <v>1.4044785044370311</v>
      </c>
      <c r="G272" s="8">
        <f t="shared" ca="1" si="17"/>
        <v>1238.3231257486877</v>
      </c>
      <c r="H272" s="8">
        <f t="shared" ca="1" si="18"/>
        <v>0.11835258776151082</v>
      </c>
    </row>
    <row r="273" spans="5:8" x14ac:dyDescent="0.3">
      <c r="E273" s="8">
        <f t="shared" si="19"/>
        <v>269</v>
      </c>
      <c r="F273" s="8">
        <f t="shared" ca="1" si="16"/>
        <v>1.4136747140129287</v>
      </c>
      <c r="G273" s="8">
        <f t="shared" ca="1" si="17"/>
        <v>1218.2420526135186</v>
      </c>
      <c r="H273" s="8">
        <f t="shared" ca="1" si="18"/>
        <v>0.11643334154769364</v>
      </c>
    </row>
    <row r="274" spans="5:8" x14ac:dyDescent="0.3">
      <c r="E274" s="8">
        <f t="shared" si="19"/>
        <v>270</v>
      </c>
      <c r="F274" s="8">
        <f t="shared" ca="1" si="16"/>
        <v>1.1353062679870811</v>
      </c>
      <c r="G274" s="8">
        <f t="shared" ca="1" si="17"/>
        <v>1826.0943505667099</v>
      </c>
      <c r="H274" s="8">
        <f t="shared" ca="1" si="18"/>
        <v>0.17452875375768995</v>
      </c>
    </row>
    <row r="275" spans="5:8" x14ac:dyDescent="0.3">
      <c r="E275" s="8">
        <f t="shared" si="19"/>
        <v>271</v>
      </c>
      <c r="F275" s="8">
        <f t="shared" ca="1" si="16"/>
        <v>1.0673116602799404</v>
      </c>
      <c r="G275" s="8">
        <f t="shared" ca="1" si="17"/>
        <v>1974.5690758212149</v>
      </c>
      <c r="H275" s="8">
        <f t="shared" ca="1" si="18"/>
        <v>0.18871920824058253</v>
      </c>
    </row>
    <row r="276" spans="5:8" x14ac:dyDescent="0.3">
      <c r="E276" s="8">
        <f t="shared" si="19"/>
        <v>272</v>
      </c>
      <c r="F276" s="8">
        <f t="shared" ca="1" si="16"/>
        <v>1.2056750083645968</v>
      </c>
      <c r="G276" s="8">
        <f t="shared" ca="1" si="17"/>
        <v>1672.4354098598571</v>
      </c>
      <c r="H276" s="8">
        <f t="shared" ca="1" si="18"/>
        <v>0.1598428184899032</v>
      </c>
    </row>
    <row r="277" spans="5:8" x14ac:dyDescent="0.3">
      <c r="E277" s="8">
        <f t="shared" si="19"/>
        <v>273</v>
      </c>
      <c r="F277" s="8">
        <f t="shared" ca="1" si="16"/>
        <v>1.1881143569112065</v>
      </c>
      <c r="G277" s="8">
        <f t="shared" ca="1" si="17"/>
        <v>1710.7812873897667</v>
      </c>
      <c r="H277" s="8">
        <f t="shared" ca="1" si="18"/>
        <v>0.16350772124531843</v>
      </c>
    </row>
    <row r="278" spans="5:8" x14ac:dyDescent="0.3">
      <c r="E278" s="8">
        <f t="shared" si="19"/>
        <v>274</v>
      </c>
      <c r="F278" s="8">
        <f t="shared" ca="1" si="16"/>
        <v>1.2492790342915125</v>
      </c>
      <c r="G278" s="8">
        <f t="shared" ca="1" si="17"/>
        <v>1577.2205687451958</v>
      </c>
      <c r="H278" s="8">
        <f t="shared" ca="1" si="18"/>
        <v>0.15074267119804988</v>
      </c>
    </row>
    <row r="279" spans="5:8" x14ac:dyDescent="0.3">
      <c r="E279" s="8">
        <f t="shared" si="19"/>
        <v>275</v>
      </c>
      <c r="F279" s="8">
        <f t="shared" ca="1" si="16"/>
        <v>1.2725950462667155</v>
      </c>
      <c r="G279" s="8">
        <f t="shared" ca="1" si="17"/>
        <v>1526.3071420958433</v>
      </c>
      <c r="H279" s="8">
        <f t="shared" ca="1" si="18"/>
        <v>0.14587662640694288</v>
      </c>
    </row>
    <row r="280" spans="5:8" x14ac:dyDescent="0.3">
      <c r="E280" s="8">
        <f t="shared" si="19"/>
        <v>276</v>
      </c>
      <c r="F280" s="8">
        <f t="shared" ca="1" si="16"/>
        <v>1.2599332890534258</v>
      </c>
      <c r="G280" s="8">
        <f t="shared" ca="1" si="17"/>
        <v>1553.955671690713</v>
      </c>
      <c r="H280" s="8">
        <f t="shared" ca="1" si="18"/>
        <v>0.14851913138590395</v>
      </c>
    </row>
    <row r="281" spans="5:8" x14ac:dyDescent="0.3">
      <c r="E281" s="8">
        <f t="shared" si="19"/>
        <v>277</v>
      </c>
      <c r="F281" s="8">
        <f t="shared" ca="1" si="16"/>
        <v>1.1457520248655455</v>
      </c>
      <c r="G281" s="8">
        <f t="shared" ca="1" si="17"/>
        <v>1803.2847347029731</v>
      </c>
      <c r="H281" s="8">
        <f t="shared" ca="1" si="18"/>
        <v>0.1723487273920456</v>
      </c>
    </row>
    <row r="282" spans="5:8" x14ac:dyDescent="0.3">
      <c r="E282" s="8">
        <f t="shared" si="19"/>
        <v>278</v>
      </c>
      <c r="F282" s="8">
        <f t="shared" ca="1" si="16"/>
        <v>1.366401305796445</v>
      </c>
      <c r="G282" s="8">
        <f t="shared" ca="1" si="17"/>
        <v>1321.4694486302376</v>
      </c>
      <c r="H282" s="8">
        <f t="shared" ca="1" si="18"/>
        <v>0.12629928783620736</v>
      </c>
    </row>
    <row r="283" spans="5:8" x14ac:dyDescent="0.3">
      <c r="E283" s="8">
        <f t="shared" si="19"/>
        <v>279</v>
      </c>
      <c r="F283" s="8">
        <f t="shared" ca="1" si="16"/>
        <v>1.3465718305050558</v>
      </c>
      <c r="G283" s="8">
        <f t="shared" ca="1" si="17"/>
        <v>1364.7695866133975</v>
      </c>
      <c r="H283" s="8">
        <f t="shared" ca="1" si="18"/>
        <v>0.13043769345440098</v>
      </c>
    </row>
    <row r="284" spans="5:8" x14ac:dyDescent="0.3">
      <c r="E284" s="8">
        <f t="shared" si="19"/>
        <v>280</v>
      </c>
      <c r="F284" s="8">
        <f t="shared" ca="1" si="16"/>
        <v>1.268154257104078</v>
      </c>
      <c r="G284" s="8">
        <f t="shared" ca="1" si="17"/>
        <v>1536.0041603311074</v>
      </c>
      <c r="H284" s="8">
        <f t="shared" ca="1" si="18"/>
        <v>0.1468034177894588</v>
      </c>
    </row>
    <row r="285" spans="5:8" x14ac:dyDescent="0.3">
      <c r="E285" s="8">
        <f t="shared" si="19"/>
        <v>281</v>
      </c>
      <c r="F285" s="8">
        <f t="shared" ca="1" si="16"/>
        <v>1.2355133127885503</v>
      </c>
      <c r="G285" s="8">
        <f t="shared" ca="1" si="17"/>
        <v>1607.2797423621018</v>
      </c>
      <c r="H285" s="8">
        <f t="shared" ca="1" si="18"/>
        <v>0.15361557319718072</v>
      </c>
    </row>
    <row r="286" spans="5:8" x14ac:dyDescent="0.3">
      <c r="E286" s="8">
        <f t="shared" si="19"/>
        <v>282</v>
      </c>
      <c r="F286" s="8">
        <f t="shared" ca="1" si="16"/>
        <v>1.2922280802445236</v>
      </c>
      <c r="G286" s="8">
        <f t="shared" ca="1" si="17"/>
        <v>1483.4359582760519</v>
      </c>
      <c r="H286" s="8">
        <f t="shared" ca="1" si="18"/>
        <v>0.14177921803269158</v>
      </c>
    </row>
    <row r="287" spans="5:8" x14ac:dyDescent="0.3">
      <c r="E287" s="8">
        <f t="shared" si="19"/>
        <v>283</v>
      </c>
      <c r="F287" s="8">
        <f t="shared" ca="1" si="16"/>
        <v>1.3211225535653419</v>
      </c>
      <c r="G287" s="8">
        <f t="shared" ca="1" si="17"/>
        <v>1420.3412639708802</v>
      </c>
      <c r="H287" s="8">
        <f t="shared" ca="1" si="18"/>
        <v>0.1357489500115531</v>
      </c>
    </row>
    <row r="288" spans="5:8" x14ac:dyDescent="0.3">
      <c r="E288" s="8">
        <f t="shared" si="19"/>
        <v>284</v>
      </c>
      <c r="F288" s="8">
        <f t="shared" ca="1" si="16"/>
        <v>1.0584759848128684</v>
      </c>
      <c r="G288" s="8">
        <f t="shared" ca="1" si="17"/>
        <v>1993.8628776630001</v>
      </c>
      <c r="H288" s="8">
        <f t="shared" ca="1" si="18"/>
        <v>0.19056321109270763</v>
      </c>
    </row>
    <row r="289" spans="5:8" x14ac:dyDescent="0.3">
      <c r="E289" s="8">
        <f t="shared" si="19"/>
        <v>285</v>
      </c>
      <c r="F289" s="8">
        <f t="shared" ca="1" si="16"/>
        <v>1.0683683461784581</v>
      </c>
      <c r="G289" s="8">
        <f t="shared" ca="1" si="17"/>
        <v>1972.2616700760643</v>
      </c>
      <c r="H289" s="8">
        <f t="shared" ca="1" si="18"/>
        <v>0.18849867820663904</v>
      </c>
    </row>
    <row r="290" spans="5:8" x14ac:dyDescent="0.3">
      <c r="E290" s="8">
        <f t="shared" si="19"/>
        <v>286</v>
      </c>
      <c r="F290" s="8">
        <f t="shared" ca="1" si="16"/>
        <v>0.98167787812854235</v>
      </c>
      <c r="G290" s="8">
        <f t="shared" ca="1" si="17"/>
        <v>2161.5611433715617</v>
      </c>
      <c r="H290" s="8">
        <f t="shared" ca="1" si="18"/>
        <v>0.20659095320381934</v>
      </c>
    </row>
    <row r="291" spans="5:8" x14ac:dyDescent="0.3">
      <c r="E291" s="8">
        <f t="shared" si="19"/>
        <v>287</v>
      </c>
      <c r="F291" s="8">
        <f t="shared" ca="1" si="16"/>
        <v>1.0837460820994553</v>
      </c>
      <c r="G291" s="8">
        <f t="shared" ca="1" si="17"/>
        <v>1938.6824614755767</v>
      </c>
      <c r="H291" s="8">
        <f t="shared" ca="1" si="18"/>
        <v>0.18528934927607538</v>
      </c>
    </row>
    <row r="292" spans="5:8" x14ac:dyDescent="0.3">
      <c r="E292" s="8">
        <f t="shared" si="19"/>
        <v>288</v>
      </c>
      <c r="F292" s="8">
        <f t="shared" ca="1" si="16"/>
        <v>1.0778826732412861</v>
      </c>
      <c r="G292" s="8">
        <f t="shared" ca="1" si="17"/>
        <v>1951.4859476434965</v>
      </c>
      <c r="H292" s="8">
        <f t="shared" ca="1" si="18"/>
        <v>0.186513040967552</v>
      </c>
    </row>
    <row r="293" spans="5:8" x14ac:dyDescent="0.3">
      <c r="E293" s="8">
        <f t="shared" si="19"/>
        <v>289</v>
      </c>
      <c r="F293" s="8">
        <f t="shared" ca="1" si="16"/>
        <v>0.94455800205693563</v>
      </c>
      <c r="G293" s="8">
        <f t="shared" ca="1" si="17"/>
        <v>2242.6170327584236</v>
      </c>
      <c r="H293" s="8">
        <f t="shared" ca="1" si="18"/>
        <v>0.21433786034200741</v>
      </c>
    </row>
    <row r="294" spans="5:8" x14ac:dyDescent="0.3">
      <c r="E294" s="8">
        <f t="shared" si="19"/>
        <v>290</v>
      </c>
      <c r="F294" s="8">
        <f t="shared" ca="1" si="16"/>
        <v>1.132361303500526</v>
      </c>
      <c r="G294" s="8">
        <f t="shared" ca="1" si="17"/>
        <v>1832.5250486436637</v>
      </c>
      <c r="H294" s="8">
        <f t="shared" ca="1" si="18"/>
        <v>0.17514336697349361</v>
      </c>
    </row>
    <row r="295" spans="5:8" x14ac:dyDescent="0.3">
      <c r="E295" s="8">
        <f t="shared" si="19"/>
        <v>291</v>
      </c>
      <c r="F295" s="8">
        <f t="shared" ca="1" si="16"/>
        <v>1.0881719297751009</v>
      </c>
      <c r="G295" s="8">
        <f t="shared" ca="1" si="17"/>
        <v>1929.0180698448451</v>
      </c>
      <c r="H295" s="8">
        <f t="shared" ca="1" si="18"/>
        <v>0.18436567617746774</v>
      </c>
    </row>
    <row r="296" spans="5:8" x14ac:dyDescent="0.3">
      <c r="E296" s="8">
        <f t="shared" si="19"/>
        <v>292</v>
      </c>
      <c r="F296" s="8">
        <f t="shared" ca="1" si="16"/>
        <v>1.1911816544737073</v>
      </c>
      <c r="G296" s="8">
        <f t="shared" ca="1" si="17"/>
        <v>1704.0834597498508</v>
      </c>
      <c r="H296" s="8">
        <f t="shared" ca="1" si="18"/>
        <v>0.16286757715280997</v>
      </c>
    </row>
    <row r="297" spans="5:8" x14ac:dyDescent="0.3">
      <c r="E297" s="8">
        <f t="shared" si="19"/>
        <v>293</v>
      </c>
      <c r="F297" s="8">
        <f t="shared" ca="1" si="16"/>
        <v>1.4133345388211911</v>
      </c>
      <c r="G297" s="8">
        <f t="shared" ca="1" si="17"/>
        <v>1218.9848676665765</v>
      </c>
      <c r="H297" s="8">
        <f t="shared" ca="1" si="18"/>
        <v>0.11650433600942144</v>
      </c>
    </row>
    <row r="298" spans="5:8" x14ac:dyDescent="0.3">
      <c r="E298" s="8">
        <f t="shared" si="19"/>
        <v>294</v>
      </c>
      <c r="F298" s="8">
        <f t="shared" ca="1" si="16"/>
        <v>1.2298896794728609</v>
      </c>
      <c r="G298" s="8">
        <f t="shared" ca="1" si="17"/>
        <v>1619.5596486610741</v>
      </c>
      <c r="H298" s="8">
        <f t="shared" ca="1" si="18"/>
        <v>0.15478922380398299</v>
      </c>
    </row>
    <row r="299" spans="5:8" x14ac:dyDescent="0.3">
      <c r="E299" s="8">
        <f t="shared" si="19"/>
        <v>295</v>
      </c>
      <c r="F299" s="8">
        <f t="shared" ca="1" si="16"/>
        <v>1.3166106842657652</v>
      </c>
      <c r="G299" s="8">
        <f t="shared" ca="1" si="17"/>
        <v>1430.1934945701682</v>
      </c>
      <c r="H299" s="8">
        <f t="shared" ca="1" si="18"/>
        <v>0.13669057579758848</v>
      </c>
    </row>
    <row r="300" spans="5:8" x14ac:dyDescent="0.3">
      <c r="E300" s="8">
        <f t="shared" si="19"/>
        <v>296</v>
      </c>
      <c r="F300" s="8">
        <f t="shared" ca="1" si="16"/>
        <v>1.066674727858417</v>
      </c>
      <c r="G300" s="8">
        <f t="shared" ca="1" si="17"/>
        <v>1975.959897380164</v>
      </c>
      <c r="H300" s="8">
        <f t="shared" ca="1" si="18"/>
        <v>0.18885213584824276</v>
      </c>
    </row>
    <row r="301" spans="5:8" x14ac:dyDescent="0.3">
      <c r="E301" s="8">
        <f t="shared" si="19"/>
        <v>297</v>
      </c>
      <c r="F301" s="8">
        <f t="shared" ca="1" si="16"/>
        <v>1.2087374512167204</v>
      </c>
      <c r="G301" s="8">
        <f t="shared" ca="1" si="17"/>
        <v>1665.7481830868887</v>
      </c>
      <c r="H301" s="8">
        <f t="shared" ca="1" si="18"/>
        <v>0.15920368757401213</v>
      </c>
    </row>
    <row r="302" spans="5:8" x14ac:dyDescent="0.3">
      <c r="E302" s="8">
        <f t="shared" si="19"/>
        <v>298</v>
      </c>
      <c r="F302" s="8">
        <f t="shared" ca="1" si="16"/>
        <v>1.2057014306571263</v>
      </c>
      <c r="G302" s="8">
        <f t="shared" ca="1" si="17"/>
        <v>1672.3777134813324</v>
      </c>
      <c r="H302" s="8">
        <f t="shared" ca="1" si="18"/>
        <v>0.15983730416528075</v>
      </c>
    </row>
    <row r="303" spans="5:8" x14ac:dyDescent="0.3">
      <c r="E303" s="8">
        <f t="shared" si="19"/>
        <v>299</v>
      </c>
      <c r="F303" s="8">
        <f t="shared" ca="1" si="16"/>
        <v>1.4027274114639079</v>
      </c>
      <c r="G303" s="8">
        <f t="shared" ca="1" si="17"/>
        <v>1242.1468561421241</v>
      </c>
      <c r="H303" s="8">
        <f t="shared" ca="1" si="18"/>
        <v>0.11871804034618408</v>
      </c>
    </row>
    <row r="304" spans="5:8" x14ac:dyDescent="0.3">
      <c r="E304" s="8">
        <f t="shared" si="19"/>
        <v>300</v>
      </c>
      <c r="F304" s="8">
        <f t="shared" ca="1" si="16"/>
        <v>1.1091983796649163</v>
      </c>
      <c r="G304" s="8">
        <f t="shared" ca="1" si="17"/>
        <v>1883.104188204197</v>
      </c>
      <c r="H304" s="8">
        <f t="shared" ca="1" si="18"/>
        <v>0.1799774623152248</v>
      </c>
    </row>
    <row r="305" spans="5:8" x14ac:dyDescent="0.3">
      <c r="E305" s="8">
        <f t="shared" si="19"/>
        <v>301</v>
      </c>
      <c r="F305" s="8">
        <f t="shared" ca="1" si="16"/>
        <v>1.0809298123310969</v>
      </c>
      <c r="G305" s="8">
        <f t="shared" ca="1" si="17"/>
        <v>1944.8321385485085</v>
      </c>
      <c r="H305" s="8">
        <f t="shared" ca="1" si="18"/>
        <v>0.18587710394232138</v>
      </c>
    </row>
    <row r="306" spans="5:8" x14ac:dyDescent="0.3">
      <c r="E306" s="8">
        <f t="shared" si="19"/>
        <v>302</v>
      </c>
      <c r="F306" s="8">
        <f t="shared" ca="1" si="16"/>
        <v>1.2202362428345568</v>
      </c>
      <c r="G306" s="8">
        <f t="shared" ca="1" si="17"/>
        <v>1640.6391342403908</v>
      </c>
      <c r="H306" s="8">
        <f t="shared" ca="1" si="18"/>
        <v>0.15680389317025623</v>
      </c>
    </row>
    <row r="307" spans="5:8" x14ac:dyDescent="0.3">
      <c r="E307" s="8">
        <f t="shared" si="19"/>
        <v>303</v>
      </c>
      <c r="F307" s="8">
        <f t="shared" ca="1" si="16"/>
        <v>1.3170985542525395</v>
      </c>
      <c r="G307" s="8">
        <f t="shared" ca="1" si="17"/>
        <v>1429.1281694702982</v>
      </c>
      <c r="H307" s="8">
        <f t="shared" ca="1" si="18"/>
        <v>0.13658875747589583</v>
      </c>
    </row>
    <row r="308" spans="5:8" x14ac:dyDescent="0.3">
      <c r="E308" s="8">
        <f t="shared" si="19"/>
        <v>304</v>
      </c>
      <c r="F308" s="8">
        <f t="shared" ca="1" si="16"/>
        <v>1.0410620494465608</v>
      </c>
      <c r="G308" s="8">
        <f t="shared" ca="1" si="17"/>
        <v>2031.8883822772536</v>
      </c>
      <c r="H308" s="8">
        <f t="shared" ca="1" si="18"/>
        <v>0.19419749424421806</v>
      </c>
    </row>
    <row r="309" spans="5:8" x14ac:dyDescent="0.3">
      <c r="E309" s="8">
        <f t="shared" si="19"/>
        <v>305</v>
      </c>
      <c r="F309" s="8">
        <f t="shared" ca="1" si="16"/>
        <v>1.2805555371246404</v>
      </c>
      <c r="G309" s="8">
        <f t="shared" ca="1" si="17"/>
        <v>1508.924415246207</v>
      </c>
      <c r="H309" s="8">
        <f t="shared" ca="1" si="18"/>
        <v>0.14421527432344519</v>
      </c>
    </row>
    <row r="310" spans="5:8" x14ac:dyDescent="0.3">
      <c r="E310" s="8">
        <f t="shared" si="19"/>
        <v>306</v>
      </c>
      <c r="F310" s="8">
        <f t="shared" ca="1" si="16"/>
        <v>1.2425100376283686</v>
      </c>
      <c r="G310" s="8">
        <f t="shared" ca="1" si="17"/>
        <v>1592.0015190837535</v>
      </c>
      <c r="H310" s="8">
        <f t="shared" ca="1" si="18"/>
        <v>0.15215535879611522</v>
      </c>
    </row>
    <row r="311" spans="5:8" x14ac:dyDescent="0.3">
      <c r="E311" s="8">
        <f t="shared" si="19"/>
        <v>307</v>
      </c>
      <c r="F311" s="8">
        <f t="shared" ca="1" si="16"/>
        <v>1.3531722532768842</v>
      </c>
      <c r="G311" s="8">
        <f t="shared" ca="1" si="17"/>
        <v>1350.3567384382636</v>
      </c>
      <c r="H311" s="8">
        <f t="shared" ca="1" si="18"/>
        <v>0.12906018717750775</v>
      </c>
    </row>
    <row r="312" spans="5:8" x14ac:dyDescent="0.3">
      <c r="E312" s="8">
        <f t="shared" si="19"/>
        <v>308</v>
      </c>
      <c r="F312" s="8">
        <f t="shared" ca="1" si="16"/>
        <v>0.86027508914956474</v>
      </c>
      <c r="G312" s="8">
        <f t="shared" ca="1" si="17"/>
        <v>2426.6593084557817</v>
      </c>
      <c r="H312" s="8">
        <f t="shared" ca="1" si="18"/>
        <v>0.2319276792942542</v>
      </c>
    </row>
    <row r="313" spans="5:8" x14ac:dyDescent="0.3">
      <c r="E313" s="8">
        <f t="shared" si="19"/>
        <v>309</v>
      </c>
      <c r="F313" s="8">
        <f t="shared" ca="1" si="16"/>
        <v>0.92370927819685911</v>
      </c>
      <c r="G313" s="8">
        <f t="shared" ca="1" si="17"/>
        <v>2288.1428273973834</v>
      </c>
      <c r="H313" s="8">
        <f t="shared" ca="1" si="18"/>
        <v>0.21868898283450094</v>
      </c>
    </row>
    <row r="314" spans="5:8" x14ac:dyDescent="0.3">
      <c r="E314" s="8">
        <f t="shared" si="19"/>
        <v>310</v>
      </c>
      <c r="F314" s="8">
        <f t="shared" ca="1" si="16"/>
        <v>1.1795696645717144</v>
      </c>
      <c r="G314" s="8">
        <f t="shared" ca="1" si="17"/>
        <v>1729.43969119959</v>
      </c>
      <c r="H314" s="8">
        <f t="shared" ca="1" si="18"/>
        <v>0.16529099600493072</v>
      </c>
    </row>
    <row r="315" spans="5:8" x14ac:dyDescent="0.3">
      <c r="E315" s="8">
        <f t="shared" si="19"/>
        <v>311</v>
      </c>
      <c r="F315" s="8">
        <f t="shared" ca="1" si="16"/>
        <v>1.2024813849469966</v>
      </c>
      <c r="G315" s="8">
        <f t="shared" ca="1" si="17"/>
        <v>1679.4090857951144</v>
      </c>
      <c r="H315" s="8">
        <f t="shared" ca="1" si="18"/>
        <v>0.16050932675094279</v>
      </c>
    </row>
    <row r="316" spans="5:8" x14ac:dyDescent="0.3">
      <c r="E316" s="8">
        <f t="shared" si="19"/>
        <v>312</v>
      </c>
      <c r="F316" s="8">
        <f t="shared" ca="1" si="16"/>
        <v>1.4473296961706084</v>
      </c>
      <c r="G316" s="8">
        <f t="shared" ca="1" si="17"/>
        <v>1144.7521921994553</v>
      </c>
      <c r="H316" s="8">
        <f t="shared" ca="1" si="18"/>
        <v>0.10940955674275593</v>
      </c>
    </row>
    <row r="317" spans="5:8" x14ac:dyDescent="0.3">
      <c r="E317" s="8">
        <f t="shared" si="19"/>
        <v>313</v>
      </c>
      <c r="F317" s="8">
        <f t="shared" ca="1" si="16"/>
        <v>1.3762804795417478</v>
      </c>
      <c r="G317" s="8">
        <f t="shared" ca="1" si="17"/>
        <v>1299.8970378606509</v>
      </c>
      <c r="H317" s="8">
        <f t="shared" ca="1" si="18"/>
        <v>0.12423750720258539</v>
      </c>
    </row>
    <row r="318" spans="5:8" x14ac:dyDescent="0.3">
      <c r="E318" s="8">
        <f t="shared" si="19"/>
        <v>314</v>
      </c>
      <c r="F318" s="8">
        <f t="shared" ca="1" si="16"/>
        <v>1.3365847843497627</v>
      </c>
      <c r="G318" s="8">
        <f t="shared" ca="1" si="17"/>
        <v>1386.5775502742492</v>
      </c>
      <c r="H318" s="8">
        <f t="shared" ca="1" si="18"/>
        <v>0.13252198702802725</v>
      </c>
    </row>
    <row r="319" spans="5:8" x14ac:dyDescent="0.3">
      <c r="E319" s="8">
        <f t="shared" si="19"/>
        <v>315</v>
      </c>
      <c r="F319" s="8">
        <f t="shared" ca="1" si="16"/>
        <v>1.2104512324881489</v>
      </c>
      <c r="G319" s="8">
        <f t="shared" ca="1" si="17"/>
        <v>1662.0059274580658</v>
      </c>
      <c r="H319" s="8">
        <f t="shared" ca="1" si="18"/>
        <v>0.15884602193042777</v>
      </c>
    </row>
    <row r="320" spans="5:8" x14ac:dyDescent="0.3">
      <c r="E320" s="8">
        <f t="shared" si="19"/>
        <v>316</v>
      </c>
      <c r="F320" s="8">
        <f t="shared" ca="1" si="16"/>
        <v>1.1181689960322176</v>
      </c>
      <c r="G320" s="8">
        <f t="shared" ca="1" si="17"/>
        <v>1863.5157260391486</v>
      </c>
      <c r="H320" s="8">
        <f t="shared" ca="1" si="18"/>
        <v>0.1781052973372024</v>
      </c>
    </row>
    <row r="321" spans="5:8" x14ac:dyDescent="0.3">
      <c r="E321" s="8">
        <f t="shared" si="19"/>
        <v>317</v>
      </c>
      <c r="F321" s="8">
        <f t="shared" ca="1" si="16"/>
        <v>1.0371887480227864</v>
      </c>
      <c r="G321" s="8">
        <f t="shared" ca="1" si="17"/>
        <v>2040.3462200987428</v>
      </c>
      <c r="H321" s="8">
        <f t="shared" ca="1" si="18"/>
        <v>0.19500585110376975</v>
      </c>
    </row>
    <row r="322" spans="5:8" x14ac:dyDescent="0.3">
      <c r="E322" s="8">
        <f t="shared" si="19"/>
        <v>318</v>
      </c>
      <c r="F322" s="8">
        <f t="shared" ca="1" si="16"/>
        <v>0.85243462478659371</v>
      </c>
      <c r="G322" s="8">
        <f t="shared" ca="1" si="17"/>
        <v>2443.7799424503742</v>
      </c>
      <c r="H322" s="8">
        <f t="shared" ca="1" si="18"/>
        <v>0.23356398188381669</v>
      </c>
    </row>
    <row r="323" spans="5:8" x14ac:dyDescent="0.3">
      <c r="E323" s="8">
        <f t="shared" si="19"/>
        <v>319</v>
      </c>
      <c r="F323" s="8">
        <f t="shared" ca="1" si="16"/>
        <v>1.0904250437995013</v>
      </c>
      <c r="G323" s="8">
        <f t="shared" ca="1" si="17"/>
        <v>1924.0981137333138</v>
      </c>
      <c r="H323" s="8">
        <f t="shared" ca="1" si="18"/>
        <v>0.18389545194813284</v>
      </c>
    </row>
    <row r="324" spans="5:8" x14ac:dyDescent="0.3">
      <c r="E324" s="8">
        <f t="shared" si="19"/>
        <v>320</v>
      </c>
      <c r="F324" s="8">
        <f t="shared" ca="1" si="16"/>
        <v>1.2092293997799768</v>
      </c>
      <c r="G324" s="8">
        <f t="shared" ca="1" si="17"/>
        <v>1664.6739519054481</v>
      </c>
      <c r="H324" s="8">
        <f t="shared" ca="1" si="18"/>
        <v>0.1591010180546161</v>
      </c>
    </row>
    <row r="325" spans="5:8" x14ac:dyDescent="0.3">
      <c r="E325" s="8">
        <f t="shared" si="19"/>
        <v>321</v>
      </c>
      <c r="F325" s="8">
        <f t="shared" ref="F325:F388" ca="1" si="20">_xlfn.NORM.INV(RAND(), $C$9, $C$9 * $C$10)</f>
        <v>1.1126862116279135</v>
      </c>
      <c r="G325" s="8">
        <f t="shared" ref="G325:G388" ca="1" si="21">$C$7 - ($C$6 + ($C$8 * $C$11)) - (($C$6 + ($C$8 * $C$11)) * (1 - $C$12) * (F325 - $C$13))</f>
        <v>1875.4880711339972</v>
      </c>
      <c r="H325" s="8">
        <f t="shared" ref="H325:H388" ca="1" si="22">G325 / $C$7</f>
        <v>0.17924955281792959</v>
      </c>
    </row>
    <row r="326" spans="5:8" x14ac:dyDescent="0.3">
      <c r="E326" s="8">
        <f t="shared" ref="E326:E389" si="23">ROW()-4</f>
        <v>322</v>
      </c>
      <c r="F326" s="8">
        <f t="shared" ca="1" si="20"/>
        <v>1.0397211038838605</v>
      </c>
      <c r="G326" s="8">
        <f t="shared" ca="1" si="21"/>
        <v>2034.816504531605</v>
      </c>
      <c r="H326" s="8">
        <f t="shared" ca="1" si="22"/>
        <v>0.19447734918585541</v>
      </c>
    </row>
    <row r="327" spans="5:8" x14ac:dyDescent="0.3">
      <c r="E327" s="8">
        <f t="shared" si="23"/>
        <v>323</v>
      </c>
      <c r="F327" s="8">
        <f t="shared" ca="1" si="20"/>
        <v>1.2300624119918926</v>
      </c>
      <c r="G327" s="8">
        <f t="shared" ca="1" si="21"/>
        <v>1619.1824656142035</v>
      </c>
      <c r="H327" s="8">
        <f t="shared" ca="1" si="22"/>
        <v>0.15475317457843865</v>
      </c>
    </row>
    <row r="328" spans="5:8" x14ac:dyDescent="0.3">
      <c r="E328" s="8">
        <f t="shared" si="23"/>
        <v>324</v>
      </c>
      <c r="F328" s="8">
        <f t="shared" ca="1" si="20"/>
        <v>1.1679472235415278</v>
      </c>
      <c r="G328" s="8">
        <f t="shared" ca="1" si="21"/>
        <v>1754.8187439941312</v>
      </c>
      <c r="H328" s="8">
        <f t="shared" ca="1" si="22"/>
        <v>0.16771659600440897</v>
      </c>
    </row>
    <row r="329" spans="5:8" x14ac:dyDescent="0.3">
      <c r="E329" s="8">
        <f t="shared" si="23"/>
        <v>325</v>
      </c>
      <c r="F329" s="8">
        <f t="shared" ca="1" si="20"/>
        <v>1.2024426858101123</v>
      </c>
      <c r="G329" s="8">
        <f t="shared" ca="1" si="21"/>
        <v>1679.4935901978934</v>
      </c>
      <c r="H329" s="8">
        <f t="shared" ca="1" si="22"/>
        <v>0.16051740324934469</v>
      </c>
    </row>
    <row r="330" spans="5:8" x14ac:dyDescent="0.3">
      <c r="E330" s="8">
        <f t="shared" si="23"/>
        <v>326</v>
      </c>
      <c r="F330" s="8">
        <f t="shared" ca="1" si="20"/>
        <v>0.92411353161889287</v>
      </c>
      <c r="G330" s="8">
        <f t="shared" ca="1" si="21"/>
        <v>2287.2600895186952</v>
      </c>
      <c r="H330" s="8">
        <f t="shared" ca="1" si="22"/>
        <v>0.21860461526509559</v>
      </c>
    </row>
    <row r="331" spans="5:8" x14ac:dyDescent="0.3">
      <c r="E331" s="8">
        <f t="shared" si="23"/>
        <v>327</v>
      </c>
      <c r="F331" s="8">
        <f t="shared" ca="1" si="20"/>
        <v>0.84475947266320084</v>
      </c>
      <c r="G331" s="8">
        <f t="shared" ca="1" si="21"/>
        <v>2460.5395965058178</v>
      </c>
      <c r="H331" s="8">
        <f t="shared" ca="1" si="22"/>
        <v>0.2351657838579583</v>
      </c>
    </row>
    <row r="332" spans="5:8" x14ac:dyDescent="0.3">
      <c r="E332" s="8">
        <f t="shared" si="23"/>
        <v>328</v>
      </c>
      <c r="F332" s="8">
        <f t="shared" ca="1" si="20"/>
        <v>1.1870398380034108</v>
      </c>
      <c r="G332" s="8">
        <f t="shared" ca="1" si="21"/>
        <v>1713.1276337398019</v>
      </c>
      <c r="H332" s="8">
        <f t="shared" ca="1" si="22"/>
        <v>0.16373197302301462</v>
      </c>
    </row>
    <row r="333" spans="5:8" x14ac:dyDescent="0.3">
      <c r="E333" s="8">
        <f t="shared" si="23"/>
        <v>329</v>
      </c>
      <c r="F333" s="8">
        <f t="shared" ca="1" si="20"/>
        <v>1.1612119813869146</v>
      </c>
      <c r="G333" s="8">
        <f t="shared" ca="1" si="21"/>
        <v>1769.5259871439985</v>
      </c>
      <c r="H333" s="8">
        <f t="shared" ca="1" si="22"/>
        <v>0.16912223904654483</v>
      </c>
    </row>
    <row r="334" spans="5:8" x14ac:dyDescent="0.3">
      <c r="E334" s="8">
        <f t="shared" si="23"/>
        <v>330</v>
      </c>
      <c r="F334" s="8">
        <f t="shared" ca="1" si="20"/>
        <v>1.1007207192926225</v>
      </c>
      <c r="G334" s="8">
        <f t="shared" ca="1" si="21"/>
        <v>1901.616219334647</v>
      </c>
      <c r="H334" s="8">
        <f t="shared" ca="1" si="22"/>
        <v>0.18174674752314318</v>
      </c>
    </row>
    <row r="335" spans="5:8" x14ac:dyDescent="0.3">
      <c r="E335" s="8">
        <f t="shared" si="23"/>
        <v>331</v>
      </c>
      <c r="F335" s="8">
        <f t="shared" ca="1" si="20"/>
        <v>1.186845165495783</v>
      </c>
      <c r="G335" s="8">
        <f t="shared" ca="1" si="21"/>
        <v>1713.5527254942706</v>
      </c>
      <c r="H335" s="8">
        <f t="shared" ca="1" si="22"/>
        <v>0.16377260111767855</v>
      </c>
    </row>
    <row r="336" spans="5:8" x14ac:dyDescent="0.3">
      <c r="E336" s="8">
        <f t="shared" si="23"/>
        <v>332</v>
      </c>
      <c r="F336" s="8">
        <f t="shared" ca="1" si="20"/>
        <v>1.3143900428975861</v>
      </c>
      <c r="G336" s="8">
        <f t="shared" ca="1" si="21"/>
        <v>1435.0425425777585</v>
      </c>
      <c r="H336" s="8">
        <f t="shared" ca="1" si="22"/>
        <v>0.1371540229931911</v>
      </c>
    </row>
    <row r="337" spans="5:8" x14ac:dyDescent="0.3">
      <c r="E337" s="8">
        <f t="shared" si="23"/>
        <v>333</v>
      </c>
      <c r="F337" s="8">
        <f t="shared" ca="1" si="20"/>
        <v>1.1667102349587934</v>
      </c>
      <c r="G337" s="8">
        <f t="shared" ca="1" si="21"/>
        <v>1757.5198631881046</v>
      </c>
      <c r="H337" s="8">
        <f t="shared" ca="1" si="22"/>
        <v>0.16797475515512802</v>
      </c>
    </row>
    <row r="338" spans="5:8" x14ac:dyDescent="0.3">
      <c r="E338" s="8">
        <f t="shared" si="23"/>
        <v>334</v>
      </c>
      <c r="F338" s="8">
        <f t="shared" ca="1" si="20"/>
        <v>1.4013928512544636</v>
      </c>
      <c r="G338" s="8">
        <f t="shared" ca="1" si="21"/>
        <v>1245.0610351794719</v>
      </c>
      <c r="H338" s="8">
        <f t="shared" ca="1" si="22"/>
        <v>0.11899656266648877</v>
      </c>
    </row>
    <row r="339" spans="5:8" x14ac:dyDescent="0.3">
      <c r="E339" s="8">
        <f t="shared" si="23"/>
        <v>335</v>
      </c>
      <c r="F339" s="8">
        <f t="shared" ca="1" si="20"/>
        <v>1.2167060716233697</v>
      </c>
      <c r="G339" s="8">
        <f t="shared" ca="1" si="21"/>
        <v>1648.347704351419</v>
      </c>
      <c r="H339" s="8">
        <f t="shared" ca="1" si="22"/>
        <v>0.15754063885610428</v>
      </c>
    </row>
    <row r="340" spans="5:8" x14ac:dyDescent="0.3">
      <c r="E340" s="8">
        <f t="shared" si="23"/>
        <v>336</v>
      </c>
      <c r="F340" s="8">
        <f t="shared" ca="1" si="20"/>
        <v>0.96871533648929264</v>
      </c>
      <c r="G340" s="8">
        <f t="shared" ca="1" si="21"/>
        <v>2189.8664733585683</v>
      </c>
      <c r="H340" s="8">
        <f t="shared" ca="1" si="22"/>
        <v>0.20929623180336121</v>
      </c>
    </row>
    <row r="341" spans="5:8" x14ac:dyDescent="0.3">
      <c r="E341" s="8">
        <f t="shared" si="23"/>
        <v>337</v>
      </c>
      <c r="F341" s="8">
        <f t="shared" ca="1" si="20"/>
        <v>1.0069115218238109</v>
      </c>
      <c r="G341" s="8">
        <f t="shared" ca="1" si="21"/>
        <v>2106.4603281574809</v>
      </c>
      <c r="H341" s="8">
        <f t="shared" ca="1" si="22"/>
        <v>0.20132469924089466</v>
      </c>
    </row>
    <row r="342" spans="5:8" x14ac:dyDescent="0.3">
      <c r="E342" s="8">
        <f t="shared" si="23"/>
        <v>338</v>
      </c>
      <c r="F342" s="8">
        <f t="shared" ca="1" si="20"/>
        <v>1.0820474616219449</v>
      </c>
      <c r="G342" s="8">
        <f t="shared" ca="1" si="21"/>
        <v>1942.3916116157804</v>
      </c>
      <c r="H342" s="8">
        <f t="shared" ca="1" si="22"/>
        <v>0.1856438508664609</v>
      </c>
    </row>
    <row r="343" spans="5:8" x14ac:dyDescent="0.3">
      <c r="E343" s="8">
        <f t="shared" si="23"/>
        <v>339</v>
      </c>
      <c r="F343" s="8">
        <f t="shared" ca="1" si="20"/>
        <v>0.88313582568269589</v>
      </c>
      <c r="G343" s="8">
        <f t="shared" ca="1" si="21"/>
        <v>2376.7400326436232</v>
      </c>
      <c r="H343" s="8">
        <f t="shared" ca="1" si="22"/>
        <v>0.2271566503530176</v>
      </c>
    </row>
    <row r="344" spans="5:8" x14ac:dyDescent="0.3">
      <c r="E344" s="8">
        <f t="shared" si="23"/>
        <v>340</v>
      </c>
      <c r="F344" s="8">
        <f t="shared" ca="1" si="20"/>
        <v>1.3326443428576817</v>
      </c>
      <c r="G344" s="8">
        <f t="shared" ca="1" si="21"/>
        <v>1395.1819968273946</v>
      </c>
      <c r="H344" s="8">
        <f t="shared" ca="1" si="22"/>
        <v>0.13334435599994215</v>
      </c>
    </row>
    <row r="345" spans="5:8" x14ac:dyDescent="0.3">
      <c r="E345" s="8">
        <f t="shared" si="23"/>
        <v>341</v>
      </c>
      <c r="F345" s="8">
        <f t="shared" ca="1" si="20"/>
        <v>1.2271301405997295</v>
      </c>
      <c r="G345" s="8">
        <f t="shared" ca="1" si="21"/>
        <v>1625.5854467329157</v>
      </c>
      <c r="H345" s="8">
        <f t="shared" ca="1" si="22"/>
        <v>0.15536513874920344</v>
      </c>
    </row>
    <row r="346" spans="5:8" x14ac:dyDescent="0.3">
      <c r="E346" s="8">
        <f t="shared" si="23"/>
        <v>342</v>
      </c>
      <c r="F346" s="8">
        <f t="shared" ca="1" si="20"/>
        <v>1.264439452690054</v>
      </c>
      <c r="G346" s="8">
        <f t="shared" ca="1" si="21"/>
        <v>1544.1159001196806</v>
      </c>
      <c r="H346" s="8">
        <f t="shared" ca="1" si="22"/>
        <v>0.14757869637003543</v>
      </c>
    </row>
    <row r="347" spans="5:8" x14ac:dyDescent="0.3">
      <c r="E347" s="8">
        <f t="shared" si="23"/>
        <v>343</v>
      </c>
      <c r="F347" s="8">
        <f t="shared" ca="1" si="20"/>
        <v>1.3170873238227541</v>
      </c>
      <c r="G347" s="8">
        <f t="shared" ca="1" si="21"/>
        <v>1429.1526925175385</v>
      </c>
      <c r="H347" s="8">
        <f t="shared" ca="1" si="22"/>
        <v>0.13659110126326471</v>
      </c>
    </row>
    <row r="348" spans="5:8" x14ac:dyDescent="0.3">
      <c r="E348" s="8">
        <f t="shared" si="23"/>
        <v>344</v>
      </c>
      <c r="F348" s="8">
        <f t="shared" ca="1" si="20"/>
        <v>1.1918476797771484</v>
      </c>
      <c r="G348" s="8">
        <f t="shared" ca="1" si="21"/>
        <v>1702.6291102466241</v>
      </c>
      <c r="H348" s="8">
        <f t="shared" ca="1" si="22"/>
        <v>0.16272857786931322</v>
      </c>
    </row>
    <row r="349" spans="5:8" x14ac:dyDescent="0.3">
      <c r="E349" s="8">
        <f t="shared" si="23"/>
        <v>345</v>
      </c>
      <c r="F349" s="8">
        <f t="shared" ca="1" si="20"/>
        <v>1.0503051626772355</v>
      </c>
      <c r="G349" s="8">
        <f t="shared" ca="1" si="21"/>
        <v>2011.7048891489214</v>
      </c>
      <c r="H349" s="8">
        <f t="shared" ca="1" si="22"/>
        <v>0.19226845925154559</v>
      </c>
    </row>
    <row r="350" spans="5:8" x14ac:dyDescent="0.3">
      <c r="E350" s="8">
        <f t="shared" si="23"/>
        <v>346</v>
      </c>
      <c r="F350" s="8">
        <f t="shared" ca="1" si="20"/>
        <v>1.2217601223803336</v>
      </c>
      <c r="G350" s="8">
        <f t="shared" ca="1" si="21"/>
        <v>1637.3115527672439</v>
      </c>
      <c r="H350" s="8">
        <f t="shared" ca="1" si="22"/>
        <v>0.15648585996055089</v>
      </c>
    </row>
    <row r="351" spans="5:8" x14ac:dyDescent="0.3">
      <c r="E351" s="8">
        <f t="shared" si="23"/>
        <v>347</v>
      </c>
      <c r="F351" s="8">
        <f t="shared" ca="1" si="20"/>
        <v>1.421985911188018</v>
      </c>
      <c r="G351" s="8">
        <f t="shared" ca="1" si="21"/>
        <v>1200.0935146820641</v>
      </c>
      <c r="H351" s="8">
        <f t="shared" ca="1" si="22"/>
        <v>0.11469879715971175</v>
      </c>
    </row>
    <row r="352" spans="5:8" x14ac:dyDescent="0.3">
      <c r="E352" s="8">
        <f t="shared" si="23"/>
        <v>348</v>
      </c>
      <c r="F352" s="8">
        <f t="shared" ca="1" si="20"/>
        <v>1.2158887611721809</v>
      </c>
      <c r="G352" s="8">
        <f t="shared" ca="1" si="21"/>
        <v>1650.1324038853963</v>
      </c>
      <c r="H352" s="8">
        <f t="shared" ca="1" si="22"/>
        <v>0.1577112113051129</v>
      </c>
    </row>
    <row r="353" spans="5:8" x14ac:dyDescent="0.3">
      <c r="E353" s="8">
        <f t="shared" si="23"/>
        <v>349</v>
      </c>
      <c r="F353" s="8">
        <f t="shared" ca="1" si="20"/>
        <v>1.0775111495025911</v>
      </c>
      <c r="G353" s="8">
        <f t="shared" ca="1" si="21"/>
        <v>1952.2972161674045</v>
      </c>
      <c r="H353" s="8">
        <f t="shared" ca="1" si="22"/>
        <v>0.1865905778617418</v>
      </c>
    </row>
    <row r="354" spans="5:8" x14ac:dyDescent="0.3">
      <c r="E354" s="8">
        <f t="shared" si="23"/>
        <v>350</v>
      </c>
      <c r="F354" s="8">
        <f t="shared" ca="1" si="20"/>
        <v>1.3894193526872036</v>
      </c>
      <c r="G354" s="8">
        <f t="shared" ca="1" si="21"/>
        <v>1271.2066659884049</v>
      </c>
      <c r="H354" s="8">
        <f t="shared" ca="1" si="22"/>
        <v>0.12149542826994217</v>
      </c>
    </row>
    <row r="355" spans="5:8" x14ac:dyDescent="0.3">
      <c r="E355" s="8">
        <f t="shared" si="23"/>
        <v>351</v>
      </c>
      <c r="F355" s="8">
        <f t="shared" ca="1" si="20"/>
        <v>1.1417335708398364</v>
      </c>
      <c r="G355" s="8">
        <f t="shared" ca="1" si="21"/>
        <v>1812.0595313748622</v>
      </c>
      <c r="H355" s="8">
        <f t="shared" ca="1" si="22"/>
        <v>0.17318737755661495</v>
      </c>
    </row>
    <row r="356" spans="5:8" x14ac:dyDescent="0.3">
      <c r="E356" s="8">
        <f t="shared" si="23"/>
        <v>352</v>
      </c>
      <c r="F356" s="8">
        <f t="shared" ca="1" si="20"/>
        <v>1.0394149652314968</v>
      </c>
      <c r="G356" s="8">
        <f t="shared" ca="1" si="21"/>
        <v>2035.4849965463727</v>
      </c>
      <c r="H356" s="8">
        <f t="shared" ca="1" si="22"/>
        <v>0.19454124023190028</v>
      </c>
    </row>
    <row r="357" spans="5:8" x14ac:dyDescent="0.3">
      <c r="E357" s="8">
        <f t="shared" si="23"/>
        <v>353</v>
      </c>
      <c r="F357" s="8">
        <f t="shared" ca="1" si="20"/>
        <v>1.1250141938851221</v>
      </c>
      <c r="G357" s="8">
        <f t="shared" ca="1" si="21"/>
        <v>1848.5683808776</v>
      </c>
      <c r="H357" s="8">
        <f t="shared" ca="1" si="22"/>
        <v>0.17667670657341106</v>
      </c>
    </row>
    <row r="358" spans="5:8" x14ac:dyDescent="0.3">
      <c r="E358" s="8">
        <f t="shared" si="23"/>
        <v>354</v>
      </c>
      <c r="F358" s="8">
        <f t="shared" ca="1" si="20"/>
        <v>1.0681316465503787</v>
      </c>
      <c r="G358" s="8">
        <f t="shared" ca="1" si="21"/>
        <v>1972.778533301429</v>
      </c>
      <c r="H358" s="8">
        <f t="shared" ca="1" si="22"/>
        <v>0.18854807734888931</v>
      </c>
    </row>
    <row r="359" spans="5:8" x14ac:dyDescent="0.3">
      <c r="E359" s="8">
        <f t="shared" si="23"/>
        <v>355</v>
      </c>
      <c r="F359" s="8">
        <f t="shared" ca="1" si="20"/>
        <v>0.80480765605968529</v>
      </c>
      <c r="G359" s="8">
        <f t="shared" ca="1" si="21"/>
        <v>2547.7793820366696</v>
      </c>
      <c r="H359" s="8">
        <f t="shared" ca="1" si="22"/>
        <v>0.24350371614610242</v>
      </c>
    </row>
    <row r="360" spans="5:8" x14ac:dyDescent="0.3">
      <c r="E360" s="8">
        <f t="shared" si="23"/>
        <v>356</v>
      </c>
      <c r="F360" s="8">
        <f t="shared" ca="1" si="20"/>
        <v>1.2972521567102637</v>
      </c>
      <c r="G360" s="8">
        <f t="shared" ca="1" si="21"/>
        <v>1472.4652593035503</v>
      </c>
      <c r="H360" s="8">
        <f t="shared" ca="1" si="22"/>
        <v>0.14073069476283573</v>
      </c>
    </row>
    <row r="361" spans="5:8" x14ac:dyDescent="0.3">
      <c r="E361" s="8">
        <f t="shared" si="23"/>
        <v>357</v>
      </c>
      <c r="F361" s="8">
        <f t="shared" ca="1" si="20"/>
        <v>1.1559452734077242</v>
      </c>
      <c r="G361" s="8">
        <f t="shared" ca="1" si="21"/>
        <v>1781.026502355058</v>
      </c>
      <c r="H361" s="8">
        <f t="shared" ca="1" si="22"/>
        <v>0.17022139944137035</v>
      </c>
    </row>
    <row r="362" spans="5:8" x14ac:dyDescent="0.3">
      <c r="E362" s="8">
        <f t="shared" si="23"/>
        <v>358</v>
      </c>
      <c r="F362" s="8">
        <f t="shared" ca="1" si="20"/>
        <v>1.2023143349147123</v>
      </c>
      <c r="G362" s="8">
        <f t="shared" ca="1" si="21"/>
        <v>1679.7738604218612</v>
      </c>
      <c r="H362" s="8">
        <f t="shared" ca="1" si="22"/>
        <v>0.16054419004318657</v>
      </c>
    </row>
    <row r="363" spans="5:8" x14ac:dyDescent="0.3">
      <c r="E363" s="8">
        <f t="shared" si="23"/>
        <v>359</v>
      </c>
      <c r="F363" s="8">
        <f t="shared" ca="1" si="20"/>
        <v>1.279970157987788</v>
      </c>
      <c r="G363" s="8">
        <f t="shared" ca="1" si="21"/>
        <v>1510.2026637639162</v>
      </c>
      <c r="H363" s="8">
        <f t="shared" ca="1" si="22"/>
        <v>0.14433744277586891</v>
      </c>
    </row>
    <row r="364" spans="5:8" x14ac:dyDescent="0.3">
      <c r="E364" s="8">
        <f t="shared" si="23"/>
        <v>360</v>
      </c>
      <c r="F364" s="8">
        <f t="shared" ca="1" si="20"/>
        <v>1.1123361728680581</v>
      </c>
      <c r="G364" s="8">
        <f t="shared" ca="1" si="21"/>
        <v>1876.2524245209866</v>
      </c>
      <c r="H364" s="8">
        <f t="shared" ca="1" si="22"/>
        <v>0.17932260580340117</v>
      </c>
    </row>
    <row r="365" spans="5:8" x14ac:dyDescent="0.3">
      <c r="E365" s="8">
        <f t="shared" si="23"/>
        <v>361</v>
      </c>
      <c r="F365" s="8">
        <f t="shared" ca="1" si="20"/>
        <v>1.22746382431026</v>
      </c>
      <c r="G365" s="8">
        <f t="shared" ca="1" si="21"/>
        <v>1624.8568066405082</v>
      </c>
      <c r="H365" s="8">
        <f t="shared" ca="1" si="22"/>
        <v>0.15529549905768023</v>
      </c>
    </row>
    <row r="366" spans="5:8" x14ac:dyDescent="0.3">
      <c r="E366" s="8">
        <f t="shared" si="23"/>
        <v>362</v>
      </c>
      <c r="F366" s="8">
        <f t="shared" ca="1" si="20"/>
        <v>1.0207818894943077</v>
      </c>
      <c r="G366" s="8">
        <f t="shared" ca="1" si="21"/>
        <v>2076.1726465529923</v>
      </c>
      <c r="H366" s="8">
        <f t="shared" ca="1" si="22"/>
        <v>0.19842995761760415</v>
      </c>
    </row>
    <row r="367" spans="5:8" x14ac:dyDescent="0.3">
      <c r="E367" s="8">
        <f t="shared" si="23"/>
        <v>363</v>
      </c>
      <c r="F367" s="8">
        <f t="shared" ca="1" si="20"/>
        <v>1.2650049996068529</v>
      </c>
      <c r="G367" s="8">
        <f t="shared" ca="1" si="21"/>
        <v>1542.8809577334857</v>
      </c>
      <c r="H367" s="8">
        <f t="shared" ca="1" si="22"/>
        <v>0.14746066689606094</v>
      </c>
    </row>
    <row r="368" spans="5:8" x14ac:dyDescent="0.3">
      <c r="E368" s="8">
        <f t="shared" si="23"/>
        <v>364</v>
      </c>
      <c r="F368" s="8">
        <f t="shared" ca="1" si="20"/>
        <v>1.2409310020451503</v>
      </c>
      <c r="G368" s="8">
        <f t="shared" ca="1" si="21"/>
        <v>1595.4495406591586</v>
      </c>
      <c r="H368" s="8">
        <f t="shared" ca="1" si="22"/>
        <v>0.15248490305449283</v>
      </c>
    </row>
    <row r="369" spans="5:8" x14ac:dyDescent="0.3">
      <c r="E369" s="8">
        <f t="shared" si="23"/>
        <v>365</v>
      </c>
      <c r="F369" s="8">
        <f t="shared" ca="1" si="20"/>
        <v>1.1952031513858601</v>
      </c>
      <c r="G369" s="8">
        <f t="shared" ca="1" si="21"/>
        <v>1695.3020185550511</v>
      </c>
      <c r="H369" s="8">
        <f t="shared" ca="1" si="22"/>
        <v>0.16202829193874138</v>
      </c>
    </row>
    <row r="370" spans="5:8" x14ac:dyDescent="0.3">
      <c r="E370" s="8">
        <f t="shared" si="23"/>
        <v>366</v>
      </c>
      <c r="F370" s="8">
        <f t="shared" ca="1" si="20"/>
        <v>1.3627255907585751</v>
      </c>
      <c r="G370" s="8">
        <f t="shared" ca="1" si="21"/>
        <v>1329.4958318798062</v>
      </c>
      <c r="H370" s="8">
        <f t="shared" ca="1" si="22"/>
        <v>0.12706640847556211</v>
      </c>
    </row>
    <row r="371" spans="5:8" x14ac:dyDescent="0.3">
      <c r="E371" s="8">
        <f t="shared" si="23"/>
        <v>367</v>
      </c>
      <c r="F371" s="8">
        <f t="shared" ca="1" si="20"/>
        <v>0.84970026444208702</v>
      </c>
      <c r="G371" s="8">
        <f t="shared" ca="1" si="21"/>
        <v>2449.7507600576478</v>
      </c>
      <c r="H371" s="8">
        <f t="shared" ca="1" si="22"/>
        <v>0.23413464207757315</v>
      </c>
    </row>
    <row r="372" spans="5:8" x14ac:dyDescent="0.3">
      <c r="E372" s="8">
        <f t="shared" si="23"/>
        <v>368</v>
      </c>
      <c r="F372" s="8">
        <f t="shared" ca="1" si="20"/>
        <v>1.4332741381270591</v>
      </c>
      <c r="G372" s="8">
        <f t="shared" ca="1" si="21"/>
        <v>1175.4442601323005</v>
      </c>
      <c r="H372" s="8">
        <f t="shared" ca="1" si="22"/>
        <v>0.11234294754203389</v>
      </c>
    </row>
    <row r="373" spans="5:8" x14ac:dyDescent="0.3">
      <c r="E373" s="8">
        <f t="shared" si="23"/>
        <v>369</v>
      </c>
      <c r="F373" s="8">
        <f t="shared" ca="1" si="20"/>
        <v>1.2580763407473001</v>
      </c>
      <c r="G373" s="8">
        <f t="shared" ca="1" si="21"/>
        <v>1558.0105504356766</v>
      </c>
      <c r="H373" s="8">
        <f t="shared" ca="1" si="22"/>
        <v>0.14890667594721174</v>
      </c>
    </row>
    <row r="374" spans="5:8" x14ac:dyDescent="0.3">
      <c r="E374" s="8">
        <f t="shared" si="23"/>
        <v>370</v>
      </c>
      <c r="F374" s="8">
        <f t="shared" ca="1" si="20"/>
        <v>0.96562394879926627</v>
      </c>
      <c r="G374" s="8">
        <f t="shared" ca="1" si="21"/>
        <v>2196.616904803202</v>
      </c>
      <c r="H374" s="8">
        <f t="shared" ca="1" si="22"/>
        <v>0.20994140349834675</v>
      </c>
    </row>
    <row r="375" spans="5:8" x14ac:dyDescent="0.3">
      <c r="E375" s="8">
        <f t="shared" si="23"/>
        <v>371</v>
      </c>
      <c r="F375" s="8">
        <f t="shared" ca="1" si="20"/>
        <v>1.4943968968295267</v>
      </c>
      <c r="G375" s="8">
        <f t="shared" ca="1" si="21"/>
        <v>1041.9750761606247</v>
      </c>
      <c r="H375" s="8">
        <f t="shared" ca="1" si="22"/>
        <v>9.9586645910410457E-2</v>
      </c>
    </row>
    <row r="376" spans="5:8" x14ac:dyDescent="0.3">
      <c r="E376" s="8">
        <f t="shared" si="23"/>
        <v>372</v>
      </c>
      <c r="F376" s="8">
        <f t="shared" ca="1" si="20"/>
        <v>0.99944303561646719</v>
      </c>
      <c r="G376" s="8">
        <f t="shared" ca="1" si="21"/>
        <v>2122.7687013519917</v>
      </c>
      <c r="H376" s="8">
        <f t="shared" ca="1" si="22"/>
        <v>0.20288337009958823</v>
      </c>
    </row>
    <row r="377" spans="5:8" x14ac:dyDescent="0.3">
      <c r="E377" s="8">
        <f t="shared" si="23"/>
        <v>373</v>
      </c>
      <c r="F377" s="8">
        <f t="shared" ca="1" si="20"/>
        <v>1.2824394778167059</v>
      </c>
      <c r="G377" s="8">
        <f t="shared" ca="1" si="21"/>
        <v>1504.8105952524954</v>
      </c>
      <c r="H377" s="8">
        <f t="shared" ca="1" si="22"/>
        <v>0.14382209645918909</v>
      </c>
    </row>
    <row r="378" spans="5:8" x14ac:dyDescent="0.3">
      <c r="E378" s="8">
        <f t="shared" si="23"/>
        <v>374</v>
      </c>
      <c r="F378" s="8">
        <f t="shared" ca="1" si="20"/>
        <v>1.2662458103761964</v>
      </c>
      <c r="G378" s="8">
        <f t="shared" ca="1" si="21"/>
        <v>1540.1714923172779</v>
      </c>
      <c r="H378" s="8">
        <f t="shared" ca="1" si="22"/>
        <v>0.147201710056129</v>
      </c>
    </row>
    <row r="379" spans="5:8" x14ac:dyDescent="0.3">
      <c r="E379" s="8">
        <f t="shared" si="23"/>
        <v>375</v>
      </c>
      <c r="F379" s="8">
        <f t="shared" ca="1" si="20"/>
        <v>1.161386245856836</v>
      </c>
      <c r="G379" s="8">
        <f t="shared" ca="1" si="21"/>
        <v>1769.1454588908664</v>
      </c>
      <c r="H379" s="8">
        <f t="shared" ca="1" si="22"/>
        <v>0.16908587010330367</v>
      </c>
    </row>
    <row r="380" spans="5:8" x14ac:dyDescent="0.3">
      <c r="E380" s="8">
        <f t="shared" si="23"/>
        <v>376</v>
      </c>
      <c r="F380" s="8">
        <f t="shared" ca="1" si="20"/>
        <v>0.79533956712937903</v>
      </c>
      <c r="G380" s="8">
        <f t="shared" ca="1" si="21"/>
        <v>2568.4541377271098</v>
      </c>
      <c r="H380" s="8">
        <f t="shared" ca="1" si="22"/>
        <v>0.24547970350063172</v>
      </c>
    </row>
    <row r="381" spans="5:8" x14ac:dyDescent="0.3">
      <c r="E381" s="8">
        <f t="shared" si="23"/>
        <v>377</v>
      </c>
      <c r="F381" s="8">
        <f t="shared" ca="1" si="20"/>
        <v>1.2141739522035531</v>
      </c>
      <c r="G381" s="8">
        <f t="shared" ca="1" si="21"/>
        <v>1653.8769036195163</v>
      </c>
      <c r="H381" s="8">
        <f t="shared" ca="1" si="22"/>
        <v>0.15806909142879827</v>
      </c>
    </row>
    <row r="382" spans="5:8" x14ac:dyDescent="0.3">
      <c r="E382" s="8">
        <f t="shared" si="23"/>
        <v>378</v>
      </c>
      <c r="F382" s="8">
        <f t="shared" ca="1" si="20"/>
        <v>1.2813600397096276</v>
      </c>
      <c r="G382" s="8">
        <f t="shared" ca="1" si="21"/>
        <v>1507.1676832890641</v>
      </c>
      <c r="H382" s="8">
        <f t="shared" ca="1" si="22"/>
        <v>0.14404737487231808</v>
      </c>
    </row>
    <row r="383" spans="5:8" x14ac:dyDescent="0.3">
      <c r="E383" s="8">
        <f t="shared" si="23"/>
        <v>379</v>
      </c>
      <c r="F383" s="8">
        <f t="shared" ca="1" si="20"/>
        <v>1.3523149816336224</v>
      </c>
      <c r="G383" s="8">
        <f t="shared" ca="1" si="21"/>
        <v>1352.2286982302812</v>
      </c>
      <c r="H383" s="8">
        <f t="shared" ca="1" si="22"/>
        <v>0.12923909951546222</v>
      </c>
    </row>
    <row r="384" spans="5:8" x14ac:dyDescent="0.3">
      <c r="E384" s="8">
        <f t="shared" si="23"/>
        <v>380</v>
      </c>
      <c r="F384" s="8">
        <f t="shared" ca="1" si="20"/>
        <v>1.0770058080128464</v>
      </c>
      <c r="G384" s="8">
        <f t="shared" ca="1" si="21"/>
        <v>1953.4006924779483</v>
      </c>
      <c r="H384" s="8">
        <f t="shared" ca="1" si="22"/>
        <v>0.18669604248092786</v>
      </c>
    </row>
    <row r="385" spans="5:8" x14ac:dyDescent="0.3">
      <c r="E385" s="8">
        <f t="shared" si="23"/>
        <v>381</v>
      </c>
      <c r="F385" s="8">
        <f t="shared" ca="1" si="20"/>
        <v>1.3436554251461001</v>
      </c>
      <c r="G385" s="8">
        <f t="shared" ca="1" si="21"/>
        <v>1371.137922265347</v>
      </c>
      <c r="H385" s="8">
        <f t="shared" ca="1" si="22"/>
        <v>0.13104634638873622</v>
      </c>
    </row>
    <row r="386" spans="5:8" x14ac:dyDescent="0.3">
      <c r="E386" s="8">
        <f t="shared" si="23"/>
        <v>382</v>
      </c>
      <c r="F386" s="8">
        <f t="shared" ca="1" si="20"/>
        <v>1.2626082694182961</v>
      </c>
      <c r="G386" s="8">
        <f t="shared" ca="1" si="21"/>
        <v>1548.1145176914731</v>
      </c>
      <c r="H386" s="8">
        <f t="shared" ca="1" si="22"/>
        <v>0.14796086377630441</v>
      </c>
    </row>
    <row r="387" spans="5:8" x14ac:dyDescent="0.3">
      <c r="E387" s="8">
        <f t="shared" si="23"/>
        <v>383</v>
      </c>
      <c r="F387" s="8">
        <f t="shared" ca="1" si="20"/>
        <v>1.2522785906327945</v>
      </c>
      <c r="G387" s="8">
        <f t="shared" ca="1" si="21"/>
        <v>1570.6706625294642</v>
      </c>
      <c r="H387" s="8">
        <f t="shared" ca="1" si="22"/>
        <v>0.15011666467833931</v>
      </c>
    </row>
    <row r="388" spans="5:8" x14ac:dyDescent="0.3">
      <c r="E388" s="8">
        <f t="shared" si="23"/>
        <v>384</v>
      </c>
      <c r="F388" s="8">
        <f t="shared" ca="1" si="20"/>
        <v>1.2478356223788332</v>
      </c>
      <c r="G388" s="8">
        <f t="shared" ca="1" si="21"/>
        <v>1580.3724390830203</v>
      </c>
      <c r="H388" s="8">
        <f t="shared" ca="1" si="22"/>
        <v>0.15104391083656887</v>
      </c>
    </row>
    <row r="389" spans="5:8" x14ac:dyDescent="0.3">
      <c r="E389" s="8">
        <f t="shared" si="23"/>
        <v>385</v>
      </c>
      <c r="F389" s="8">
        <f t="shared" ref="F389:F452" ca="1" si="24">_xlfn.NORM.INV(RAND(), $C$9, $C$9 * $C$10)</f>
        <v>1.1568732410926725</v>
      </c>
      <c r="G389" s="8">
        <f t="shared" ref="G389:G452" ca="1" si="25">$C$7 - ($C$6 + ($C$8 * $C$11)) - (($C$6 + ($C$8 * $C$11)) * (1 - $C$12) * (F389 - $C$13))</f>
        <v>1779.0001689190128</v>
      </c>
      <c r="H389" s="8">
        <f t="shared" ref="H389:H452" ca="1" si="26">G389 / $C$7</f>
        <v>0.17002773286046188</v>
      </c>
    </row>
    <row r="390" spans="5:8" x14ac:dyDescent="0.3">
      <c r="E390" s="8">
        <f t="shared" ref="E390:E453" si="27">ROW()-4</f>
        <v>386</v>
      </c>
      <c r="F390" s="8">
        <f t="shared" ca="1" si="24"/>
        <v>1.467706826857488</v>
      </c>
      <c r="G390" s="8">
        <f t="shared" ca="1" si="25"/>
        <v>1100.2561802033176</v>
      </c>
      <c r="H390" s="8">
        <f t="shared" ca="1" si="26"/>
        <v>0.10515685560578396</v>
      </c>
    </row>
    <row r="391" spans="5:8" x14ac:dyDescent="0.3">
      <c r="E391" s="8">
        <f t="shared" si="27"/>
        <v>387</v>
      </c>
      <c r="F391" s="8">
        <f t="shared" ca="1" si="24"/>
        <v>1.1043457473950182</v>
      </c>
      <c r="G391" s="8">
        <f t="shared" ca="1" si="25"/>
        <v>1893.7005173445532</v>
      </c>
      <c r="H391" s="8">
        <f t="shared" ca="1" si="26"/>
        <v>0.18099020523220427</v>
      </c>
    </row>
    <row r="392" spans="5:8" x14ac:dyDescent="0.3">
      <c r="E392" s="8">
        <f t="shared" si="27"/>
        <v>388</v>
      </c>
      <c r="F392" s="8">
        <f t="shared" ca="1" si="24"/>
        <v>1.2554919040866184</v>
      </c>
      <c r="G392" s="8">
        <f t="shared" ca="1" si="25"/>
        <v>1563.6539909388578</v>
      </c>
      <c r="H392" s="8">
        <f t="shared" ca="1" si="26"/>
        <v>0.14944604711257362</v>
      </c>
    </row>
    <row r="393" spans="5:8" x14ac:dyDescent="0.3">
      <c r="E393" s="8">
        <f t="shared" si="27"/>
        <v>389</v>
      </c>
      <c r="F393" s="8">
        <f t="shared" ca="1" si="24"/>
        <v>1.1374203830726641</v>
      </c>
      <c r="G393" s="8">
        <f t="shared" ca="1" si="25"/>
        <v>1821.4779160129538</v>
      </c>
      <c r="H393" s="8">
        <f t="shared" ca="1" si="26"/>
        <v>0.1740875385657033</v>
      </c>
    </row>
    <row r="394" spans="5:8" x14ac:dyDescent="0.3">
      <c r="E394" s="8">
        <f t="shared" si="27"/>
        <v>390</v>
      </c>
      <c r="F394" s="8">
        <f t="shared" ca="1" si="24"/>
        <v>1.0589119776580045</v>
      </c>
      <c r="G394" s="8">
        <f t="shared" ca="1" si="25"/>
        <v>1992.9108327865397</v>
      </c>
      <c r="H394" s="8">
        <f t="shared" ca="1" si="26"/>
        <v>0.19047221951510462</v>
      </c>
    </row>
    <row r="395" spans="5:8" x14ac:dyDescent="0.3">
      <c r="E395" s="8">
        <f t="shared" si="27"/>
        <v>391</v>
      </c>
      <c r="F395" s="8">
        <f t="shared" ca="1" si="24"/>
        <v>1.5066426858800528</v>
      </c>
      <c r="G395" s="8">
        <f t="shared" ca="1" si="25"/>
        <v>1015.2348650451696</v>
      </c>
      <c r="H395" s="8">
        <f t="shared" ca="1" si="26"/>
        <v>9.7030953363774208E-2</v>
      </c>
    </row>
    <row r="396" spans="5:8" x14ac:dyDescent="0.3">
      <c r="E396" s="8">
        <f t="shared" si="27"/>
        <v>392</v>
      </c>
      <c r="F396" s="8">
        <f t="shared" ca="1" si="24"/>
        <v>1.3734480961778843</v>
      </c>
      <c r="G396" s="8">
        <f t="shared" ca="1" si="25"/>
        <v>1306.0819009835673</v>
      </c>
      <c r="H396" s="8">
        <f t="shared" ca="1" si="26"/>
        <v>0.12482862477143909</v>
      </c>
    </row>
    <row r="397" spans="5:8" x14ac:dyDescent="0.3">
      <c r="E397" s="8">
        <f t="shared" si="27"/>
        <v>393</v>
      </c>
      <c r="F397" s="8">
        <f t="shared" ca="1" si="24"/>
        <v>1.3636875754850857</v>
      </c>
      <c r="G397" s="8">
        <f t="shared" ca="1" si="25"/>
        <v>1327.3952179813796</v>
      </c>
      <c r="H397" s="8">
        <f t="shared" ca="1" si="26"/>
        <v>0.12686564254815824</v>
      </c>
    </row>
    <row r="398" spans="5:8" x14ac:dyDescent="0.3">
      <c r="E398" s="8">
        <f t="shared" si="27"/>
        <v>394</v>
      </c>
      <c r="F398" s="8">
        <f t="shared" ca="1" si="24"/>
        <v>1.1763070555559496</v>
      </c>
      <c r="G398" s="8">
        <f t="shared" ca="1" si="25"/>
        <v>1736.5640058116394</v>
      </c>
      <c r="H398" s="8">
        <f t="shared" ca="1" si="26"/>
        <v>0.16597190153986804</v>
      </c>
    </row>
    <row r="399" spans="5:8" x14ac:dyDescent="0.3">
      <c r="E399" s="8">
        <f t="shared" si="27"/>
        <v>395</v>
      </c>
      <c r="F399" s="8">
        <f t="shared" ca="1" si="24"/>
        <v>1.3499991861467016</v>
      </c>
      <c r="G399" s="8">
        <f t="shared" ca="1" si="25"/>
        <v>1357.2855271504086</v>
      </c>
      <c r="H399" s="8">
        <f t="shared" ca="1" si="26"/>
        <v>0.12972240534745375</v>
      </c>
    </row>
    <row r="400" spans="5:8" x14ac:dyDescent="0.3">
      <c r="E400" s="8">
        <f t="shared" si="27"/>
        <v>396</v>
      </c>
      <c r="F400" s="8">
        <f t="shared" ca="1" si="24"/>
        <v>1.1758770196924435</v>
      </c>
      <c r="G400" s="8">
        <f t="shared" ca="1" si="25"/>
        <v>1737.5030428740879</v>
      </c>
      <c r="H400" s="8">
        <f t="shared" ca="1" si="26"/>
        <v>0.16606164989716982</v>
      </c>
    </row>
    <row r="401" spans="5:8" x14ac:dyDescent="0.3">
      <c r="E401" s="8">
        <f t="shared" si="27"/>
        <v>397</v>
      </c>
      <c r="F401" s="8">
        <f t="shared" ca="1" si="24"/>
        <v>1.2893550353643843</v>
      </c>
      <c r="G401" s="8">
        <f t="shared" ca="1" si="25"/>
        <v>1489.709610902446</v>
      </c>
      <c r="H401" s="8">
        <f t="shared" ca="1" si="26"/>
        <v>0.14237882164794477</v>
      </c>
    </row>
    <row r="402" spans="5:8" x14ac:dyDescent="0.3">
      <c r="E402" s="8">
        <f t="shared" si="27"/>
        <v>398</v>
      </c>
      <c r="F402" s="8">
        <f t="shared" ca="1" si="24"/>
        <v>1.3397598152006878</v>
      </c>
      <c r="G402" s="8">
        <f t="shared" ca="1" si="25"/>
        <v>1379.644473532398</v>
      </c>
      <c r="H402" s="8">
        <f t="shared" ca="1" si="26"/>
        <v>0.13185935903014412</v>
      </c>
    </row>
    <row r="403" spans="5:8" x14ac:dyDescent="0.3">
      <c r="E403" s="8">
        <f t="shared" si="27"/>
        <v>399</v>
      </c>
      <c r="F403" s="8">
        <f t="shared" ca="1" si="24"/>
        <v>1.4021799538100472</v>
      </c>
      <c r="G403" s="8">
        <f t="shared" ca="1" si="25"/>
        <v>1243.3422983615355</v>
      </c>
      <c r="H403" s="8">
        <f t="shared" ca="1" si="26"/>
        <v>0.11883229459634288</v>
      </c>
    </row>
    <row r="404" spans="5:8" x14ac:dyDescent="0.3">
      <c r="E404" s="8">
        <f t="shared" si="27"/>
        <v>400</v>
      </c>
      <c r="F404" s="8">
        <f t="shared" ca="1" si="24"/>
        <v>0.97523804395777869</v>
      </c>
      <c r="G404" s="8">
        <f t="shared" ca="1" si="25"/>
        <v>2175.6233262626956</v>
      </c>
      <c r="H404" s="8">
        <f t="shared" ca="1" si="26"/>
        <v>0.20793494468724991</v>
      </c>
    </row>
    <row r="405" spans="5:8" x14ac:dyDescent="0.3">
      <c r="E405" s="8">
        <f t="shared" si="27"/>
        <v>401</v>
      </c>
      <c r="F405" s="8">
        <f t="shared" ca="1" si="24"/>
        <v>0.9851444855133864</v>
      </c>
      <c r="G405" s="8">
        <f t="shared" ca="1" si="25"/>
        <v>2153.9913728208317</v>
      </c>
      <c r="H405" s="8">
        <f t="shared" ca="1" si="26"/>
        <v>0.20586747326969623</v>
      </c>
    </row>
    <row r="406" spans="5:8" x14ac:dyDescent="0.3">
      <c r="E406" s="8">
        <f t="shared" si="27"/>
        <v>402</v>
      </c>
      <c r="F406" s="8">
        <f t="shared" ca="1" si="24"/>
        <v>1.0591665005242588</v>
      </c>
      <c r="G406" s="8">
        <f t="shared" ca="1" si="25"/>
        <v>1992.3550502927153</v>
      </c>
      <c r="H406" s="8">
        <f t="shared" ca="1" si="26"/>
        <v>0.19041910066832796</v>
      </c>
    </row>
    <row r="407" spans="5:8" x14ac:dyDescent="0.3">
      <c r="E407" s="8">
        <f t="shared" si="27"/>
        <v>403</v>
      </c>
      <c r="F407" s="8">
        <f t="shared" ca="1" si="24"/>
        <v>1.085581801401645</v>
      </c>
      <c r="G407" s="8">
        <f t="shared" ca="1" si="25"/>
        <v>1934.6739389143329</v>
      </c>
      <c r="H407" s="8">
        <f t="shared" ca="1" si="26"/>
        <v>0.18490623520159924</v>
      </c>
    </row>
    <row r="408" spans="5:8" x14ac:dyDescent="0.3">
      <c r="E408" s="8">
        <f t="shared" si="27"/>
        <v>404</v>
      </c>
      <c r="F408" s="8">
        <f t="shared" ca="1" si="24"/>
        <v>1.1490085714068243</v>
      </c>
      <c r="G408" s="8">
        <f t="shared" ca="1" si="25"/>
        <v>1796.1736582617732</v>
      </c>
      <c r="H408" s="8">
        <f t="shared" ca="1" si="26"/>
        <v>0.17166908709373729</v>
      </c>
    </row>
    <row r="409" spans="5:8" x14ac:dyDescent="0.3">
      <c r="E409" s="8">
        <f t="shared" si="27"/>
        <v>405</v>
      </c>
      <c r="F409" s="8">
        <f t="shared" ca="1" si="24"/>
        <v>1.2229968896825498</v>
      </c>
      <c r="G409" s="8">
        <f t="shared" ca="1" si="25"/>
        <v>1634.610916766942</v>
      </c>
      <c r="H409" s="8">
        <f t="shared" ca="1" si="26"/>
        <v>0.15622774699101041</v>
      </c>
    </row>
    <row r="410" spans="5:8" x14ac:dyDescent="0.3">
      <c r="E410" s="8">
        <f t="shared" si="27"/>
        <v>406</v>
      </c>
      <c r="F410" s="8">
        <f t="shared" ca="1" si="24"/>
        <v>1.2701128710096952</v>
      </c>
      <c r="G410" s="8">
        <f t="shared" ca="1" si="25"/>
        <v>1531.7272820414541</v>
      </c>
      <c r="H410" s="8">
        <f t="shared" ca="1" si="26"/>
        <v>0.1463946556476588</v>
      </c>
    </row>
    <row r="411" spans="5:8" x14ac:dyDescent="0.3">
      <c r="E411" s="8">
        <f t="shared" si="27"/>
        <v>407</v>
      </c>
      <c r="F411" s="8">
        <f t="shared" ca="1" si="24"/>
        <v>1.1726949878936437</v>
      </c>
      <c r="G411" s="8">
        <f t="shared" ca="1" si="25"/>
        <v>1744.4514070607422</v>
      </c>
      <c r="H411" s="8">
        <f t="shared" ca="1" si="26"/>
        <v>0.16672573899080018</v>
      </c>
    </row>
    <row r="412" spans="5:8" x14ac:dyDescent="0.3">
      <c r="E412" s="8">
        <f t="shared" si="27"/>
        <v>408</v>
      </c>
      <c r="F412" s="8">
        <f t="shared" ca="1" si="24"/>
        <v>1.0778635770468434</v>
      </c>
      <c r="G412" s="8">
        <f t="shared" ca="1" si="25"/>
        <v>1951.5276465710863</v>
      </c>
      <c r="H412" s="8">
        <f t="shared" ca="1" si="26"/>
        <v>0.18651702633767431</v>
      </c>
    </row>
    <row r="413" spans="5:8" x14ac:dyDescent="0.3">
      <c r="E413" s="8">
        <f t="shared" si="27"/>
        <v>409</v>
      </c>
      <c r="F413" s="8">
        <f t="shared" ca="1" si="24"/>
        <v>1.1595250122478167</v>
      </c>
      <c r="G413" s="8">
        <f t="shared" ca="1" si="25"/>
        <v>1773.2096951303611</v>
      </c>
      <c r="H413" s="8">
        <f t="shared" ca="1" si="26"/>
        <v>0.16947430900605573</v>
      </c>
    </row>
    <row r="414" spans="5:8" x14ac:dyDescent="0.3">
      <c r="E414" s="8">
        <f t="shared" si="27"/>
        <v>410</v>
      </c>
      <c r="F414" s="8">
        <f t="shared" ca="1" si="24"/>
        <v>1.0534475999665374</v>
      </c>
      <c r="G414" s="8">
        <f t="shared" ca="1" si="25"/>
        <v>2004.8429845230698</v>
      </c>
      <c r="H414" s="8">
        <f t="shared" ca="1" si="26"/>
        <v>0.19161263352031635</v>
      </c>
    </row>
    <row r="415" spans="5:8" x14ac:dyDescent="0.3">
      <c r="E415" s="8">
        <f t="shared" si="27"/>
        <v>411</v>
      </c>
      <c r="F415" s="8">
        <f t="shared" ca="1" si="24"/>
        <v>1.0037955971112766</v>
      </c>
      <c r="G415" s="8">
        <f t="shared" ca="1" si="25"/>
        <v>2113.2643392578884</v>
      </c>
      <c r="H415" s="8">
        <f t="shared" ca="1" si="26"/>
        <v>0.20197499180520773</v>
      </c>
    </row>
    <row r="416" spans="5:8" x14ac:dyDescent="0.3">
      <c r="E416" s="8">
        <f t="shared" si="27"/>
        <v>412</v>
      </c>
      <c r="F416" s="8">
        <f t="shared" ca="1" si="24"/>
        <v>1.1675437317461201</v>
      </c>
      <c r="G416" s="8">
        <f t="shared" ca="1" si="25"/>
        <v>1755.6998187658783</v>
      </c>
      <c r="H416" s="8">
        <f t="shared" ca="1" si="26"/>
        <v>0.16780080462256317</v>
      </c>
    </row>
    <row r="417" spans="5:8" x14ac:dyDescent="0.3">
      <c r="E417" s="8">
        <f t="shared" si="27"/>
        <v>413</v>
      </c>
      <c r="F417" s="8">
        <f t="shared" ca="1" si="24"/>
        <v>0.91366447701708786</v>
      </c>
      <c r="G417" s="8">
        <f t="shared" ca="1" si="25"/>
        <v>2310.0769063735615</v>
      </c>
      <c r="H417" s="8">
        <f t="shared" ca="1" si="26"/>
        <v>0.22078532986462407</v>
      </c>
    </row>
    <row r="418" spans="5:8" x14ac:dyDescent="0.3">
      <c r="E418" s="8">
        <f t="shared" si="27"/>
        <v>414</v>
      </c>
      <c r="F418" s="8">
        <f t="shared" ca="1" si="24"/>
        <v>1.3196457048796957</v>
      </c>
      <c r="G418" s="8">
        <f t="shared" ca="1" si="25"/>
        <v>1423.5661476820744</v>
      </c>
      <c r="H418" s="8">
        <f t="shared" ca="1" si="26"/>
        <v>0.13605716789468358</v>
      </c>
    </row>
    <row r="419" spans="5:8" x14ac:dyDescent="0.3">
      <c r="E419" s="8">
        <f t="shared" si="27"/>
        <v>415</v>
      </c>
      <c r="F419" s="8">
        <f t="shared" ca="1" si="24"/>
        <v>1.2195587550554923</v>
      </c>
      <c r="G419" s="8">
        <f t="shared" ca="1" si="25"/>
        <v>1642.1185134919506</v>
      </c>
      <c r="H419" s="8">
        <f t="shared" ca="1" si="26"/>
        <v>0.15694528466901947</v>
      </c>
    </row>
    <row r="420" spans="5:8" x14ac:dyDescent="0.3">
      <c r="E420" s="8">
        <f t="shared" si="27"/>
        <v>416</v>
      </c>
      <c r="F420" s="8">
        <f t="shared" ca="1" si="24"/>
        <v>1.0694868908197808</v>
      </c>
      <c r="G420" s="8">
        <f t="shared" ca="1" si="25"/>
        <v>1969.819188033656</v>
      </c>
      <c r="H420" s="8">
        <f t="shared" ca="1" si="26"/>
        <v>0.18826523827139979</v>
      </c>
    </row>
    <row r="421" spans="5:8" x14ac:dyDescent="0.3">
      <c r="E421" s="8">
        <f t="shared" si="27"/>
        <v>417</v>
      </c>
      <c r="F421" s="8">
        <f t="shared" ca="1" si="24"/>
        <v>0.99243149576003287</v>
      </c>
      <c r="G421" s="8">
        <f t="shared" ca="1" si="25"/>
        <v>2138.0792750709979</v>
      </c>
      <c r="H421" s="8">
        <f t="shared" ca="1" si="26"/>
        <v>0.20434667639023205</v>
      </c>
    </row>
    <row r="422" spans="5:8" x14ac:dyDescent="0.3">
      <c r="E422" s="8">
        <f t="shared" si="27"/>
        <v>418</v>
      </c>
      <c r="F422" s="8">
        <f t="shared" ca="1" si="24"/>
        <v>1.2782872515201822</v>
      </c>
      <c r="G422" s="8">
        <f t="shared" ca="1" si="25"/>
        <v>1513.8775003992421</v>
      </c>
      <c r="H422" s="8">
        <f t="shared" ca="1" si="26"/>
        <v>0.14468866485704313</v>
      </c>
    </row>
    <row r="423" spans="5:8" x14ac:dyDescent="0.3">
      <c r="E423" s="8">
        <f t="shared" si="27"/>
        <v>419</v>
      </c>
      <c r="F423" s="8">
        <f t="shared" ca="1" si="24"/>
        <v>1.190420182604141</v>
      </c>
      <c r="G423" s="8">
        <f t="shared" ca="1" si="25"/>
        <v>1705.7462287610326</v>
      </c>
      <c r="H423" s="8">
        <f t="shared" ca="1" si="26"/>
        <v>0.16302649610637795</v>
      </c>
    </row>
    <row r="424" spans="5:8" x14ac:dyDescent="0.3">
      <c r="E424" s="8">
        <f t="shared" si="27"/>
        <v>420</v>
      </c>
      <c r="F424" s="8">
        <f t="shared" ca="1" si="24"/>
        <v>1.0794653257543891</v>
      </c>
      <c r="G424" s="8">
        <f t="shared" ca="1" si="25"/>
        <v>1948.0300280495719</v>
      </c>
      <c r="H424" s="8">
        <f t="shared" ca="1" si="26"/>
        <v>0.18618274185697906</v>
      </c>
    </row>
    <row r="425" spans="5:8" x14ac:dyDescent="0.3">
      <c r="E425" s="8">
        <f t="shared" si="27"/>
        <v>421</v>
      </c>
      <c r="F425" s="8">
        <f t="shared" ca="1" si="24"/>
        <v>1.1940856907761552</v>
      </c>
      <c r="G425" s="8">
        <f t="shared" ca="1" si="25"/>
        <v>1697.7421334789178</v>
      </c>
      <c r="H425" s="8">
        <f t="shared" ca="1" si="26"/>
        <v>0.16226150563690317</v>
      </c>
    </row>
    <row r="426" spans="5:8" x14ac:dyDescent="0.3">
      <c r="E426" s="8">
        <f t="shared" si="27"/>
        <v>422</v>
      </c>
      <c r="F426" s="8">
        <f t="shared" ca="1" si="24"/>
        <v>1.1091582060936227</v>
      </c>
      <c r="G426" s="8">
        <f t="shared" ca="1" si="25"/>
        <v>1883.1919122188131</v>
      </c>
      <c r="H426" s="8">
        <f t="shared" ca="1" si="26"/>
        <v>0.17998584652765107</v>
      </c>
    </row>
    <row r="427" spans="5:8" x14ac:dyDescent="0.3">
      <c r="E427" s="8">
        <f t="shared" si="27"/>
        <v>423</v>
      </c>
      <c r="F427" s="8">
        <f t="shared" ca="1" si="24"/>
        <v>1.2210771694396985</v>
      </c>
      <c r="G427" s="8">
        <f t="shared" ca="1" si="25"/>
        <v>1638.8028658822384</v>
      </c>
      <c r="H427" s="8">
        <f t="shared" ca="1" si="26"/>
        <v>0.1566283920369147</v>
      </c>
    </row>
    <row r="428" spans="5:8" x14ac:dyDescent="0.3">
      <c r="E428" s="8">
        <f t="shared" si="27"/>
        <v>424</v>
      </c>
      <c r="F428" s="8">
        <f t="shared" ca="1" si="24"/>
        <v>1.4068878710426134</v>
      </c>
      <c r="G428" s="8">
        <f t="shared" ca="1" si="25"/>
        <v>1233.0619725945733</v>
      </c>
      <c r="H428" s="8">
        <f t="shared" ca="1" si="26"/>
        <v>0.1178497536647781</v>
      </c>
    </row>
    <row r="429" spans="5:8" x14ac:dyDescent="0.3">
      <c r="E429" s="8">
        <f t="shared" si="27"/>
        <v>425</v>
      </c>
      <c r="F429" s="8">
        <f t="shared" ca="1" si="24"/>
        <v>1.3228587075742757</v>
      </c>
      <c r="G429" s="8">
        <f t="shared" ca="1" si="25"/>
        <v>1416.5501546731221</v>
      </c>
      <c r="H429" s="8">
        <f t="shared" ca="1" si="26"/>
        <v>0.13538661518428005</v>
      </c>
    </row>
    <row r="430" spans="5:8" x14ac:dyDescent="0.3">
      <c r="E430" s="8">
        <f t="shared" si="27"/>
        <v>426</v>
      </c>
      <c r="F430" s="8">
        <f t="shared" ca="1" si="24"/>
        <v>0.88717450967490485</v>
      </c>
      <c r="G430" s="8">
        <f t="shared" ca="1" si="25"/>
        <v>2367.9210613111359</v>
      </c>
      <c r="H430" s="8">
        <f t="shared" ca="1" si="26"/>
        <v>0.22631377820043352</v>
      </c>
    </row>
    <row r="431" spans="5:8" x14ac:dyDescent="0.3">
      <c r="E431" s="8">
        <f t="shared" si="27"/>
        <v>427</v>
      </c>
      <c r="F431" s="8">
        <f t="shared" ca="1" si="24"/>
        <v>0.90331720571813579</v>
      </c>
      <c r="G431" s="8">
        <f t="shared" ca="1" si="25"/>
        <v>2332.6714666637354</v>
      </c>
      <c r="H431" s="8">
        <f t="shared" ca="1" si="26"/>
        <v>0.22294480231900365</v>
      </c>
    </row>
    <row r="432" spans="5:8" x14ac:dyDescent="0.3">
      <c r="E432" s="8">
        <f t="shared" si="27"/>
        <v>428</v>
      </c>
      <c r="F432" s="8">
        <f t="shared" ca="1" si="24"/>
        <v>1.2554031203068075</v>
      </c>
      <c r="G432" s="8">
        <f t="shared" ca="1" si="25"/>
        <v>1563.8478614200474</v>
      </c>
      <c r="H432" s="8">
        <f t="shared" ca="1" si="26"/>
        <v>0.14946457626111512</v>
      </c>
    </row>
    <row r="433" spans="5:8" x14ac:dyDescent="0.3">
      <c r="E433" s="8">
        <f t="shared" si="27"/>
        <v>429</v>
      </c>
      <c r="F433" s="8">
        <f t="shared" ca="1" si="24"/>
        <v>1.224246285579913</v>
      </c>
      <c r="G433" s="8">
        <f t="shared" ca="1" si="25"/>
        <v>1631.8827046505623</v>
      </c>
      <c r="H433" s="8">
        <f t="shared" ca="1" si="26"/>
        <v>0.15596699843740441</v>
      </c>
    </row>
    <row r="434" spans="5:8" x14ac:dyDescent="0.3">
      <c r="E434" s="8">
        <f t="shared" si="27"/>
        <v>430</v>
      </c>
      <c r="F434" s="8">
        <f t="shared" ca="1" si="24"/>
        <v>1.0170278861609345</v>
      </c>
      <c r="G434" s="8">
        <f t="shared" ca="1" si="25"/>
        <v>2084.3699820818292</v>
      </c>
      <c r="H434" s="8">
        <f t="shared" ca="1" si="26"/>
        <v>0.19921341700103501</v>
      </c>
    </row>
    <row r="435" spans="5:8" x14ac:dyDescent="0.3">
      <c r="E435" s="8">
        <f t="shared" si="27"/>
        <v>431</v>
      </c>
      <c r="F435" s="8">
        <f t="shared" ca="1" si="24"/>
        <v>1.1739866115800475</v>
      </c>
      <c r="G435" s="8">
        <f t="shared" ca="1" si="25"/>
        <v>1741.6309852885188</v>
      </c>
      <c r="H435" s="8">
        <f t="shared" ca="1" si="26"/>
        <v>0.16645617751013272</v>
      </c>
    </row>
    <row r="436" spans="5:8" x14ac:dyDescent="0.3">
      <c r="E436" s="8">
        <f t="shared" si="27"/>
        <v>432</v>
      </c>
      <c r="F436" s="8">
        <f t="shared" ca="1" si="24"/>
        <v>1.071118466446588</v>
      </c>
      <c r="G436" s="8">
        <f t="shared" ca="1" si="25"/>
        <v>1966.2564387055691</v>
      </c>
      <c r="H436" s="8">
        <f t="shared" ca="1" si="26"/>
        <v>0.18792472892149184</v>
      </c>
    </row>
    <row r="437" spans="5:8" x14ac:dyDescent="0.3">
      <c r="E437" s="8">
        <f t="shared" si="27"/>
        <v>433</v>
      </c>
      <c r="F437" s="8">
        <f t="shared" ca="1" si="24"/>
        <v>1.4022831682745056</v>
      </c>
      <c r="G437" s="8">
        <f t="shared" ca="1" si="25"/>
        <v>1243.1169166765826</v>
      </c>
      <c r="H437" s="8">
        <f t="shared" ca="1" si="26"/>
        <v>0.11881075376819102</v>
      </c>
    </row>
    <row r="438" spans="5:8" x14ac:dyDescent="0.3">
      <c r="E438" s="8">
        <f t="shared" si="27"/>
        <v>434</v>
      </c>
      <c r="F438" s="8">
        <f t="shared" ca="1" si="24"/>
        <v>1.113113651451858</v>
      </c>
      <c r="G438" s="8">
        <f t="shared" ca="1" si="25"/>
        <v>1874.5547028484364</v>
      </c>
      <c r="H438" s="8">
        <f t="shared" ca="1" si="26"/>
        <v>0.17916034625331514</v>
      </c>
    </row>
    <row r="439" spans="5:8" x14ac:dyDescent="0.3">
      <c r="E439" s="8">
        <f t="shared" si="27"/>
        <v>435</v>
      </c>
      <c r="F439" s="8">
        <f t="shared" ca="1" si="24"/>
        <v>1.0776753563024311</v>
      </c>
      <c r="G439" s="8">
        <f t="shared" ca="1" si="25"/>
        <v>1951.9386500941039</v>
      </c>
      <c r="H439" s="8">
        <f t="shared" ca="1" si="26"/>
        <v>0.18655630795126674</v>
      </c>
    </row>
    <row r="440" spans="5:8" x14ac:dyDescent="0.3">
      <c r="E440" s="8">
        <f t="shared" si="27"/>
        <v>436</v>
      </c>
      <c r="F440" s="8">
        <f t="shared" ca="1" si="24"/>
        <v>1.1388895537045804</v>
      </c>
      <c r="G440" s="8">
        <f t="shared" ca="1" si="25"/>
        <v>1818.2697982918353</v>
      </c>
      <c r="H440" s="8">
        <f t="shared" ca="1" si="26"/>
        <v>0.17378092309011137</v>
      </c>
    </row>
    <row r="441" spans="5:8" x14ac:dyDescent="0.3">
      <c r="E441" s="8">
        <f t="shared" si="27"/>
        <v>437</v>
      </c>
      <c r="F441" s="8">
        <f t="shared" ca="1" si="24"/>
        <v>1.2835900438482168</v>
      </c>
      <c r="G441" s="8">
        <f t="shared" ca="1" si="25"/>
        <v>1502.2981905019374</v>
      </c>
      <c r="H441" s="8">
        <f t="shared" ca="1" si="26"/>
        <v>0.14358197366930492</v>
      </c>
    </row>
    <row r="442" spans="5:8" x14ac:dyDescent="0.3">
      <c r="E442" s="8">
        <f t="shared" si="27"/>
        <v>438</v>
      </c>
      <c r="F442" s="8">
        <f t="shared" ca="1" si="24"/>
        <v>1.2564476863313987</v>
      </c>
      <c r="G442" s="8">
        <f t="shared" ca="1" si="25"/>
        <v>1561.5669209345995</v>
      </c>
      <c r="H442" s="8">
        <f t="shared" ca="1" si="26"/>
        <v>0.1492465756412692</v>
      </c>
    </row>
    <row r="443" spans="5:8" x14ac:dyDescent="0.3">
      <c r="E443" s="8">
        <f t="shared" si="27"/>
        <v>439</v>
      </c>
      <c r="F443" s="8">
        <f t="shared" ca="1" si="24"/>
        <v>1.1629619166128056</v>
      </c>
      <c r="G443" s="8">
        <f t="shared" ca="1" si="25"/>
        <v>1765.7047848363623</v>
      </c>
      <c r="H443" s="8">
        <f t="shared" ca="1" si="26"/>
        <v>0.16875702808337592</v>
      </c>
    </row>
    <row r="444" spans="5:8" x14ac:dyDescent="0.3">
      <c r="E444" s="8">
        <f t="shared" si="27"/>
        <v>440</v>
      </c>
      <c r="F444" s="8">
        <f t="shared" ca="1" si="24"/>
        <v>0.95885381513602286</v>
      </c>
      <c r="G444" s="8">
        <f t="shared" ca="1" si="25"/>
        <v>2211.4003379236019</v>
      </c>
      <c r="H444" s="8">
        <f t="shared" ca="1" si="26"/>
        <v>0.21135432838799598</v>
      </c>
    </row>
    <row r="445" spans="5:8" x14ac:dyDescent="0.3">
      <c r="E445" s="8">
        <f t="shared" si="27"/>
        <v>441</v>
      </c>
      <c r="F445" s="8">
        <f t="shared" ca="1" si="24"/>
        <v>0.93014856115562716</v>
      </c>
      <c r="G445" s="8">
        <f t="shared" ca="1" si="25"/>
        <v>2274.0818481465435</v>
      </c>
      <c r="H445" s="8">
        <f t="shared" ca="1" si="26"/>
        <v>0.21734510638885057</v>
      </c>
    </row>
    <row r="446" spans="5:8" x14ac:dyDescent="0.3">
      <c r="E446" s="8">
        <f t="shared" si="27"/>
        <v>442</v>
      </c>
      <c r="F446" s="8">
        <f t="shared" ca="1" si="24"/>
        <v>1.2348962206770322</v>
      </c>
      <c r="G446" s="8">
        <f t="shared" ca="1" si="25"/>
        <v>1608.6272401241154</v>
      </c>
      <c r="H446" s="8">
        <f t="shared" ca="1" si="26"/>
        <v>0.15374436013802115</v>
      </c>
    </row>
    <row r="447" spans="5:8" x14ac:dyDescent="0.3">
      <c r="E447" s="8">
        <f t="shared" si="27"/>
        <v>443</v>
      </c>
      <c r="F447" s="8">
        <f t="shared" ca="1" si="24"/>
        <v>0.86368237912715795</v>
      </c>
      <c r="G447" s="8">
        <f t="shared" ca="1" si="25"/>
        <v>2419.2190648784594</v>
      </c>
      <c r="H447" s="8">
        <f t="shared" ca="1" si="26"/>
        <v>0.23121657888544964</v>
      </c>
    </row>
    <row r="448" spans="5:8" x14ac:dyDescent="0.3">
      <c r="E448" s="8">
        <f t="shared" si="27"/>
        <v>444</v>
      </c>
      <c r="F448" s="8">
        <f t="shared" ca="1" si="24"/>
        <v>1.20454819928245</v>
      </c>
      <c r="G448" s="8">
        <f t="shared" ca="1" si="25"/>
        <v>1674.8959383418598</v>
      </c>
      <c r="H448" s="8">
        <f t="shared" ca="1" si="26"/>
        <v>0.16007798321149383</v>
      </c>
    </row>
    <row r="449" spans="5:8" x14ac:dyDescent="0.3">
      <c r="E449" s="8">
        <f t="shared" si="27"/>
        <v>445</v>
      </c>
      <c r="F449" s="8">
        <f t="shared" ca="1" si="24"/>
        <v>1.1494151437923912</v>
      </c>
      <c r="G449" s="8">
        <f t="shared" ca="1" si="25"/>
        <v>1795.2858566363398</v>
      </c>
      <c r="H449" s="8">
        <f t="shared" ca="1" si="26"/>
        <v>0.17158423555732963</v>
      </c>
    </row>
    <row r="450" spans="5:8" x14ac:dyDescent="0.3">
      <c r="E450" s="8">
        <f t="shared" si="27"/>
        <v>446</v>
      </c>
      <c r="F450" s="8">
        <f t="shared" ca="1" si="24"/>
        <v>1.1763301311183767</v>
      </c>
      <c r="G450" s="8">
        <f t="shared" ca="1" si="25"/>
        <v>1736.5136174366346</v>
      </c>
      <c r="H450" s="8">
        <f t="shared" ca="1" si="26"/>
        <v>0.16596708567682639</v>
      </c>
    </row>
    <row r="451" spans="5:8" x14ac:dyDescent="0.3">
      <c r="E451" s="8">
        <f t="shared" si="27"/>
        <v>447</v>
      </c>
      <c r="F451" s="8">
        <f t="shared" ca="1" si="24"/>
        <v>1.1772936202697657</v>
      </c>
      <c r="G451" s="8">
        <f t="shared" ca="1" si="25"/>
        <v>1734.4097184384327</v>
      </c>
      <c r="H451" s="8">
        <f t="shared" ca="1" si="26"/>
        <v>0.16576600577639614</v>
      </c>
    </row>
    <row r="452" spans="5:8" x14ac:dyDescent="0.3">
      <c r="E452" s="8">
        <f t="shared" si="27"/>
        <v>448</v>
      </c>
      <c r="F452" s="8">
        <f t="shared" ca="1" si="24"/>
        <v>1.2043196279118893</v>
      </c>
      <c r="G452" s="8">
        <f t="shared" ca="1" si="25"/>
        <v>1675.3950525009006</v>
      </c>
      <c r="H452" s="8">
        <f t="shared" ca="1" si="26"/>
        <v>0.16012568598880825</v>
      </c>
    </row>
    <row r="453" spans="5:8" x14ac:dyDescent="0.3">
      <c r="E453" s="8">
        <f t="shared" si="27"/>
        <v>449</v>
      </c>
      <c r="F453" s="8">
        <f t="shared" ref="F453:F516" ca="1" si="28">_xlfn.NORM.INV(RAND(), $C$9, $C$9 * $C$10)</f>
        <v>1.2442370207481035</v>
      </c>
      <c r="G453" s="8">
        <f t="shared" ref="G453:G516" ca="1" si="29">$C$7 - ($C$6 + ($C$8 * $C$11)) - (($C$6 + ($C$8 * $C$11)) * (1 - $C$12) * (F453 - $C$13))</f>
        <v>1588.2304355689223</v>
      </c>
      <c r="H453" s="8">
        <f t="shared" ref="H453:H516" ca="1" si="30">G453 / $C$7</f>
        <v>0.15179493793070079</v>
      </c>
    </row>
    <row r="454" spans="5:8" x14ac:dyDescent="0.3">
      <c r="E454" s="8">
        <f t="shared" ref="E454:E517" si="31">ROW()-4</f>
        <v>450</v>
      </c>
      <c r="F454" s="8">
        <f t="shared" ca="1" si="28"/>
        <v>1.3463608978359685</v>
      </c>
      <c r="G454" s="8">
        <f t="shared" ca="1" si="29"/>
        <v>1365.2301844629333</v>
      </c>
      <c r="H454" s="8">
        <f t="shared" ca="1" si="30"/>
        <v>0.13048171503994394</v>
      </c>
    </row>
    <row r="455" spans="5:8" x14ac:dyDescent="0.3">
      <c r="E455" s="8">
        <f t="shared" si="31"/>
        <v>451</v>
      </c>
      <c r="F455" s="8">
        <f t="shared" ca="1" si="28"/>
        <v>1.2244927521381765</v>
      </c>
      <c r="G455" s="8">
        <f t="shared" ca="1" si="29"/>
        <v>1631.3445141122741</v>
      </c>
      <c r="H455" s="8">
        <f t="shared" ca="1" si="30"/>
        <v>0.15591556093971845</v>
      </c>
    </row>
    <row r="456" spans="5:8" x14ac:dyDescent="0.3">
      <c r="E456" s="8">
        <f t="shared" si="31"/>
        <v>452</v>
      </c>
      <c r="F456" s="8">
        <f t="shared" ca="1" si="28"/>
        <v>1.1233353766191947</v>
      </c>
      <c r="G456" s="8">
        <f t="shared" ca="1" si="29"/>
        <v>1852.2342882299108</v>
      </c>
      <c r="H456" s="8">
        <f t="shared" ca="1" si="30"/>
        <v>0.17702707523940656</v>
      </c>
    </row>
    <row r="457" spans="5:8" x14ac:dyDescent="0.3">
      <c r="E457" s="8">
        <f t="shared" si="31"/>
        <v>453</v>
      </c>
      <c r="F457" s="8">
        <f t="shared" ca="1" si="28"/>
        <v>1.1455464460148121</v>
      </c>
      <c r="G457" s="8">
        <f t="shared" ca="1" si="29"/>
        <v>1803.7336418209056</v>
      </c>
      <c r="H457" s="8">
        <f t="shared" ca="1" si="30"/>
        <v>0.1723916316372843</v>
      </c>
    </row>
    <row r="458" spans="5:8" x14ac:dyDescent="0.3">
      <c r="E458" s="8">
        <f t="shared" si="31"/>
        <v>454</v>
      </c>
      <c r="F458" s="8">
        <f t="shared" ca="1" si="28"/>
        <v>1.0876207878631106</v>
      </c>
      <c r="G458" s="8">
        <f t="shared" ca="1" si="29"/>
        <v>1930.2215571024151</v>
      </c>
      <c r="H458" s="8">
        <f t="shared" ca="1" si="30"/>
        <v>0.18448069933120664</v>
      </c>
    </row>
    <row r="459" spans="5:8" x14ac:dyDescent="0.3">
      <c r="E459" s="8">
        <f t="shared" si="31"/>
        <v>455</v>
      </c>
      <c r="F459" s="8">
        <f t="shared" ca="1" si="28"/>
        <v>1.2124211908900462</v>
      </c>
      <c r="G459" s="8">
        <f t="shared" ca="1" si="29"/>
        <v>1657.7042770427229</v>
      </c>
      <c r="H459" s="8">
        <f t="shared" ca="1" si="30"/>
        <v>0.1584348921956153</v>
      </c>
    </row>
    <row r="460" spans="5:8" x14ac:dyDescent="0.3">
      <c r="E460" s="8">
        <f t="shared" si="31"/>
        <v>456</v>
      </c>
      <c r="F460" s="8">
        <f t="shared" ca="1" si="28"/>
        <v>1.0411386982374851</v>
      </c>
      <c r="G460" s="8">
        <f t="shared" ca="1" si="29"/>
        <v>2031.7210100611715</v>
      </c>
      <c r="H460" s="8">
        <f t="shared" ca="1" si="30"/>
        <v>0.19418149766426182</v>
      </c>
    </row>
    <row r="461" spans="5:8" x14ac:dyDescent="0.3">
      <c r="E461" s="8">
        <f t="shared" si="31"/>
        <v>457</v>
      </c>
      <c r="F461" s="8">
        <f t="shared" ca="1" si="28"/>
        <v>1.1263010550365895</v>
      </c>
      <c r="G461" s="8">
        <f t="shared" ca="1" si="29"/>
        <v>1845.7583586957271</v>
      </c>
      <c r="H461" s="8">
        <f t="shared" ca="1" si="30"/>
        <v>0.17640813903237382</v>
      </c>
    </row>
    <row r="462" spans="5:8" x14ac:dyDescent="0.3">
      <c r="E462" s="8">
        <f t="shared" si="31"/>
        <v>458</v>
      </c>
      <c r="F462" s="8">
        <f t="shared" ca="1" si="28"/>
        <v>1.1657722656545995</v>
      </c>
      <c r="G462" s="8">
        <f t="shared" ca="1" si="29"/>
        <v>1759.5680364099751</v>
      </c>
      <c r="H462" s="8">
        <f t="shared" ca="1" si="30"/>
        <v>0.16817050907100975</v>
      </c>
    </row>
    <row r="463" spans="5:8" x14ac:dyDescent="0.3">
      <c r="E463" s="8">
        <f t="shared" si="31"/>
        <v>459</v>
      </c>
      <c r="F463" s="8">
        <f t="shared" ca="1" si="28"/>
        <v>1.2319271784543602</v>
      </c>
      <c r="G463" s="8">
        <f t="shared" ca="1" si="29"/>
        <v>1615.1105149475977</v>
      </c>
      <c r="H463" s="8">
        <f t="shared" ca="1" si="30"/>
        <v>0.15436399837021864</v>
      </c>
    </row>
    <row r="464" spans="5:8" x14ac:dyDescent="0.3">
      <c r="E464" s="8">
        <f t="shared" si="31"/>
        <v>460</v>
      </c>
      <c r="F464" s="8">
        <f t="shared" ca="1" si="28"/>
        <v>0.97293656837784503</v>
      </c>
      <c r="G464" s="8">
        <f t="shared" ca="1" si="29"/>
        <v>2180.648885875928</v>
      </c>
      <c r="H464" s="8">
        <f t="shared" ca="1" si="30"/>
        <v>0.20841526195889593</v>
      </c>
    </row>
    <row r="465" spans="5:8" x14ac:dyDescent="0.3">
      <c r="E465" s="8">
        <f t="shared" si="31"/>
        <v>461</v>
      </c>
      <c r="F465" s="8">
        <f t="shared" ca="1" si="28"/>
        <v>1.2392961569989962</v>
      </c>
      <c r="G465" s="8">
        <f t="shared" ca="1" si="29"/>
        <v>1599.0194291730668</v>
      </c>
      <c r="H465" s="8">
        <f t="shared" ca="1" si="30"/>
        <v>0.15282609473124981</v>
      </c>
    </row>
    <row r="466" spans="5:8" x14ac:dyDescent="0.3">
      <c r="E466" s="8">
        <f t="shared" si="31"/>
        <v>462</v>
      </c>
      <c r="F466" s="8">
        <f t="shared" ca="1" si="28"/>
        <v>1.1271256124695399</v>
      </c>
      <c r="G466" s="8">
        <f t="shared" ca="1" si="29"/>
        <v>1843.9578344712008</v>
      </c>
      <c r="H466" s="8">
        <f t="shared" ca="1" si="30"/>
        <v>0.17623605414041871</v>
      </c>
    </row>
    <row r="467" spans="5:8" x14ac:dyDescent="0.3">
      <c r="E467" s="8">
        <f t="shared" si="31"/>
        <v>463</v>
      </c>
      <c r="F467" s="8">
        <f t="shared" ca="1" si="28"/>
        <v>1.0838581959366</v>
      </c>
      <c r="G467" s="8">
        <f t="shared" ca="1" si="29"/>
        <v>1938.4376468979417</v>
      </c>
      <c r="H467" s="8">
        <f t="shared" ca="1" si="30"/>
        <v>0.18526595115148062</v>
      </c>
    </row>
    <row r="468" spans="5:8" x14ac:dyDescent="0.3">
      <c r="E468" s="8">
        <f t="shared" si="31"/>
        <v>464</v>
      </c>
      <c r="F468" s="8">
        <f t="shared" ca="1" si="28"/>
        <v>1.0196535901032728</v>
      </c>
      <c r="G468" s="8">
        <f t="shared" ca="1" si="29"/>
        <v>2078.6364293107408</v>
      </c>
      <c r="H468" s="8">
        <f t="shared" ca="1" si="30"/>
        <v>0.19866543336621817</v>
      </c>
    </row>
    <row r="469" spans="5:8" x14ac:dyDescent="0.3">
      <c r="E469" s="8">
        <f t="shared" si="31"/>
        <v>465</v>
      </c>
      <c r="F469" s="8">
        <f t="shared" ca="1" si="28"/>
        <v>1.1624732982193273</v>
      </c>
      <c r="G469" s="8">
        <f t="shared" ca="1" si="29"/>
        <v>1766.7717441758211</v>
      </c>
      <c r="H469" s="8">
        <f t="shared" ca="1" si="30"/>
        <v>0.16885900259732592</v>
      </c>
    </row>
    <row r="470" spans="5:8" x14ac:dyDescent="0.3">
      <c r="E470" s="8">
        <f t="shared" si="31"/>
        <v>466</v>
      </c>
      <c r="F470" s="8">
        <f t="shared" ca="1" si="28"/>
        <v>0.98326836624602054</v>
      </c>
      <c r="G470" s="8">
        <f t="shared" ca="1" si="29"/>
        <v>2158.0881137560332</v>
      </c>
      <c r="H470" s="8">
        <f t="shared" ca="1" si="30"/>
        <v>0.20625901880493483</v>
      </c>
    </row>
    <row r="471" spans="5:8" x14ac:dyDescent="0.3">
      <c r="E471" s="8">
        <f t="shared" si="31"/>
        <v>467</v>
      </c>
      <c r="F471" s="8">
        <f t="shared" ca="1" si="28"/>
        <v>0.84195513359436602</v>
      </c>
      <c r="G471" s="8">
        <f t="shared" ca="1" si="29"/>
        <v>2466.6632214050023</v>
      </c>
      <c r="H471" s="8">
        <f t="shared" ca="1" si="30"/>
        <v>0.23575104859074858</v>
      </c>
    </row>
    <row r="472" spans="5:8" x14ac:dyDescent="0.3">
      <c r="E472" s="8">
        <f t="shared" si="31"/>
        <v>468</v>
      </c>
      <c r="F472" s="8">
        <f t="shared" ca="1" si="28"/>
        <v>1.2467041876770395</v>
      </c>
      <c r="G472" s="8">
        <f t="shared" ca="1" si="29"/>
        <v>1582.8430681837244</v>
      </c>
      <c r="H472" s="8">
        <f t="shared" ca="1" si="30"/>
        <v>0.15128004092360933</v>
      </c>
    </row>
    <row r="473" spans="5:8" x14ac:dyDescent="0.3">
      <c r="E473" s="8">
        <f t="shared" si="31"/>
        <v>469</v>
      </c>
      <c r="F473" s="8">
        <f t="shared" ca="1" si="28"/>
        <v>1.2618676474981791</v>
      </c>
      <c r="G473" s="8">
        <f t="shared" ca="1" si="29"/>
        <v>1549.7317582317885</v>
      </c>
      <c r="H473" s="8">
        <f t="shared" ca="1" si="30"/>
        <v>0.14811543135159977</v>
      </c>
    </row>
    <row r="474" spans="5:8" x14ac:dyDescent="0.3">
      <c r="E474" s="8">
        <f t="shared" si="31"/>
        <v>470</v>
      </c>
      <c r="F474" s="8">
        <f t="shared" ca="1" si="28"/>
        <v>1.1066034463415799</v>
      </c>
      <c r="G474" s="8">
        <f t="shared" ca="1" si="29"/>
        <v>1888.7705494823674</v>
      </c>
      <c r="H474" s="8">
        <f t="shared" ca="1" si="30"/>
        <v>0.18051902413097271</v>
      </c>
    </row>
    <row r="475" spans="5:8" x14ac:dyDescent="0.3">
      <c r="E475" s="8">
        <f t="shared" si="31"/>
        <v>471</v>
      </c>
      <c r="F475" s="8">
        <f t="shared" ca="1" si="28"/>
        <v>1.0987648166299171</v>
      </c>
      <c r="G475" s="8">
        <f t="shared" ca="1" si="29"/>
        <v>1905.8871772864973</v>
      </c>
      <c r="H475" s="8">
        <f t="shared" ca="1" si="30"/>
        <v>0.1821549438293508</v>
      </c>
    </row>
    <row r="476" spans="5:8" x14ac:dyDescent="0.3">
      <c r="E476" s="8">
        <f t="shared" si="31"/>
        <v>472</v>
      </c>
      <c r="F476" s="8">
        <f t="shared" ca="1" si="28"/>
        <v>1.3083497605117664</v>
      </c>
      <c r="G476" s="8">
        <f t="shared" ca="1" si="29"/>
        <v>1448.232254202494</v>
      </c>
      <c r="H476" s="8">
        <f t="shared" ca="1" si="30"/>
        <v>0.1384146281374839</v>
      </c>
    </row>
    <row r="477" spans="5:8" x14ac:dyDescent="0.3">
      <c r="E477" s="8">
        <f t="shared" si="31"/>
        <v>473</v>
      </c>
      <c r="F477" s="8">
        <f t="shared" ca="1" si="28"/>
        <v>1.1914400436105379</v>
      </c>
      <c r="G477" s="8">
        <f t="shared" ca="1" si="29"/>
        <v>1703.519234770939</v>
      </c>
      <c r="H477" s="8">
        <f t="shared" ca="1" si="30"/>
        <v>0.1628136514165095</v>
      </c>
    </row>
    <row r="478" spans="5:8" x14ac:dyDescent="0.3">
      <c r="E478" s="8">
        <f t="shared" si="31"/>
        <v>474</v>
      </c>
      <c r="F478" s="8">
        <f t="shared" ca="1" si="28"/>
        <v>1.3491799597419019</v>
      </c>
      <c r="G478" s="8">
        <f t="shared" ca="1" si="29"/>
        <v>1359.0744104085893</v>
      </c>
      <c r="H478" s="8">
        <f t="shared" ca="1" si="30"/>
        <v>0.12989337765541328</v>
      </c>
    </row>
    <row r="479" spans="5:8" x14ac:dyDescent="0.3">
      <c r="E479" s="8">
        <f t="shared" si="31"/>
        <v>475</v>
      </c>
      <c r="F479" s="8">
        <f t="shared" ca="1" si="28"/>
        <v>1.3272925177708885</v>
      </c>
      <c r="G479" s="8">
        <f t="shared" ca="1" si="29"/>
        <v>1406.8683758825434</v>
      </c>
      <c r="H479" s="8">
        <f t="shared" ca="1" si="30"/>
        <v>0.1344612803099057</v>
      </c>
    </row>
    <row r="480" spans="5:8" x14ac:dyDescent="0.3">
      <c r="E480" s="8">
        <f t="shared" si="31"/>
        <v>476</v>
      </c>
      <c r="F480" s="8">
        <f t="shared" ca="1" si="28"/>
        <v>1.193027888090695</v>
      </c>
      <c r="G480" s="8">
        <f t="shared" ca="1" si="29"/>
        <v>1700.0519778679559</v>
      </c>
      <c r="H480" s="8">
        <f t="shared" ca="1" si="30"/>
        <v>0.16248226874395066</v>
      </c>
    </row>
    <row r="481" spans="5:8" x14ac:dyDescent="0.3">
      <c r="E481" s="8">
        <f t="shared" si="31"/>
        <v>477</v>
      </c>
      <c r="F481" s="8">
        <f t="shared" ca="1" si="28"/>
        <v>1.1674921557133457</v>
      </c>
      <c r="G481" s="8">
        <f t="shared" ca="1" si="29"/>
        <v>1755.8124414804452</v>
      </c>
      <c r="H481" s="8">
        <f t="shared" ca="1" si="30"/>
        <v>0.16781156852532211</v>
      </c>
    </row>
    <row r="482" spans="5:8" x14ac:dyDescent="0.3">
      <c r="E482" s="8">
        <f t="shared" si="31"/>
        <v>478</v>
      </c>
      <c r="F482" s="8">
        <f t="shared" ca="1" si="28"/>
        <v>1.2226721061020376</v>
      </c>
      <c r="G482" s="8">
        <f t="shared" ca="1" si="29"/>
        <v>1635.3201223129381</v>
      </c>
      <c r="H482" s="8">
        <f t="shared" ca="1" si="30"/>
        <v>0.15629552922803575</v>
      </c>
    </row>
    <row r="483" spans="5:8" x14ac:dyDescent="0.3">
      <c r="E483" s="8">
        <f t="shared" si="31"/>
        <v>479</v>
      </c>
      <c r="F483" s="8">
        <f t="shared" ca="1" si="28"/>
        <v>1.1685820563600731</v>
      </c>
      <c r="G483" s="8">
        <f t="shared" ca="1" si="29"/>
        <v>1753.4325071807352</v>
      </c>
      <c r="H483" s="8">
        <f t="shared" ca="1" si="30"/>
        <v>0.16758410658326819</v>
      </c>
    </row>
    <row r="484" spans="5:8" x14ac:dyDescent="0.3">
      <c r="E484" s="8">
        <f t="shared" si="31"/>
        <v>480</v>
      </c>
      <c r="F484" s="8">
        <f t="shared" ca="1" si="28"/>
        <v>1.1126425480163959</v>
      </c>
      <c r="G484" s="8">
        <f t="shared" ca="1" si="29"/>
        <v>1875.5834160876973</v>
      </c>
      <c r="H484" s="8">
        <f t="shared" ca="1" si="30"/>
        <v>0.17925866540071655</v>
      </c>
    </row>
    <row r="485" spans="5:8" x14ac:dyDescent="0.3">
      <c r="E485" s="8">
        <f t="shared" si="31"/>
        <v>481</v>
      </c>
      <c r="F485" s="8">
        <f t="shared" ca="1" si="28"/>
        <v>1.1678949520013477</v>
      </c>
      <c r="G485" s="8">
        <f t="shared" ca="1" si="29"/>
        <v>1754.9328854360569</v>
      </c>
      <c r="H485" s="8">
        <f t="shared" ca="1" si="30"/>
        <v>0.16772750505935743</v>
      </c>
    </row>
    <row r="486" spans="5:8" x14ac:dyDescent="0.3">
      <c r="E486" s="8">
        <f t="shared" si="31"/>
        <v>482</v>
      </c>
      <c r="F486" s="8">
        <f t="shared" ca="1" si="28"/>
        <v>1.1450516108076099</v>
      </c>
      <c r="G486" s="8">
        <f t="shared" ca="1" si="29"/>
        <v>1804.8141763502329</v>
      </c>
      <c r="H486" s="8">
        <f t="shared" ca="1" si="30"/>
        <v>0.1724949035984166</v>
      </c>
    </row>
    <row r="487" spans="5:8" x14ac:dyDescent="0.3">
      <c r="E487" s="8">
        <f t="shared" si="31"/>
        <v>483</v>
      </c>
      <c r="F487" s="8">
        <f t="shared" ca="1" si="28"/>
        <v>1.2094570981825805</v>
      </c>
      <c r="G487" s="8">
        <f t="shared" ca="1" si="29"/>
        <v>1664.1767439810624</v>
      </c>
      <c r="H487" s="8">
        <f t="shared" ca="1" si="30"/>
        <v>0.15905349746545563</v>
      </c>
    </row>
    <row r="488" spans="5:8" x14ac:dyDescent="0.3">
      <c r="E488" s="8">
        <f t="shared" si="31"/>
        <v>484</v>
      </c>
      <c r="F488" s="8">
        <f t="shared" ca="1" si="28"/>
        <v>0.95975701800746238</v>
      </c>
      <c r="G488" s="8">
        <f t="shared" ca="1" si="29"/>
        <v>2209.4280815534548</v>
      </c>
      <c r="H488" s="8">
        <f t="shared" ca="1" si="30"/>
        <v>0.21116583021632943</v>
      </c>
    </row>
    <row r="489" spans="5:8" x14ac:dyDescent="0.3">
      <c r="E489" s="8">
        <f t="shared" si="31"/>
        <v>485</v>
      </c>
      <c r="F489" s="8">
        <f t="shared" ca="1" si="28"/>
        <v>1.2071447473745283</v>
      </c>
      <c r="G489" s="8">
        <f t="shared" ca="1" si="29"/>
        <v>1669.2260510142955</v>
      </c>
      <c r="H489" s="8">
        <f t="shared" ca="1" si="30"/>
        <v>0.15953608439398792</v>
      </c>
    </row>
    <row r="490" spans="5:8" x14ac:dyDescent="0.3">
      <c r="E490" s="8">
        <f t="shared" si="31"/>
        <v>486</v>
      </c>
      <c r="F490" s="8">
        <f t="shared" ca="1" si="28"/>
        <v>1.1275150677930041</v>
      </c>
      <c r="G490" s="8">
        <f t="shared" ca="1" si="29"/>
        <v>1843.1074100905012</v>
      </c>
      <c r="H490" s="8">
        <f t="shared" ca="1" si="30"/>
        <v>0.17615477492980036</v>
      </c>
    </row>
    <row r="491" spans="5:8" x14ac:dyDescent="0.3">
      <c r="E491" s="8">
        <f t="shared" si="31"/>
        <v>487</v>
      </c>
      <c r="F491" s="8">
        <f t="shared" ca="1" si="28"/>
        <v>1.1801183686689301</v>
      </c>
      <c r="G491" s="8">
        <f t="shared" ca="1" si="29"/>
        <v>1728.2415272153075</v>
      </c>
      <c r="H491" s="8">
        <f t="shared" ca="1" si="30"/>
        <v>0.16517648162241302</v>
      </c>
    </row>
    <row r="492" spans="5:8" x14ac:dyDescent="0.3">
      <c r="E492" s="8">
        <f t="shared" si="31"/>
        <v>488</v>
      </c>
      <c r="F492" s="8">
        <f t="shared" ca="1" si="28"/>
        <v>1.2480694461767283</v>
      </c>
      <c r="G492" s="8">
        <f t="shared" ca="1" si="29"/>
        <v>1579.8618555923415</v>
      </c>
      <c r="H492" s="8">
        <f t="shared" ca="1" si="30"/>
        <v>0.15099511187922598</v>
      </c>
    </row>
    <row r="493" spans="5:8" x14ac:dyDescent="0.3">
      <c r="E493" s="8">
        <f t="shared" si="31"/>
        <v>489</v>
      </c>
      <c r="F493" s="8">
        <f t="shared" ca="1" si="28"/>
        <v>1.0602057636781106</v>
      </c>
      <c r="G493" s="8">
        <f t="shared" ca="1" si="29"/>
        <v>1990.0856892883858</v>
      </c>
      <c r="H493" s="8">
        <f t="shared" ca="1" si="30"/>
        <v>0.19020220675603419</v>
      </c>
    </row>
    <row r="494" spans="5:8" x14ac:dyDescent="0.3">
      <c r="E494" s="8">
        <f t="shared" si="31"/>
        <v>490</v>
      </c>
      <c r="F494" s="8">
        <f t="shared" ca="1" si="28"/>
        <v>1.1107862366439254</v>
      </c>
      <c r="G494" s="8">
        <f t="shared" ca="1" si="29"/>
        <v>1879.6369040084082</v>
      </c>
      <c r="H494" s="8">
        <f t="shared" ca="1" si="30"/>
        <v>0.17964607703415925</v>
      </c>
    </row>
    <row r="495" spans="5:8" x14ac:dyDescent="0.3">
      <c r="E495" s="8">
        <f t="shared" si="31"/>
        <v>491</v>
      </c>
      <c r="F495" s="8">
        <f t="shared" ca="1" si="28"/>
        <v>1.3234442720153923</v>
      </c>
      <c r="G495" s="8">
        <f t="shared" ca="1" si="29"/>
        <v>1415.2715015203889</v>
      </c>
      <c r="H495" s="8">
        <f t="shared" ca="1" si="30"/>
        <v>0.1352644080589113</v>
      </c>
    </row>
    <row r="496" spans="5:8" x14ac:dyDescent="0.3">
      <c r="E496" s="8">
        <f t="shared" si="31"/>
        <v>492</v>
      </c>
      <c r="F496" s="8">
        <f t="shared" ca="1" si="28"/>
        <v>1.0755755689110325</v>
      </c>
      <c r="G496" s="8">
        <f t="shared" ca="1" si="29"/>
        <v>1956.5237983366467</v>
      </c>
      <c r="H496" s="8">
        <f t="shared" ca="1" si="30"/>
        <v>0.18699453295772214</v>
      </c>
    </row>
    <row r="497" spans="5:8" x14ac:dyDescent="0.3">
      <c r="E497" s="8">
        <f t="shared" si="31"/>
        <v>493</v>
      </c>
      <c r="F497" s="8">
        <f t="shared" ca="1" si="28"/>
        <v>1.2454613115274007</v>
      </c>
      <c r="G497" s="8">
        <f t="shared" ca="1" si="29"/>
        <v>1585.5570436159796</v>
      </c>
      <c r="H497" s="8">
        <f t="shared" ca="1" si="30"/>
        <v>0.15153942880779697</v>
      </c>
    </row>
    <row r="498" spans="5:8" x14ac:dyDescent="0.3">
      <c r="E498" s="8">
        <f t="shared" si="31"/>
        <v>494</v>
      </c>
      <c r="F498" s="8">
        <f t="shared" ca="1" si="28"/>
        <v>1.1733121914321274</v>
      </c>
      <c r="G498" s="8">
        <f t="shared" ca="1" si="29"/>
        <v>1743.1036659840206</v>
      </c>
      <c r="H498" s="8">
        <f t="shared" ca="1" si="30"/>
        <v>0.16659692879518501</v>
      </c>
    </row>
    <row r="499" spans="5:8" x14ac:dyDescent="0.3">
      <c r="E499" s="8">
        <f t="shared" si="31"/>
        <v>495</v>
      </c>
      <c r="F499" s="8">
        <f t="shared" ca="1" si="28"/>
        <v>1.3128264779028944</v>
      </c>
      <c r="G499" s="8">
        <f t="shared" ca="1" si="29"/>
        <v>1438.456782189292</v>
      </c>
      <c r="H499" s="8">
        <f t="shared" ca="1" si="30"/>
        <v>0.13748033854432687</v>
      </c>
    </row>
    <row r="500" spans="5:8" x14ac:dyDescent="0.3">
      <c r="E500" s="8">
        <f t="shared" si="31"/>
        <v>496</v>
      </c>
      <c r="F500" s="8">
        <f t="shared" ca="1" si="28"/>
        <v>1.1384719071449036</v>
      </c>
      <c r="G500" s="8">
        <f t="shared" ca="1" si="29"/>
        <v>1819.1817817607096</v>
      </c>
      <c r="H500" s="8">
        <f t="shared" ca="1" si="30"/>
        <v>0.17386808580337471</v>
      </c>
    </row>
    <row r="501" spans="5:8" x14ac:dyDescent="0.3">
      <c r="E501" s="8">
        <f t="shared" si="31"/>
        <v>497</v>
      </c>
      <c r="F501" s="8">
        <f t="shared" ca="1" si="28"/>
        <v>1.0250325643884428</v>
      </c>
      <c r="G501" s="8">
        <f t="shared" ca="1" si="29"/>
        <v>2066.8907665872866</v>
      </c>
      <c r="H501" s="8">
        <f t="shared" ca="1" si="30"/>
        <v>0.19754284302659722</v>
      </c>
    </row>
    <row r="502" spans="5:8" x14ac:dyDescent="0.3">
      <c r="E502" s="8">
        <f t="shared" si="31"/>
        <v>498</v>
      </c>
      <c r="F502" s="8">
        <f t="shared" ca="1" si="28"/>
        <v>1.0941005449018659</v>
      </c>
      <c r="G502" s="8">
        <f t="shared" ca="1" si="29"/>
        <v>1916.0721976386628</v>
      </c>
      <c r="H502" s="8">
        <f t="shared" ca="1" si="30"/>
        <v>0.18312837595705464</v>
      </c>
    </row>
    <row r="503" spans="5:8" x14ac:dyDescent="0.3">
      <c r="E503" s="8">
        <f t="shared" si="31"/>
        <v>499</v>
      </c>
      <c r="F503" s="8">
        <f t="shared" ca="1" si="28"/>
        <v>1.1461563063435061</v>
      </c>
      <c r="G503" s="8">
        <f t="shared" ca="1" si="29"/>
        <v>1802.4019355606615</v>
      </c>
      <c r="H503" s="8">
        <f t="shared" ca="1" si="30"/>
        <v>0.1722643539673766</v>
      </c>
    </row>
    <row r="504" spans="5:8" x14ac:dyDescent="0.3">
      <c r="E504" s="8">
        <f t="shared" si="31"/>
        <v>500</v>
      </c>
      <c r="F504" s="8">
        <f t="shared" ca="1" si="28"/>
        <v>1.0809941167930492</v>
      </c>
      <c r="G504" s="8">
        <f t="shared" ca="1" si="29"/>
        <v>1944.6917217177777</v>
      </c>
      <c r="H504" s="8">
        <f t="shared" ca="1" si="30"/>
        <v>0.18586368362016417</v>
      </c>
    </row>
    <row r="505" spans="5:8" x14ac:dyDescent="0.3">
      <c r="E505" s="8">
        <f t="shared" si="31"/>
        <v>501</v>
      </c>
      <c r="F505" s="8">
        <f t="shared" ca="1" si="28"/>
        <v>1.4862821341405423</v>
      </c>
      <c r="G505" s="8">
        <f t="shared" ca="1" si="29"/>
        <v>1059.694674837358</v>
      </c>
      <c r="H505" s="8">
        <f t="shared" ca="1" si="30"/>
        <v>0.10128019447934225</v>
      </c>
    </row>
    <row r="506" spans="5:8" x14ac:dyDescent="0.3">
      <c r="E506" s="8">
        <f t="shared" si="31"/>
        <v>502</v>
      </c>
      <c r="F506" s="8">
        <f t="shared" ca="1" si="28"/>
        <v>1.0392827555474766</v>
      </c>
      <c r="G506" s="8">
        <f t="shared" ca="1" si="29"/>
        <v>2035.7736929176413</v>
      </c>
      <c r="H506" s="8">
        <f t="shared" ca="1" si="30"/>
        <v>0.19456883235378392</v>
      </c>
    </row>
    <row r="507" spans="5:8" x14ac:dyDescent="0.3">
      <c r="E507" s="8">
        <f t="shared" si="31"/>
        <v>503</v>
      </c>
      <c r="F507" s="8">
        <f t="shared" ca="1" si="28"/>
        <v>1.0774974546941531</v>
      </c>
      <c r="G507" s="8">
        <f t="shared" ca="1" si="29"/>
        <v>1952.3271204934797</v>
      </c>
      <c r="H507" s="8">
        <f t="shared" ca="1" si="30"/>
        <v>0.18659343596420527</v>
      </c>
    </row>
    <row r="508" spans="5:8" x14ac:dyDescent="0.3">
      <c r="E508" s="8">
        <f t="shared" si="31"/>
        <v>504</v>
      </c>
      <c r="F508" s="8">
        <f t="shared" ca="1" si="28"/>
        <v>1.3695118075075745</v>
      </c>
      <c r="G508" s="8">
        <f t="shared" ca="1" si="29"/>
        <v>1314.6772793312725</v>
      </c>
      <c r="H508" s="8">
        <f t="shared" ca="1" si="30"/>
        <v>0.12565012705068074</v>
      </c>
    </row>
    <row r="509" spans="5:8" x14ac:dyDescent="0.3">
      <c r="E509" s="8">
        <f t="shared" si="31"/>
        <v>505</v>
      </c>
      <c r="F509" s="8">
        <f t="shared" ca="1" si="28"/>
        <v>1.1588630410442093</v>
      </c>
      <c r="G509" s="8">
        <f t="shared" ca="1" si="29"/>
        <v>1774.6551919998383</v>
      </c>
      <c r="H509" s="8">
        <f t="shared" ca="1" si="30"/>
        <v>0.16961246220011836</v>
      </c>
    </row>
    <row r="510" spans="5:8" x14ac:dyDescent="0.3">
      <c r="E510" s="8">
        <f t="shared" si="31"/>
        <v>506</v>
      </c>
      <c r="F510" s="8">
        <f t="shared" ca="1" si="28"/>
        <v>1.3516957152294284</v>
      </c>
      <c r="G510" s="8">
        <f t="shared" ca="1" si="29"/>
        <v>1353.5809438321392</v>
      </c>
      <c r="H510" s="8">
        <f t="shared" ca="1" si="30"/>
        <v>0.12936834023053992</v>
      </c>
    </row>
    <row r="511" spans="5:8" x14ac:dyDescent="0.3">
      <c r="E511" s="8">
        <f t="shared" si="31"/>
        <v>507</v>
      </c>
      <c r="F511" s="8">
        <f t="shared" ca="1" si="28"/>
        <v>1.1248415923034782</v>
      </c>
      <c r="G511" s="8">
        <f t="shared" ca="1" si="29"/>
        <v>1848.9452780063173</v>
      </c>
      <c r="H511" s="8">
        <f t="shared" ca="1" si="30"/>
        <v>0.17671272847236139</v>
      </c>
    </row>
    <row r="512" spans="5:8" x14ac:dyDescent="0.3">
      <c r="E512" s="8">
        <f t="shared" si="31"/>
        <v>508</v>
      </c>
      <c r="F512" s="8">
        <f t="shared" ca="1" si="28"/>
        <v>1.1529660669760313</v>
      </c>
      <c r="G512" s="8">
        <f t="shared" ca="1" si="29"/>
        <v>1787.5319719994634</v>
      </c>
      <c r="H512" s="8">
        <f t="shared" ca="1" si="30"/>
        <v>0.17084315894097901</v>
      </c>
    </row>
    <row r="513" spans="5:8" x14ac:dyDescent="0.3">
      <c r="E513" s="8">
        <f t="shared" si="31"/>
        <v>509</v>
      </c>
      <c r="F513" s="8">
        <f t="shared" ca="1" si="28"/>
        <v>1.0901687212660816</v>
      </c>
      <c r="G513" s="8">
        <f t="shared" ca="1" si="29"/>
        <v>1924.6578260253525</v>
      </c>
      <c r="H513" s="8">
        <f t="shared" ca="1" si="30"/>
        <v>0.18394894638491374</v>
      </c>
    </row>
    <row r="514" spans="5:8" x14ac:dyDescent="0.3">
      <c r="E514" s="8">
        <f t="shared" si="31"/>
        <v>510</v>
      </c>
      <c r="F514" s="8">
        <f t="shared" ca="1" si="28"/>
        <v>1.1407525980161073</v>
      </c>
      <c r="G514" s="8">
        <f t="shared" ca="1" si="29"/>
        <v>1814.2016081570775</v>
      </c>
      <c r="H514" s="8">
        <f t="shared" ca="1" si="30"/>
        <v>0.17339210629428248</v>
      </c>
    </row>
    <row r="515" spans="5:8" x14ac:dyDescent="0.3">
      <c r="E515" s="8">
        <f t="shared" si="31"/>
        <v>511</v>
      </c>
      <c r="F515" s="8">
        <f t="shared" ca="1" si="28"/>
        <v>1.1048377265625837</v>
      </c>
      <c r="G515" s="8">
        <f t="shared" ca="1" si="29"/>
        <v>1892.6262193347779</v>
      </c>
      <c r="H515" s="8">
        <f t="shared" ca="1" si="30"/>
        <v>0.18088752932569799</v>
      </c>
    </row>
    <row r="516" spans="5:8" x14ac:dyDescent="0.3">
      <c r="E516" s="8">
        <f t="shared" si="31"/>
        <v>512</v>
      </c>
      <c r="F516" s="8">
        <f t="shared" ca="1" si="28"/>
        <v>1.0913307002095127</v>
      </c>
      <c r="G516" s="8">
        <f t="shared" ca="1" si="29"/>
        <v>1922.1204997550026</v>
      </c>
      <c r="H516" s="8">
        <f t="shared" ca="1" si="30"/>
        <v>0.18370644172369327</v>
      </c>
    </row>
    <row r="517" spans="5:8" x14ac:dyDescent="0.3">
      <c r="E517" s="8">
        <f t="shared" si="31"/>
        <v>513</v>
      </c>
      <c r="F517" s="8">
        <f t="shared" ref="F517:F580" ca="1" si="32">_xlfn.NORM.INV(RAND(), $C$9, $C$9 * $C$10)</f>
        <v>1.1014472626534553</v>
      </c>
      <c r="G517" s="8">
        <f t="shared" ref="G517:G580" ca="1" si="33">$C$7 - ($C$6 + ($C$8 * $C$11)) - (($C$6 + ($C$8 * $C$11)) * (1 - $C$12) * (F517 - $C$13))</f>
        <v>1900.0297210883487</v>
      </c>
      <c r="H517" s="8">
        <f t="shared" ref="H517:H580" ca="1" si="34">G517 / $C$7</f>
        <v>0.1815951181389992</v>
      </c>
    </row>
    <row r="518" spans="5:8" x14ac:dyDescent="0.3">
      <c r="E518" s="8">
        <f t="shared" ref="E518:E581" si="35">ROW()-4</f>
        <v>514</v>
      </c>
      <c r="F518" s="8">
        <f t="shared" ca="1" si="32"/>
        <v>0.88668110652005827</v>
      </c>
      <c r="G518" s="8">
        <f t="shared" ca="1" si="33"/>
        <v>2368.9984687751376</v>
      </c>
      <c r="H518" s="8">
        <f t="shared" ca="1" si="34"/>
        <v>0.22641675129266345</v>
      </c>
    </row>
    <row r="519" spans="5:8" x14ac:dyDescent="0.3">
      <c r="E519" s="8">
        <f t="shared" si="35"/>
        <v>515</v>
      </c>
      <c r="F519" s="8">
        <f t="shared" ca="1" si="32"/>
        <v>0.95415608329085044</v>
      </c>
      <c r="G519" s="8">
        <f t="shared" ca="1" si="33"/>
        <v>2221.6584226240166</v>
      </c>
      <c r="H519" s="8">
        <f t="shared" ca="1" si="34"/>
        <v>0.21233474363222943</v>
      </c>
    </row>
    <row r="520" spans="5:8" x14ac:dyDescent="0.3">
      <c r="E520" s="8">
        <f t="shared" si="35"/>
        <v>516</v>
      </c>
      <c r="F520" s="8">
        <f t="shared" ca="1" si="32"/>
        <v>1.1887264644333833</v>
      </c>
      <c r="G520" s="8">
        <f t="shared" ca="1" si="33"/>
        <v>1709.4446741016534</v>
      </c>
      <c r="H520" s="8">
        <f t="shared" ca="1" si="34"/>
        <v>0.16337997458679665</v>
      </c>
    </row>
    <row r="521" spans="5:8" x14ac:dyDescent="0.3">
      <c r="E521" s="8">
        <f t="shared" si="35"/>
        <v>517</v>
      </c>
      <c r="F521" s="8">
        <f t="shared" ca="1" si="32"/>
        <v>1.0564233389027535</v>
      </c>
      <c r="G521" s="8">
        <f t="shared" ca="1" si="33"/>
        <v>1998.3450865884747</v>
      </c>
      <c r="H521" s="8">
        <f t="shared" ca="1" si="34"/>
        <v>0.19099159768598631</v>
      </c>
    </row>
    <row r="522" spans="5:8" x14ac:dyDescent="0.3">
      <c r="E522" s="8">
        <f t="shared" si="35"/>
        <v>518</v>
      </c>
      <c r="F522" s="8">
        <f t="shared" ca="1" si="32"/>
        <v>1.2098015094087868</v>
      </c>
      <c r="G522" s="8">
        <f t="shared" ca="1" si="33"/>
        <v>1663.4246790172376</v>
      </c>
      <c r="H522" s="8">
        <f t="shared" ca="1" si="34"/>
        <v>0.15898161894458929</v>
      </c>
    </row>
    <row r="523" spans="5:8" x14ac:dyDescent="0.3">
      <c r="E523" s="8">
        <f t="shared" si="35"/>
        <v>519</v>
      </c>
      <c r="F523" s="8">
        <f t="shared" ca="1" si="32"/>
        <v>1.1934436529401273</v>
      </c>
      <c r="G523" s="8">
        <f t="shared" ca="1" si="33"/>
        <v>1699.1441033486144</v>
      </c>
      <c r="H523" s="8">
        <f t="shared" ca="1" si="34"/>
        <v>0.16239549874305786</v>
      </c>
    </row>
    <row r="524" spans="5:8" x14ac:dyDescent="0.3">
      <c r="E524" s="8">
        <f t="shared" si="35"/>
        <v>520</v>
      </c>
      <c r="F524" s="8">
        <f t="shared" ca="1" si="32"/>
        <v>1.0497321310202323</v>
      </c>
      <c r="G524" s="8">
        <f t="shared" ca="1" si="33"/>
        <v>2012.9561754009451</v>
      </c>
      <c r="H524" s="8">
        <f t="shared" ca="1" si="34"/>
        <v>0.19238805078858312</v>
      </c>
    </row>
    <row r="525" spans="5:8" x14ac:dyDescent="0.3">
      <c r="E525" s="8">
        <f t="shared" si="35"/>
        <v>521</v>
      </c>
      <c r="F525" s="8">
        <f t="shared" ca="1" si="32"/>
        <v>1.0806459211976736</v>
      </c>
      <c r="G525" s="8">
        <f t="shared" ca="1" si="33"/>
        <v>1945.45205032473</v>
      </c>
      <c r="H525" s="8">
        <f t="shared" ca="1" si="34"/>
        <v>0.18593635193775493</v>
      </c>
    </row>
    <row r="526" spans="5:8" x14ac:dyDescent="0.3">
      <c r="E526" s="8">
        <f t="shared" si="35"/>
        <v>522</v>
      </c>
      <c r="F526" s="8">
        <f t="shared" ca="1" si="32"/>
        <v>1.4997346507365608</v>
      </c>
      <c r="G526" s="8">
        <f t="shared" ca="1" si="33"/>
        <v>1030.3194232853775</v>
      </c>
      <c r="H526" s="8">
        <f t="shared" ca="1" si="34"/>
        <v>9.8472658251493594E-2</v>
      </c>
    </row>
    <row r="527" spans="5:8" x14ac:dyDescent="0.3">
      <c r="E527" s="8">
        <f t="shared" si="35"/>
        <v>523</v>
      </c>
      <c r="F527" s="8">
        <f t="shared" ca="1" si="32"/>
        <v>1.2493868662530252</v>
      </c>
      <c r="G527" s="8">
        <f t="shared" ca="1" si="33"/>
        <v>1576.9851041782376</v>
      </c>
      <c r="H527" s="8">
        <f t="shared" ca="1" si="34"/>
        <v>0.15072016669963084</v>
      </c>
    </row>
    <row r="528" spans="5:8" x14ac:dyDescent="0.3">
      <c r="E528" s="8">
        <f t="shared" si="35"/>
        <v>524</v>
      </c>
      <c r="F528" s="8">
        <f t="shared" ca="1" si="32"/>
        <v>0.92603808853094816</v>
      </c>
      <c r="G528" s="8">
        <f t="shared" ca="1" si="33"/>
        <v>2283.0575789316081</v>
      </c>
      <c r="H528" s="8">
        <f t="shared" ca="1" si="34"/>
        <v>0.21820296080776144</v>
      </c>
    </row>
    <row r="529" spans="5:8" x14ac:dyDescent="0.3">
      <c r="E529" s="8">
        <f t="shared" si="35"/>
        <v>525</v>
      </c>
      <c r="F529" s="8">
        <f t="shared" ca="1" si="32"/>
        <v>1.185010993649769</v>
      </c>
      <c r="G529" s="8">
        <f t="shared" ca="1" si="33"/>
        <v>1717.557868991523</v>
      </c>
      <c r="H529" s="8">
        <f t="shared" ca="1" si="34"/>
        <v>0.16415539223850933</v>
      </c>
    </row>
    <row r="530" spans="5:8" x14ac:dyDescent="0.3">
      <c r="E530" s="8">
        <f t="shared" si="35"/>
        <v>526</v>
      </c>
      <c r="F530" s="8">
        <f t="shared" ca="1" si="32"/>
        <v>1.2292888010028709</v>
      </c>
      <c r="G530" s="8">
        <f t="shared" ca="1" si="33"/>
        <v>1620.871741910106</v>
      </c>
      <c r="H530" s="8">
        <f t="shared" ca="1" si="34"/>
        <v>0.15491462696264036</v>
      </c>
    </row>
    <row r="531" spans="5:8" x14ac:dyDescent="0.3">
      <c r="E531" s="8">
        <f t="shared" si="35"/>
        <v>527</v>
      </c>
      <c r="F531" s="8">
        <f t="shared" ca="1" si="32"/>
        <v>1.0829797761969424</v>
      </c>
      <c r="G531" s="8">
        <f t="shared" ca="1" si="33"/>
        <v>1940.3557862019516</v>
      </c>
      <c r="H531" s="8">
        <f t="shared" ca="1" si="34"/>
        <v>0.18544927709088707</v>
      </c>
    </row>
    <row r="532" spans="5:8" x14ac:dyDescent="0.3">
      <c r="E532" s="8">
        <f t="shared" si="35"/>
        <v>528</v>
      </c>
      <c r="F532" s="8">
        <f t="shared" ca="1" si="32"/>
        <v>1.1318106674059527</v>
      </c>
      <c r="G532" s="8">
        <f t="shared" ca="1" si="33"/>
        <v>1833.7274313856765</v>
      </c>
      <c r="H532" s="8">
        <f t="shared" ca="1" si="34"/>
        <v>0.17525828456328743</v>
      </c>
    </row>
    <row r="533" spans="5:8" x14ac:dyDescent="0.3">
      <c r="E533" s="8">
        <f t="shared" si="35"/>
        <v>529</v>
      </c>
      <c r="F533" s="8">
        <f t="shared" ca="1" si="32"/>
        <v>1.158116103220612</v>
      </c>
      <c r="G533" s="8">
        <f t="shared" ca="1" si="33"/>
        <v>1776.2862241048911</v>
      </c>
      <c r="H533" s="8">
        <f t="shared" ca="1" si="34"/>
        <v>0.16976834790259879</v>
      </c>
    </row>
    <row r="534" spans="5:8" x14ac:dyDescent="0.3">
      <c r="E534" s="8">
        <f t="shared" si="35"/>
        <v>530</v>
      </c>
      <c r="F534" s="8">
        <f t="shared" ca="1" si="32"/>
        <v>1.3422747210066965</v>
      </c>
      <c r="G534" s="8">
        <f t="shared" ca="1" si="33"/>
        <v>1374.1528623417521</v>
      </c>
      <c r="H534" s="8">
        <f t="shared" ca="1" si="34"/>
        <v>0.13133449893355176</v>
      </c>
    </row>
    <row r="535" spans="5:8" x14ac:dyDescent="0.3">
      <c r="E535" s="8">
        <f t="shared" si="35"/>
        <v>531</v>
      </c>
      <c r="F535" s="8">
        <f t="shared" ca="1" si="32"/>
        <v>0.9678265078378383</v>
      </c>
      <c r="G535" s="8">
        <f t="shared" ca="1" si="33"/>
        <v>2191.8073418226004</v>
      </c>
      <c r="H535" s="8">
        <f t="shared" ca="1" si="34"/>
        <v>0.20948173007957568</v>
      </c>
    </row>
    <row r="536" spans="5:8" x14ac:dyDescent="0.3">
      <c r="E536" s="8">
        <f t="shared" si="35"/>
        <v>532</v>
      </c>
      <c r="F536" s="8">
        <f t="shared" ca="1" si="32"/>
        <v>1.1884900249301016</v>
      </c>
      <c r="G536" s="8">
        <f t="shared" ca="1" si="33"/>
        <v>1709.9609693120067</v>
      </c>
      <c r="H536" s="8">
        <f t="shared" ca="1" si="34"/>
        <v>0.16342931944107872</v>
      </c>
    </row>
    <row r="537" spans="5:8" x14ac:dyDescent="0.3">
      <c r="E537" s="8">
        <f t="shared" si="35"/>
        <v>533</v>
      </c>
      <c r="F537" s="8">
        <f t="shared" ca="1" si="32"/>
        <v>1.2762397980081468</v>
      </c>
      <c r="G537" s="8">
        <f t="shared" ca="1" si="33"/>
        <v>1518.3483710744604</v>
      </c>
      <c r="H537" s="8">
        <f t="shared" ca="1" si="34"/>
        <v>0.14511596779838098</v>
      </c>
    </row>
    <row r="538" spans="5:8" x14ac:dyDescent="0.3">
      <c r="E538" s="8">
        <f t="shared" si="35"/>
        <v>534</v>
      </c>
      <c r="F538" s="8">
        <f t="shared" ca="1" si="32"/>
        <v>1.3681510897010853</v>
      </c>
      <c r="G538" s="8">
        <f t="shared" ca="1" si="33"/>
        <v>1317.6485767514673</v>
      </c>
      <c r="H538" s="8">
        <f t="shared" ca="1" si="34"/>
        <v>0.12593410845373865</v>
      </c>
    </row>
    <row r="539" spans="5:8" x14ac:dyDescent="0.3">
      <c r="E539" s="8">
        <f t="shared" si="35"/>
        <v>535</v>
      </c>
      <c r="F539" s="8">
        <f t="shared" ca="1" si="32"/>
        <v>1.3083049343674691</v>
      </c>
      <c r="G539" s="8">
        <f t="shared" ca="1" si="33"/>
        <v>1448.3301376918353</v>
      </c>
      <c r="H539" s="8">
        <f t="shared" ca="1" si="34"/>
        <v>0.13842398334051756</v>
      </c>
    </row>
    <row r="540" spans="5:8" x14ac:dyDescent="0.3">
      <c r="E540" s="8">
        <f t="shared" si="35"/>
        <v>536</v>
      </c>
      <c r="F540" s="8">
        <f t="shared" ca="1" si="32"/>
        <v>1.4911503377379414</v>
      </c>
      <c r="G540" s="8">
        <f t="shared" ca="1" si="33"/>
        <v>1049.0643437569877</v>
      </c>
      <c r="H540" s="8">
        <f t="shared" ca="1" si="34"/>
        <v>0.10026420183092685</v>
      </c>
    </row>
    <row r="541" spans="5:8" x14ac:dyDescent="0.3">
      <c r="E541" s="8">
        <f t="shared" si="35"/>
        <v>537</v>
      </c>
      <c r="F541" s="8">
        <f t="shared" ca="1" si="32"/>
        <v>0.96315176531816005</v>
      </c>
      <c r="G541" s="8">
        <f t="shared" ca="1" si="33"/>
        <v>2202.0152264571325</v>
      </c>
      <c r="H541" s="8">
        <f t="shared" ca="1" si="34"/>
        <v>0.21045734745838979</v>
      </c>
    </row>
    <row r="542" spans="5:8" x14ac:dyDescent="0.3">
      <c r="E542" s="8">
        <f t="shared" si="35"/>
        <v>538</v>
      </c>
      <c r="F542" s="8">
        <f t="shared" ca="1" si="32"/>
        <v>1.2715253034594292</v>
      </c>
      <c r="G542" s="8">
        <f t="shared" ca="1" si="33"/>
        <v>1528.6430592334038</v>
      </c>
      <c r="H542" s="8">
        <f t="shared" ca="1" si="34"/>
        <v>0.14609988141387784</v>
      </c>
    </row>
    <row r="543" spans="5:8" x14ac:dyDescent="0.3">
      <c r="E543" s="8">
        <f t="shared" si="35"/>
        <v>539</v>
      </c>
      <c r="F543" s="8">
        <f t="shared" ca="1" si="32"/>
        <v>1.2863789911059857</v>
      </c>
      <c r="G543" s="8">
        <f t="shared" ca="1" si="33"/>
        <v>1496.2081755461918</v>
      </c>
      <c r="H543" s="8">
        <f t="shared" ca="1" si="34"/>
        <v>0.14299992120292382</v>
      </c>
    </row>
    <row r="544" spans="5:8" x14ac:dyDescent="0.3">
      <c r="E544" s="8">
        <f t="shared" si="35"/>
        <v>540</v>
      </c>
      <c r="F544" s="8">
        <f t="shared" ca="1" si="32"/>
        <v>1.3313836375848549</v>
      </c>
      <c r="G544" s="8">
        <f t="shared" ca="1" si="33"/>
        <v>1397.9349043787711</v>
      </c>
      <c r="H544" s="8">
        <f t="shared" ca="1" si="34"/>
        <v>0.13360746481685665</v>
      </c>
    </row>
    <row r="545" spans="5:8" x14ac:dyDescent="0.3">
      <c r="E545" s="8">
        <f t="shared" si="35"/>
        <v>541</v>
      </c>
      <c r="F545" s="8">
        <f t="shared" ca="1" si="32"/>
        <v>0.91472434439392303</v>
      </c>
      <c r="G545" s="8">
        <f t="shared" ca="1" si="33"/>
        <v>2307.7625534728195</v>
      </c>
      <c r="H545" s="8">
        <f t="shared" ca="1" si="34"/>
        <v>0.2205641358570983</v>
      </c>
    </row>
    <row r="546" spans="5:8" x14ac:dyDescent="0.3">
      <c r="E546" s="8">
        <f t="shared" si="35"/>
        <v>542</v>
      </c>
      <c r="F546" s="8">
        <f t="shared" ca="1" si="32"/>
        <v>1.0907737866028877</v>
      </c>
      <c r="G546" s="8">
        <f t="shared" ca="1" si="33"/>
        <v>1923.3365902292692</v>
      </c>
      <c r="H546" s="8">
        <f t="shared" ca="1" si="34"/>
        <v>0.18382266942839234</v>
      </c>
    </row>
    <row r="547" spans="5:8" x14ac:dyDescent="0.3">
      <c r="E547" s="8">
        <f t="shared" si="35"/>
        <v>543</v>
      </c>
      <c r="F547" s="8">
        <f t="shared" ca="1" si="32"/>
        <v>1.3349943762435978</v>
      </c>
      <c r="G547" s="8">
        <f t="shared" ca="1" si="33"/>
        <v>1390.0504051750736</v>
      </c>
      <c r="H547" s="8">
        <f t="shared" ca="1" si="34"/>
        <v>0.13285390472857436</v>
      </c>
    </row>
    <row r="548" spans="5:8" x14ac:dyDescent="0.3">
      <c r="E548" s="8">
        <f t="shared" si="35"/>
        <v>544</v>
      </c>
      <c r="F548" s="8">
        <f t="shared" ca="1" si="32"/>
        <v>1.2961401995701127</v>
      </c>
      <c r="G548" s="8">
        <f t="shared" ca="1" si="33"/>
        <v>1474.8933567137124</v>
      </c>
      <c r="H548" s="8">
        <f t="shared" ca="1" si="34"/>
        <v>0.14096275988853219</v>
      </c>
    </row>
    <row r="549" spans="5:8" x14ac:dyDescent="0.3">
      <c r="E549" s="8">
        <f t="shared" si="35"/>
        <v>545</v>
      </c>
      <c r="F549" s="8">
        <f t="shared" ca="1" si="32"/>
        <v>1.091832602779863</v>
      </c>
      <c r="G549" s="8">
        <f t="shared" ca="1" si="33"/>
        <v>1921.0245327548214</v>
      </c>
      <c r="H549" s="8">
        <f t="shared" ca="1" si="34"/>
        <v>0.18360169480596591</v>
      </c>
    </row>
    <row r="550" spans="5:8" x14ac:dyDescent="0.3">
      <c r="E550" s="8">
        <f t="shared" si="35"/>
        <v>546</v>
      </c>
      <c r="F550" s="8">
        <f t="shared" ca="1" si="32"/>
        <v>1.1485594336435014</v>
      </c>
      <c r="G550" s="8">
        <f t="shared" ca="1" si="33"/>
        <v>1797.1544067102091</v>
      </c>
      <c r="H550" s="8">
        <f t="shared" ca="1" si="34"/>
        <v>0.17176282201187126</v>
      </c>
    </row>
    <row r="551" spans="5:8" x14ac:dyDescent="0.3">
      <c r="E551" s="8">
        <f t="shared" si="35"/>
        <v>547</v>
      </c>
      <c r="F551" s="8">
        <f t="shared" ca="1" si="32"/>
        <v>1.0626871039534307</v>
      </c>
      <c r="G551" s="8">
        <f t="shared" ca="1" si="33"/>
        <v>1984.6673726296899</v>
      </c>
      <c r="H551" s="8">
        <f t="shared" ca="1" si="34"/>
        <v>0.18968435177575169</v>
      </c>
    </row>
    <row r="552" spans="5:8" x14ac:dyDescent="0.3">
      <c r="E552" s="8">
        <f t="shared" si="35"/>
        <v>548</v>
      </c>
      <c r="F552" s="8">
        <f t="shared" ca="1" si="32"/>
        <v>1.2132924516728871</v>
      </c>
      <c r="G552" s="8">
        <f t="shared" ca="1" si="33"/>
        <v>1655.8017702157917</v>
      </c>
      <c r="H552" s="8">
        <f t="shared" ca="1" si="34"/>
        <v>0.15825306032837538</v>
      </c>
    </row>
    <row r="553" spans="5:8" x14ac:dyDescent="0.3">
      <c r="E553" s="8">
        <f t="shared" si="35"/>
        <v>549</v>
      </c>
      <c r="F553" s="8">
        <f t="shared" ca="1" si="32"/>
        <v>1.1451285420506312</v>
      </c>
      <c r="G553" s="8">
        <f t="shared" ca="1" si="33"/>
        <v>1804.6461873646904</v>
      </c>
      <c r="H553" s="8">
        <f t="shared" ca="1" si="34"/>
        <v>0.17247884807079139</v>
      </c>
    </row>
    <row r="554" spans="5:8" x14ac:dyDescent="0.3">
      <c r="E554" s="8">
        <f t="shared" si="35"/>
        <v>550</v>
      </c>
      <c r="F554" s="8">
        <f t="shared" ca="1" si="32"/>
        <v>1.3211127611805291</v>
      </c>
      <c r="G554" s="8">
        <f t="shared" ca="1" si="33"/>
        <v>1420.3626468671669</v>
      </c>
      <c r="H554" s="8">
        <f t="shared" ca="1" si="34"/>
        <v>0.13575099367936222</v>
      </c>
    </row>
    <row r="555" spans="5:8" x14ac:dyDescent="0.3">
      <c r="E555" s="8">
        <f t="shared" si="35"/>
        <v>551</v>
      </c>
      <c r="F555" s="8">
        <f t="shared" ca="1" si="32"/>
        <v>1.0587304523538279</v>
      </c>
      <c r="G555" s="8">
        <f t="shared" ca="1" si="33"/>
        <v>1993.3072159788724</v>
      </c>
      <c r="H555" s="8">
        <f t="shared" ca="1" si="34"/>
        <v>0.19051010379230357</v>
      </c>
    </row>
    <row r="556" spans="5:8" x14ac:dyDescent="0.3">
      <c r="E556" s="8">
        <f t="shared" si="35"/>
        <v>552</v>
      </c>
      <c r="F556" s="8">
        <f t="shared" ca="1" si="32"/>
        <v>1.3196330731077421</v>
      </c>
      <c r="G556" s="8">
        <f t="shared" ca="1" si="33"/>
        <v>1423.5937307351064</v>
      </c>
      <c r="H556" s="8">
        <f t="shared" ca="1" si="34"/>
        <v>0.13605980414174773</v>
      </c>
    </row>
    <row r="557" spans="5:8" x14ac:dyDescent="0.3">
      <c r="E557" s="8">
        <f t="shared" si="35"/>
        <v>553</v>
      </c>
      <c r="F557" s="8">
        <f t="shared" ca="1" si="32"/>
        <v>1.085036562166168</v>
      </c>
      <c r="G557" s="8">
        <f t="shared" ca="1" si="33"/>
        <v>1935.8645369399014</v>
      </c>
      <c r="H557" s="8">
        <f t="shared" ca="1" si="34"/>
        <v>0.18502002646849866</v>
      </c>
    </row>
    <row r="558" spans="5:8" x14ac:dyDescent="0.3">
      <c r="E558" s="8">
        <f t="shared" si="35"/>
        <v>554</v>
      </c>
      <c r="F558" s="8">
        <f t="shared" ca="1" si="32"/>
        <v>0.95249024660103565</v>
      </c>
      <c r="G558" s="8">
        <f t="shared" ca="1" si="33"/>
        <v>2225.2959852658132</v>
      </c>
      <c r="H558" s="8">
        <f t="shared" ca="1" si="34"/>
        <v>0.21268240325583612</v>
      </c>
    </row>
    <row r="559" spans="5:8" x14ac:dyDescent="0.3">
      <c r="E559" s="8">
        <f t="shared" si="35"/>
        <v>555</v>
      </c>
      <c r="F559" s="8">
        <f t="shared" ca="1" si="32"/>
        <v>1.0489622963170886</v>
      </c>
      <c r="G559" s="8">
        <f t="shared" ca="1" si="33"/>
        <v>2014.6372057045974</v>
      </c>
      <c r="H559" s="8">
        <f t="shared" ca="1" si="34"/>
        <v>0.19254871506304094</v>
      </c>
    </row>
    <row r="560" spans="5:8" x14ac:dyDescent="0.3">
      <c r="E560" s="8">
        <f t="shared" si="35"/>
        <v>556</v>
      </c>
      <c r="F560" s="8">
        <f t="shared" ca="1" si="32"/>
        <v>1.0484181917781901</v>
      </c>
      <c r="G560" s="8">
        <f t="shared" ca="1" si="33"/>
        <v>2015.8253259783496</v>
      </c>
      <c r="H560" s="8">
        <f t="shared" ca="1" si="34"/>
        <v>0.19266226951910059</v>
      </c>
    </row>
    <row r="561" spans="5:8" x14ac:dyDescent="0.3">
      <c r="E561" s="8">
        <f t="shared" si="35"/>
        <v>557</v>
      </c>
      <c r="F561" s="8">
        <f t="shared" ca="1" si="32"/>
        <v>1.0548227589682146</v>
      </c>
      <c r="G561" s="8">
        <f t="shared" ca="1" si="33"/>
        <v>2001.840152948032</v>
      </c>
      <c r="H561" s="8">
        <f t="shared" ca="1" si="34"/>
        <v>0.19132563824410131</v>
      </c>
    </row>
    <row r="562" spans="5:8" x14ac:dyDescent="0.3">
      <c r="E562" s="8">
        <f t="shared" si="35"/>
        <v>558</v>
      </c>
      <c r="F562" s="8">
        <f t="shared" ca="1" si="32"/>
        <v>1.1662998803429492</v>
      </c>
      <c r="G562" s="8">
        <f t="shared" ca="1" si="33"/>
        <v>1758.4159237861275</v>
      </c>
      <c r="H562" s="8">
        <f t="shared" ca="1" si="34"/>
        <v>0.16806039604187398</v>
      </c>
    </row>
    <row r="563" spans="5:8" x14ac:dyDescent="0.3">
      <c r="E563" s="8">
        <f t="shared" si="35"/>
        <v>559</v>
      </c>
      <c r="F563" s="8">
        <f t="shared" ca="1" si="32"/>
        <v>1.1201982802777715</v>
      </c>
      <c r="G563" s="8">
        <f t="shared" ca="1" si="33"/>
        <v>1859.0845302284511</v>
      </c>
      <c r="H563" s="8">
        <f t="shared" ca="1" si="34"/>
        <v>0.17768178631639597</v>
      </c>
    </row>
    <row r="564" spans="5:8" x14ac:dyDescent="0.3">
      <c r="E564" s="8">
        <f t="shared" si="35"/>
        <v>560</v>
      </c>
      <c r="F564" s="8">
        <f t="shared" ca="1" si="32"/>
        <v>1.129482664915529</v>
      </c>
      <c r="G564" s="8">
        <f t="shared" ca="1" si="33"/>
        <v>1838.8109158238281</v>
      </c>
      <c r="H564" s="8">
        <f t="shared" ca="1" si="34"/>
        <v>0.17574413799329333</v>
      </c>
    </row>
    <row r="565" spans="5:8" x14ac:dyDescent="0.3">
      <c r="E565" s="8">
        <f t="shared" si="35"/>
        <v>561</v>
      </c>
      <c r="F565" s="8">
        <f t="shared" ca="1" si="32"/>
        <v>1.1122677158257142</v>
      </c>
      <c r="G565" s="8">
        <f t="shared" ca="1" si="33"/>
        <v>1876.4019090300749</v>
      </c>
      <c r="H565" s="8">
        <f t="shared" ca="1" si="34"/>
        <v>0.17933689276785578</v>
      </c>
    </row>
    <row r="566" spans="5:8" x14ac:dyDescent="0.3">
      <c r="E566" s="8">
        <f t="shared" si="35"/>
        <v>562</v>
      </c>
      <c r="F566" s="8">
        <f t="shared" ca="1" si="32"/>
        <v>1.2524422242611664</v>
      </c>
      <c r="G566" s="8">
        <f t="shared" ca="1" si="33"/>
        <v>1570.3133480477104</v>
      </c>
      <c r="H566" s="8">
        <f t="shared" ca="1" si="34"/>
        <v>0.15008251438857981</v>
      </c>
    </row>
    <row r="567" spans="5:8" x14ac:dyDescent="0.3">
      <c r="E567" s="8">
        <f t="shared" si="35"/>
        <v>563</v>
      </c>
      <c r="F567" s="8">
        <f t="shared" ca="1" si="32"/>
        <v>1.2788038601739067</v>
      </c>
      <c r="G567" s="8">
        <f t="shared" ca="1" si="33"/>
        <v>1512.7494208277528</v>
      </c>
      <c r="H567" s="8">
        <f t="shared" ca="1" si="34"/>
        <v>0.14458084878407271</v>
      </c>
    </row>
    <row r="568" spans="5:8" x14ac:dyDescent="0.3">
      <c r="E568" s="8">
        <f t="shared" si="35"/>
        <v>564</v>
      </c>
      <c r="F568" s="8">
        <f t="shared" ca="1" si="32"/>
        <v>1.1845039788919081</v>
      </c>
      <c r="G568" s="8">
        <f t="shared" ca="1" si="33"/>
        <v>1718.6649990921571</v>
      </c>
      <c r="H568" s="8">
        <f t="shared" ca="1" si="34"/>
        <v>0.16426120606825548</v>
      </c>
    </row>
    <row r="569" spans="5:8" x14ac:dyDescent="0.3">
      <c r="E569" s="8">
        <f t="shared" si="35"/>
        <v>565</v>
      </c>
      <c r="F569" s="8">
        <f t="shared" ca="1" si="32"/>
        <v>1.2413201350812764</v>
      </c>
      <c r="G569" s="8">
        <f t="shared" ca="1" si="33"/>
        <v>1594.5998200331478</v>
      </c>
      <c r="H569" s="8">
        <f t="shared" ca="1" si="34"/>
        <v>0.15240369110514651</v>
      </c>
    </row>
    <row r="570" spans="5:8" x14ac:dyDescent="0.3">
      <c r="E570" s="8">
        <f t="shared" si="35"/>
        <v>566</v>
      </c>
      <c r="F570" s="8">
        <f t="shared" ca="1" si="32"/>
        <v>1.0706055960024181</v>
      </c>
      <c r="G570" s="8">
        <f t="shared" ca="1" si="33"/>
        <v>1967.3763554292195</v>
      </c>
      <c r="H570" s="8">
        <f t="shared" ca="1" si="34"/>
        <v>0.18803176483123574</v>
      </c>
    </row>
    <row r="571" spans="5:8" x14ac:dyDescent="0.3">
      <c r="E571" s="8">
        <f t="shared" si="35"/>
        <v>567</v>
      </c>
      <c r="F571" s="8">
        <f t="shared" ca="1" si="32"/>
        <v>1.3464161856629142</v>
      </c>
      <c r="G571" s="8">
        <f t="shared" ca="1" si="33"/>
        <v>1365.1094565818189</v>
      </c>
      <c r="H571" s="8">
        <f t="shared" ca="1" si="34"/>
        <v>0.13047017648684114</v>
      </c>
    </row>
    <row r="572" spans="5:8" x14ac:dyDescent="0.3">
      <c r="E572" s="8">
        <f t="shared" si="35"/>
        <v>568</v>
      </c>
      <c r="F572" s="8">
        <f t="shared" ca="1" si="32"/>
        <v>1.3232597378609214</v>
      </c>
      <c r="G572" s="8">
        <f t="shared" ca="1" si="33"/>
        <v>1415.6744549134453</v>
      </c>
      <c r="H572" s="8">
        <f t="shared" ca="1" si="34"/>
        <v>0.1353029202822752</v>
      </c>
    </row>
    <row r="573" spans="5:8" x14ac:dyDescent="0.3">
      <c r="E573" s="8">
        <f t="shared" si="35"/>
        <v>569</v>
      </c>
      <c r="F573" s="8">
        <f t="shared" ca="1" si="32"/>
        <v>1.0890170209190191</v>
      </c>
      <c r="G573" s="8">
        <f t="shared" ca="1" si="33"/>
        <v>1927.1727076957068</v>
      </c>
      <c r="H573" s="8">
        <f t="shared" ca="1" si="34"/>
        <v>0.18418930590611743</v>
      </c>
    </row>
    <row r="574" spans="5:8" x14ac:dyDescent="0.3">
      <c r="E574" s="8">
        <f t="shared" si="35"/>
        <v>570</v>
      </c>
      <c r="F574" s="8">
        <f t="shared" ca="1" si="32"/>
        <v>1.1738934040853752</v>
      </c>
      <c r="G574" s="8">
        <f t="shared" ca="1" si="33"/>
        <v>1741.8345155040724</v>
      </c>
      <c r="H574" s="8">
        <f t="shared" ca="1" si="34"/>
        <v>0.16647562988665512</v>
      </c>
    </row>
    <row r="575" spans="5:8" x14ac:dyDescent="0.3">
      <c r="E575" s="8">
        <f t="shared" si="35"/>
        <v>571</v>
      </c>
      <c r="F575" s="8">
        <f t="shared" ca="1" si="32"/>
        <v>0.91350706603470511</v>
      </c>
      <c r="G575" s="8">
        <f t="shared" ca="1" si="33"/>
        <v>2310.4206329299668</v>
      </c>
      <c r="H575" s="8">
        <f t="shared" ca="1" si="34"/>
        <v>0.22081818149000926</v>
      </c>
    </row>
    <row r="576" spans="5:8" x14ac:dyDescent="0.3">
      <c r="E576" s="8">
        <f t="shared" si="35"/>
        <v>572</v>
      </c>
      <c r="F576" s="8">
        <f t="shared" ca="1" si="32"/>
        <v>1.3851253834721964</v>
      </c>
      <c r="G576" s="8">
        <f t="shared" ca="1" si="33"/>
        <v>1280.5830845155251</v>
      </c>
      <c r="H576" s="8">
        <f t="shared" ca="1" si="34"/>
        <v>0.1223915783728878</v>
      </c>
    </row>
    <row r="577" spans="5:8" x14ac:dyDescent="0.3">
      <c r="E577" s="8">
        <f t="shared" si="35"/>
        <v>573</v>
      </c>
      <c r="F577" s="8">
        <f t="shared" ca="1" si="32"/>
        <v>1.321290678237151</v>
      </c>
      <c r="G577" s="8">
        <f t="shared" ca="1" si="33"/>
        <v>1419.9741427344011</v>
      </c>
      <c r="H577" s="8">
        <f t="shared" ca="1" si="34"/>
        <v>0.13571386244235889</v>
      </c>
    </row>
    <row r="578" spans="5:8" x14ac:dyDescent="0.3">
      <c r="E578" s="8">
        <f t="shared" si="35"/>
        <v>574</v>
      </c>
      <c r="F578" s="8">
        <f t="shared" ca="1" si="32"/>
        <v>1.2233567907593947</v>
      </c>
      <c r="G578" s="8">
        <f t="shared" ca="1" si="33"/>
        <v>1633.8250277780164</v>
      </c>
      <c r="H578" s="8">
        <f t="shared" ca="1" si="34"/>
        <v>0.15615263574290514</v>
      </c>
    </row>
    <row r="579" spans="5:8" x14ac:dyDescent="0.3">
      <c r="E579" s="8">
        <f t="shared" si="35"/>
        <v>575</v>
      </c>
      <c r="F579" s="8">
        <f t="shared" ca="1" si="32"/>
        <v>1.4691975949861433</v>
      </c>
      <c r="G579" s="8">
        <f t="shared" ca="1" si="33"/>
        <v>1097.0009016483828</v>
      </c>
      <c r="H579" s="8">
        <f t="shared" ca="1" si="34"/>
        <v>0.10484573273902158</v>
      </c>
    </row>
    <row r="580" spans="5:8" x14ac:dyDescent="0.3">
      <c r="E580" s="8">
        <f t="shared" si="35"/>
        <v>576</v>
      </c>
      <c r="F580" s="8">
        <f t="shared" ca="1" si="32"/>
        <v>1.3316315069818698</v>
      </c>
      <c r="G580" s="8">
        <f t="shared" ca="1" si="33"/>
        <v>1397.3936505667143</v>
      </c>
      <c r="H580" s="8">
        <f t="shared" ca="1" si="34"/>
        <v>0.1335557345471389</v>
      </c>
    </row>
    <row r="581" spans="5:8" x14ac:dyDescent="0.3">
      <c r="E581" s="8">
        <f t="shared" si="35"/>
        <v>577</v>
      </c>
      <c r="F581" s="8">
        <f t="shared" ref="F581:F644" ca="1" si="36">_xlfn.NORM.INV(RAND(), $C$9, $C$9 * $C$10)</f>
        <v>1.0540577153458233</v>
      </c>
      <c r="G581" s="8">
        <f t="shared" ref="G581:G644" ca="1" si="37">$C$7 - ($C$6 + ($C$8 * $C$11)) - (($C$6 + ($C$8 * $C$11)) * (1 - $C$12) * (F581 - $C$13))</f>
        <v>2003.5107213279766</v>
      </c>
      <c r="H581" s="8">
        <f t="shared" ref="H581:H644" ca="1" si="38">G581 / $C$7</f>
        <v>0.19148530262142566</v>
      </c>
    </row>
    <row r="582" spans="5:8" x14ac:dyDescent="0.3">
      <c r="E582" s="8">
        <f t="shared" ref="E582:E645" si="39">ROW()-4</f>
        <v>578</v>
      </c>
      <c r="F582" s="8">
        <f t="shared" ca="1" si="36"/>
        <v>1.2766029120020439</v>
      </c>
      <c r="G582" s="8">
        <f t="shared" ca="1" si="37"/>
        <v>1517.5554662795366</v>
      </c>
      <c r="H582" s="8">
        <f t="shared" ca="1" si="38"/>
        <v>0.14504018601543883</v>
      </c>
    </row>
    <row r="583" spans="5:8" x14ac:dyDescent="0.3">
      <c r="E583" s="8">
        <f t="shared" si="39"/>
        <v>579</v>
      </c>
      <c r="F583" s="8">
        <f t="shared" ca="1" si="36"/>
        <v>1.1503769840997569</v>
      </c>
      <c r="G583" s="8">
        <f t="shared" ca="1" si="37"/>
        <v>1793.1855580951683</v>
      </c>
      <c r="H583" s="8">
        <f t="shared" ca="1" si="38"/>
        <v>0.17138349977015849</v>
      </c>
    </row>
    <row r="584" spans="5:8" x14ac:dyDescent="0.3">
      <c r="E584" s="8">
        <f t="shared" si="39"/>
        <v>580</v>
      </c>
      <c r="F584" s="8">
        <f t="shared" ca="1" si="36"/>
        <v>1.4425810861303678</v>
      </c>
      <c r="G584" s="8">
        <f t="shared" ca="1" si="37"/>
        <v>1155.1213757985754</v>
      </c>
      <c r="H584" s="8">
        <f t="shared" ca="1" si="38"/>
        <v>0.11040059025122578</v>
      </c>
    </row>
    <row r="585" spans="5:8" x14ac:dyDescent="0.3">
      <c r="E585" s="8">
        <f t="shared" si="39"/>
        <v>581</v>
      </c>
      <c r="F585" s="8">
        <f t="shared" ca="1" si="36"/>
        <v>1.324350424602889</v>
      </c>
      <c r="G585" s="8">
        <f t="shared" ca="1" si="37"/>
        <v>1413.2928040765164</v>
      </c>
      <c r="H585" s="8">
        <f t="shared" ca="1" si="38"/>
        <v>0.13507529428237755</v>
      </c>
    </row>
    <row r="586" spans="5:8" x14ac:dyDescent="0.3">
      <c r="E586" s="8">
        <f t="shared" si="39"/>
        <v>582</v>
      </c>
      <c r="F586" s="8">
        <f t="shared" ca="1" si="36"/>
        <v>1.2643060237828292</v>
      </c>
      <c r="G586" s="8">
        <f t="shared" ca="1" si="37"/>
        <v>1544.4072588172194</v>
      </c>
      <c r="H586" s="8">
        <f t="shared" ca="1" si="38"/>
        <v>0.14760654294344064</v>
      </c>
    </row>
    <row r="587" spans="5:8" x14ac:dyDescent="0.3">
      <c r="E587" s="8">
        <f t="shared" si="39"/>
        <v>583</v>
      </c>
      <c r="F587" s="8">
        <f t="shared" ca="1" si="36"/>
        <v>1.0437317613354558</v>
      </c>
      <c r="G587" s="8">
        <f t="shared" ca="1" si="37"/>
        <v>2026.0587326538653</v>
      </c>
      <c r="H587" s="8">
        <f t="shared" ca="1" si="38"/>
        <v>0.19364032616399363</v>
      </c>
    </row>
    <row r="588" spans="5:8" x14ac:dyDescent="0.3">
      <c r="E588" s="8">
        <f t="shared" si="39"/>
        <v>584</v>
      </c>
      <c r="F588" s="8">
        <f t="shared" ca="1" si="36"/>
        <v>0.99046864585917715</v>
      </c>
      <c r="G588" s="8">
        <f t="shared" ca="1" si="37"/>
        <v>2142.3654031857541</v>
      </c>
      <c r="H588" s="8">
        <f t="shared" ca="1" si="38"/>
        <v>0.20475632258298329</v>
      </c>
    </row>
    <row r="589" spans="5:8" x14ac:dyDescent="0.3">
      <c r="E589" s="8">
        <f t="shared" si="39"/>
        <v>585</v>
      </c>
      <c r="F589" s="8">
        <f t="shared" ca="1" si="36"/>
        <v>1.0769871080142079</v>
      </c>
      <c r="G589" s="8">
        <f t="shared" ca="1" si="37"/>
        <v>1953.441526262475</v>
      </c>
      <c r="H589" s="8">
        <f t="shared" ca="1" si="38"/>
        <v>0.18669994516510321</v>
      </c>
    </row>
    <row r="590" spans="5:8" x14ac:dyDescent="0.3">
      <c r="E590" s="8">
        <f t="shared" si="39"/>
        <v>586</v>
      </c>
      <c r="F590" s="8">
        <f t="shared" ca="1" si="36"/>
        <v>1.1537059603219775</v>
      </c>
      <c r="G590" s="8">
        <f t="shared" ca="1" si="37"/>
        <v>1785.9163223919218</v>
      </c>
      <c r="H590" s="8">
        <f t="shared" ca="1" si="38"/>
        <v>0.17068874341889723</v>
      </c>
    </row>
    <row r="591" spans="5:8" x14ac:dyDescent="0.3">
      <c r="E591" s="8">
        <f t="shared" si="39"/>
        <v>587</v>
      </c>
      <c r="F591" s="8">
        <f t="shared" ca="1" si="36"/>
        <v>1.3242445346435485</v>
      </c>
      <c r="G591" s="8">
        <f t="shared" ca="1" si="37"/>
        <v>1413.5240280389812</v>
      </c>
      <c r="H591" s="8">
        <f t="shared" ca="1" si="38"/>
        <v>0.13509739348551861</v>
      </c>
    </row>
    <row r="592" spans="5:8" x14ac:dyDescent="0.3">
      <c r="E592" s="8">
        <f t="shared" si="39"/>
        <v>588</v>
      </c>
      <c r="F592" s="8">
        <f t="shared" ca="1" si="36"/>
        <v>1.2284616013690672</v>
      </c>
      <c r="G592" s="8">
        <f t="shared" ca="1" si="37"/>
        <v>1622.6780357104703</v>
      </c>
      <c r="H592" s="8">
        <f t="shared" ca="1" si="38"/>
        <v>0.15508726328113068</v>
      </c>
    </row>
    <row r="593" spans="5:8" x14ac:dyDescent="0.3">
      <c r="E593" s="8">
        <f t="shared" si="39"/>
        <v>589</v>
      </c>
      <c r="F593" s="8">
        <f t="shared" ca="1" si="36"/>
        <v>1.3397405788275614</v>
      </c>
      <c r="G593" s="8">
        <f t="shared" ca="1" si="37"/>
        <v>1379.6864785576663</v>
      </c>
      <c r="H593" s="8">
        <f t="shared" ca="1" si="38"/>
        <v>0.13186337365551623</v>
      </c>
    </row>
    <row r="594" spans="5:8" x14ac:dyDescent="0.3">
      <c r="E594" s="8">
        <f t="shared" si="39"/>
        <v>590</v>
      </c>
      <c r="F594" s="8">
        <f t="shared" ca="1" si="36"/>
        <v>1.1980607587429026</v>
      </c>
      <c r="G594" s="8">
        <f t="shared" ca="1" si="37"/>
        <v>1689.0620756900291</v>
      </c>
      <c r="H594" s="8">
        <f t="shared" ca="1" si="38"/>
        <v>0.16143191012998462</v>
      </c>
    </row>
    <row r="595" spans="5:8" x14ac:dyDescent="0.3">
      <c r="E595" s="8">
        <f t="shared" si="39"/>
        <v>591</v>
      </c>
      <c r="F595" s="8">
        <f t="shared" ca="1" si="36"/>
        <v>1.0953664297378929</v>
      </c>
      <c r="G595" s="8">
        <f t="shared" ca="1" si="37"/>
        <v>1913.3079798635936</v>
      </c>
      <c r="H595" s="8">
        <f t="shared" ca="1" si="38"/>
        <v>0.18286418616683489</v>
      </c>
    </row>
    <row r="596" spans="5:8" x14ac:dyDescent="0.3">
      <c r="E596" s="8">
        <f t="shared" si="39"/>
        <v>592</v>
      </c>
      <c r="F596" s="8">
        <f t="shared" ca="1" si="36"/>
        <v>1.2223997017478674</v>
      </c>
      <c r="G596" s="8">
        <f t="shared" ca="1" si="37"/>
        <v>1635.9149512708129</v>
      </c>
      <c r="H596" s="8">
        <f t="shared" ca="1" si="38"/>
        <v>0.15635237993604253</v>
      </c>
    </row>
    <row r="597" spans="5:8" x14ac:dyDescent="0.3">
      <c r="E597" s="8">
        <f t="shared" si="39"/>
        <v>593</v>
      </c>
      <c r="F597" s="8">
        <f t="shared" ca="1" si="36"/>
        <v>1.0640890138942991</v>
      </c>
      <c r="G597" s="8">
        <f t="shared" ca="1" si="37"/>
        <v>1981.606127035061</v>
      </c>
      <c r="H597" s="8">
        <f t="shared" ca="1" si="38"/>
        <v>0.18939177358645332</v>
      </c>
    </row>
    <row r="598" spans="5:8" x14ac:dyDescent="0.3">
      <c r="E598" s="8">
        <f t="shared" si="39"/>
        <v>594</v>
      </c>
      <c r="F598" s="8">
        <f t="shared" ca="1" si="36"/>
        <v>1.2880502996158003</v>
      </c>
      <c r="G598" s="8">
        <f t="shared" ca="1" si="37"/>
        <v>1492.558664501448</v>
      </c>
      <c r="H598" s="8">
        <f t="shared" ca="1" si="38"/>
        <v>0.14265111961210436</v>
      </c>
    </row>
    <row r="599" spans="5:8" x14ac:dyDescent="0.3">
      <c r="E599" s="8">
        <f t="shared" si="39"/>
        <v>595</v>
      </c>
      <c r="F599" s="8">
        <f t="shared" ca="1" si="36"/>
        <v>1.1373024199901796</v>
      </c>
      <c r="G599" s="8">
        <f t="shared" ca="1" si="37"/>
        <v>1821.735503148944</v>
      </c>
      <c r="H599" s="8">
        <f t="shared" ca="1" si="38"/>
        <v>0.17411215742606748</v>
      </c>
    </row>
    <row r="600" spans="5:8" x14ac:dyDescent="0.3">
      <c r="E600" s="8">
        <f t="shared" si="39"/>
        <v>596</v>
      </c>
      <c r="F600" s="8">
        <f t="shared" ca="1" si="36"/>
        <v>1.0752709346589151</v>
      </c>
      <c r="G600" s="8">
        <f t="shared" ca="1" si="37"/>
        <v>1957.1890053054265</v>
      </c>
      <c r="H600" s="8">
        <f t="shared" ca="1" si="38"/>
        <v>0.18705811003588135</v>
      </c>
    </row>
    <row r="601" spans="5:8" x14ac:dyDescent="0.3">
      <c r="E601" s="8">
        <f t="shared" si="39"/>
        <v>597</v>
      </c>
      <c r="F601" s="8">
        <f t="shared" ca="1" si="36"/>
        <v>1.0932266738159553</v>
      </c>
      <c r="G601" s="8">
        <f t="shared" ca="1" si="37"/>
        <v>1917.9804043886345</v>
      </c>
      <c r="H601" s="8">
        <f t="shared" ca="1" si="38"/>
        <v>0.1833107525937718</v>
      </c>
    </row>
    <row r="602" spans="5:8" x14ac:dyDescent="0.3">
      <c r="E602" s="8">
        <f t="shared" si="39"/>
        <v>598</v>
      </c>
      <c r="F602" s="8">
        <f t="shared" ca="1" si="36"/>
        <v>1.03268697811101</v>
      </c>
      <c r="G602" s="8">
        <f t="shared" ca="1" si="37"/>
        <v>2050.1763974223459</v>
      </c>
      <c r="H602" s="8">
        <f t="shared" ca="1" si="38"/>
        <v>0.19594536915056349</v>
      </c>
    </row>
    <row r="603" spans="5:8" x14ac:dyDescent="0.3">
      <c r="E603" s="8">
        <f t="shared" si="39"/>
        <v>599</v>
      </c>
      <c r="F603" s="8">
        <f t="shared" ca="1" si="36"/>
        <v>1.3880340637772279</v>
      </c>
      <c r="G603" s="8">
        <f t="shared" ca="1" si="37"/>
        <v>1274.2316174844505</v>
      </c>
      <c r="H603" s="8">
        <f t="shared" ca="1" si="38"/>
        <v>0.12178453765501772</v>
      </c>
    </row>
    <row r="604" spans="5:8" x14ac:dyDescent="0.3">
      <c r="E604" s="8">
        <f t="shared" si="39"/>
        <v>600</v>
      </c>
      <c r="F604" s="8">
        <f t="shared" ca="1" si="36"/>
        <v>1.169618084860333</v>
      </c>
      <c r="G604" s="8">
        <f t="shared" ca="1" si="37"/>
        <v>1751.1702094468551</v>
      </c>
      <c r="H604" s="8">
        <f t="shared" ca="1" si="38"/>
        <v>0.16736788774222069</v>
      </c>
    </row>
    <row r="605" spans="5:8" x14ac:dyDescent="0.3">
      <c r="E605" s="8">
        <f t="shared" si="39"/>
        <v>601</v>
      </c>
      <c r="F605" s="8">
        <f t="shared" ca="1" si="36"/>
        <v>1.2597743011041318</v>
      </c>
      <c r="G605" s="8">
        <f t="shared" ca="1" si="37"/>
        <v>1554.3028417514902</v>
      </c>
      <c r="H605" s="8">
        <f t="shared" ca="1" si="38"/>
        <v>0.14855231212381631</v>
      </c>
    </row>
    <row r="606" spans="5:8" x14ac:dyDescent="0.3">
      <c r="E606" s="8">
        <f t="shared" si="39"/>
        <v>602</v>
      </c>
      <c r="F606" s="8">
        <f t="shared" ca="1" si="36"/>
        <v>1.4826939006797148</v>
      </c>
      <c r="G606" s="8">
        <f t="shared" ca="1" si="37"/>
        <v>1067.5300311282576</v>
      </c>
      <c r="H606" s="8">
        <f t="shared" ca="1" si="38"/>
        <v>0.10202905773948749</v>
      </c>
    </row>
    <row r="607" spans="5:8" x14ac:dyDescent="0.3">
      <c r="E607" s="8">
        <f t="shared" si="39"/>
        <v>603</v>
      </c>
      <c r="F607" s="8">
        <f t="shared" ca="1" si="36"/>
        <v>1.0295568863108047</v>
      </c>
      <c r="G607" s="8">
        <f t="shared" ca="1" si="37"/>
        <v>2057.0113441295689</v>
      </c>
      <c r="H607" s="8">
        <f t="shared" ca="1" si="38"/>
        <v>0.19659861838187603</v>
      </c>
    </row>
    <row r="608" spans="5:8" x14ac:dyDescent="0.3">
      <c r="E608" s="8">
        <f t="shared" si="39"/>
        <v>604</v>
      </c>
      <c r="F608" s="8">
        <f t="shared" ca="1" si="36"/>
        <v>1.4291923157716819</v>
      </c>
      <c r="G608" s="8">
        <f t="shared" ca="1" si="37"/>
        <v>1184.3574294730611</v>
      </c>
      <c r="H608" s="8">
        <f t="shared" ca="1" si="38"/>
        <v>0.11319482265823005</v>
      </c>
    </row>
    <row r="609" spans="5:8" x14ac:dyDescent="0.3">
      <c r="E609" s="8">
        <f t="shared" si="39"/>
        <v>605</v>
      </c>
      <c r="F609" s="8">
        <f t="shared" ca="1" si="36"/>
        <v>1.0815170204369471</v>
      </c>
      <c r="G609" s="8">
        <f t="shared" ca="1" si="37"/>
        <v>1943.5498962483712</v>
      </c>
      <c r="H609" s="8">
        <f t="shared" ca="1" si="38"/>
        <v>0.1857545537846097</v>
      </c>
    </row>
    <row r="610" spans="5:8" x14ac:dyDescent="0.3">
      <c r="E610" s="8">
        <f t="shared" si="39"/>
        <v>606</v>
      </c>
      <c r="F610" s="8">
        <f t="shared" ca="1" si="36"/>
        <v>1.0658096385684219</v>
      </c>
      <c r="G610" s="8">
        <f t="shared" ca="1" si="37"/>
        <v>1977.8489279810296</v>
      </c>
      <c r="H610" s="8">
        <f t="shared" ca="1" si="38"/>
        <v>0.18903267972675425</v>
      </c>
    </row>
    <row r="611" spans="5:8" x14ac:dyDescent="0.3">
      <c r="E611" s="8">
        <f t="shared" si="39"/>
        <v>607</v>
      </c>
      <c r="F611" s="8">
        <f t="shared" ca="1" si="36"/>
        <v>1.1834531561450221</v>
      </c>
      <c r="G611" s="8">
        <f t="shared" ca="1" si="37"/>
        <v>1720.959601912826</v>
      </c>
      <c r="H611" s="8">
        <f t="shared" ca="1" si="38"/>
        <v>0.16448051246419057</v>
      </c>
    </row>
    <row r="612" spans="5:8" x14ac:dyDescent="0.3">
      <c r="E612" s="8">
        <f t="shared" si="39"/>
        <v>608</v>
      </c>
      <c r="F612" s="8">
        <f t="shared" ca="1" si="36"/>
        <v>1.0194682793854863</v>
      </c>
      <c r="G612" s="8">
        <f t="shared" ca="1" si="37"/>
        <v>2079.0410784268674</v>
      </c>
      <c r="H612" s="8">
        <f t="shared" ca="1" si="38"/>
        <v>0.19870410765811597</v>
      </c>
    </row>
    <row r="613" spans="5:8" x14ac:dyDescent="0.3">
      <c r="E613" s="8">
        <f t="shared" si="39"/>
        <v>609</v>
      </c>
      <c r="F613" s="8">
        <f t="shared" ca="1" si="36"/>
        <v>1.1959698480281162</v>
      </c>
      <c r="G613" s="8">
        <f t="shared" ca="1" si="37"/>
        <v>1693.6278405996045</v>
      </c>
      <c r="H613" s="8">
        <f t="shared" ca="1" si="38"/>
        <v>0.16186828257666105</v>
      </c>
    </row>
    <row r="614" spans="5:8" x14ac:dyDescent="0.3">
      <c r="E614" s="8">
        <f t="shared" si="39"/>
        <v>610</v>
      </c>
      <c r="F614" s="8">
        <f t="shared" ca="1" si="36"/>
        <v>1.1661958579166465</v>
      </c>
      <c r="G614" s="8">
        <f t="shared" ca="1" si="37"/>
        <v>1758.6430697567628</v>
      </c>
      <c r="H614" s="8">
        <f t="shared" ca="1" si="38"/>
        <v>0.16808210549142338</v>
      </c>
    </row>
    <row r="615" spans="5:8" x14ac:dyDescent="0.3">
      <c r="E615" s="8">
        <f t="shared" si="39"/>
        <v>611</v>
      </c>
      <c r="F615" s="8">
        <f t="shared" ca="1" si="36"/>
        <v>1.1293216927296175</v>
      </c>
      <c r="G615" s="8">
        <f t="shared" ca="1" si="37"/>
        <v>1839.1624187132888</v>
      </c>
      <c r="H615" s="8">
        <f t="shared" ca="1" si="38"/>
        <v>0.17577773284079984</v>
      </c>
    </row>
    <row r="616" spans="5:8" x14ac:dyDescent="0.3">
      <c r="E616" s="8">
        <f t="shared" si="39"/>
        <v>612</v>
      </c>
      <c r="F616" s="8">
        <f t="shared" ca="1" si="36"/>
        <v>1.3187418138740092</v>
      </c>
      <c r="G616" s="8">
        <f t="shared" ca="1" si="37"/>
        <v>1425.5399066793664</v>
      </c>
      <c r="H616" s="8">
        <f t="shared" ca="1" si="38"/>
        <v>0.13624580967976357</v>
      </c>
    </row>
    <row r="617" spans="5:8" x14ac:dyDescent="0.3">
      <c r="E617" s="8">
        <f t="shared" si="39"/>
        <v>613</v>
      </c>
      <c r="F617" s="8">
        <f t="shared" ca="1" si="36"/>
        <v>1.0470530100790241</v>
      </c>
      <c r="G617" s="8">
        <f t="shared" ca="1" si="37"/>
        <v>2018.8063708661909</v>
      </c>
      <c r="H617" s="8">
        <f t="shared" ca="1" si="38"/>
        <v>0.1929471825352376</v>
      </c>
    </row>
    <row r="618" spans="5:8" x14ac:dyDescent="0.3">
      <c r="E618" s="8">
        <f t="shared" si="39"/>
        <v>614</v>
      </c>
      <c r="F618" s="8">
        <f t="shared" ca="1" si="36"/>
        <v>1.0856897073516811</v>
      </c>
      <c r="G618" s="8">
        <f t="shared" ca="1" si="37"/>
        <v>1934.4383127841852</v>
      </c>
      <c r="H618" s="8">
        <f t="shared" ca="1" si="38"/>
        <v>0.18488371526179731</v>
      </c>
    </row>
    <row r="619" spans="5:8" x14ac:dyDescent="0.3">
      <c r="E619" s="8">
        <f t="shared" si="39"/>
        <v>615</v>
      </c>
      <c r="F619" s="8">
        <f t="shared" ca="1" si="36"/>
        <v>1.4723710534686043</v>
      </c>
      <c r="G619" s="8">
        <f t="shared" ca="1" si="37"/>
        <v>1090.0712583696188</v>
      </c>
      <c r="H619" s="8">
        <f t="shared" ca="1" si="38"/>
        <v>0.10418343289397103</v>
      </c>
    </row>
    <row r="620" spans="5:8" x14ac:dyDescent="0.3">
      <c r="E620" s="8">
        <f t="shared" si="39"/>
        <v>616</v>
      </c>
      <c r="F620" s="8">
        <f t="shared" ca="1" si="36"/>
        <v>1.150046604322452</v>
      </c>
      <c r="G620" s="8">
        <f t="shared" ca="1" si="37"/>
        <v>1793.9069836363856</v>
      </c>
      <c r="H620" s="8">
        <f t="shared" ca="1" si="38"/>
        <v>0.1714524499317964</v>
      </c>
    </row>
    <row r="621" spans="5:8" x14ac:dyDescent="0.3">
      <c r="E621" s="8">
        <f t="shared" si="39"/>
        <v>617</v>
      </c>
      <c r="F621" s="8">
        <f t="shared" ca="1" si="36"/>
        <v>1.2621947162287057</v>
      </c>
      <c r="G621" s="8">
        <f t="shared" ca="1" si="37"/>
        <v>1549.0175627750923</v>
      </c>
      <c r="H621" s="8">
        <f t="shared" ca="1" si="38"/>
        <v>0.14804717220444349</v>
      </c>
    </row>
    <row r="622" spans="5:8" x14ac:dyDescent="0.3">
      <c r="E622" s="8">
        <f t="shared" si="39"/>
        <v>618</v>
      </c>
      <c r="F622" s="8">
        <f t="shared" ca="1" si="36"/>
        <v>1.248044649160168</v>
      </c>
      <c r="G622" s="8">
        <f t="shared" ca="1" si="37"/>
        <v>1579.9160029776281</v>
      </c>
      <c r="H622" s="8">
        <f t="shared" ca="1" si="38"/>
        <v>0.15100028700923521</v>
      </c>
    </row>
    <row r="623" spans="5:8" x14ac:dyDescent="0.3">
      <c r="E623" s="8">
        <f t="shared" si="39"/>
        <v>619</v>
      </c>
      <c r="F623" s="8">
        <f t="shared" ca="1" si="36"/>
        <v>1.1195697026983191</v>
      </c>
      <c r="G623" s="8">
        <f t="shared" ca="1" si="37"/>
        <v>1860.4571079453829</v>
      </c>
      <c r="H623" s="8">
        <f t="shared" ca="1" si="38"/>
        <v>0.17781297027099138</v>
      </c>
    </row>
    <row r="624" spans="5:8" x14ac:dyDescent="0.3">
      <c r="E624" s="8">
        <f t="shared" si="39"/>
        <v>620</v>
      </c>
      <c r="F624" s="8">
        <f t="shared" ca="1" si="36"/>
        <v>1.2724797353984318</v>
      </c>
      <c r="G624" s="8">
        <f t="shared" ca="1" si="37"/>
        <v>1526.5589377905992</v>
      </c>
      <c r="H624" s="8">
        <f t="shared" ca="1" si="38"/>
        <v>0.14590069175098913</v>
      </c>
    </row>
    <row r="625" spans="5:8" x14ac:dyDescent="0.3">
      <c r="E625" s="8">
        <f t="shared" si="39"/>
        <v>621</v>
      </c>
      <c r="F625" s="8">
        <f t="shared" ca="1" si="36"/>
        <v>1.3225824245620814</v>
      </c>
      <c r="G625" s="8">
        <f t="shared" ca="1" si="37"/>
        <v>1417.1534531656248</v>
      </c>
      <c r="H625" s="8">
        <f t="shared" ca="1" si="38"/>
        <v>0.13544427536706727</v>
      </c>
    </row>
    <row r="626" spans="5:8" x14ac:dyDescent="0.3">
      <c r="E626" s="8">
        <f t="shared" si="39"/>
        <v>622</v>
      </c>
      <c r="F626" s="8">
        <f t="shared" ca="1" si="36"/>
        <v>1.154129879371101</v>
      </c>
      <c r="G626" s="8">
        <f t="shared" ca="1" si="37"/>
        <v>1784.9906421582793</v>
      </c>
      <c r="H626" s="8">
        <f t="shared" ca="1" si="38"/>
        <v>0.17060027163894478</v>
      </c>
    </row>
    <row r="627" spans="5:8" x14ac:dyDescent="0.3">
      <c r="E627" s="8">
        <f t="shared" si="39"/>
        <v>623</v>
      </c>
      <c r="F627" s="8">
        <f t="shared" ca="1" si="36"/>
        <v>1.1631955579111062</v>
      </c>
      <c r="G627" s="8">
        <f t="shared" ca="1" si="37"/>
        <v>1765.1945998563606</v>
      </c>
      <c r="H627" s="8">
        <f t="shared" ca="1" si="38"/>
        <v>0.16870826721364432</v>
      </c>
    </row>
    <row r="628" spans="5:8" x14ac:dyDescent="0.3">
      <c r="E628" s="8">
        <f t="shared" si="39"/>
        <v>624</v>
      </c>
      <c r="F628" s="8">
        <f t="shared" ca="1" si="36"/>
        <v>1.1501784013126894</v>
      </c>
      <c r="G628" s="8">
        <f t="shared" ca="1" si="37"/>
        <v>1793.6191884335783</v>
      </c>
      <c r="H628" s="8">
        <f t="shared" ca="1" si="38"/>
        <v>0.17142494393898292</v>
      </c>
    </row>
    <row r="629" spans="5:8" x14ac:dyDescent="0.3">
      <c r="E629" s="8">
        <f t="shared" si="39"/>
        <v>625</v>
      </c>
      <c r="F629" s="8">
        <f t="shared" ca="1" si="36"/>
        <v>1.3098052192613157</v>
      </c>
      <c r="G629" s="8">
        <f t="shared" ca="1" si="37"/>
        <v>1445.0540780905094</v>
      </c>
      <c r="H629" s="8">
        <f t="shared" ca="1" si="38"/>
        <v>0.13811087432767938</v>
      </c>
    </row>
    <row r="630" spans="5:8" x14ac:dyDescent="0.3">
      <c r="E630" s="8">
        <f t="shared" si="39"/>
        <v>626</v>
      </c>
      <c r="F630" s="8">
        <f t="shared" ca="1" si="36"/>
        <v>1.2847403902426537</v>
      </c>
      <c r="G630" s="8">
        <f t="shared" ca="1" si="37"/>
        <v>1499.786265356385</v>
      </c>
      <c r="H630" s="8">
        <f t="shared" ca="1" si="38"/>
        <v>0.14334189671761302</v>
      </c>
    </row>
    <row r="631" spans="5:8" x14ac:dyDescent="0.3">
      <c r="E631" s="8">
        <f t="shared" si="39"/>
        <v>627</v>
      </c>
      <c r="F631" s="8">
        <f t="shared" ca="1" si="36"/>
        <v>1.2372140861916023</v>
      </c>
      <c r="G631" s="8">
        <f t="shared" ca="1" si="37"/>
        <v>1603.5658910398622</v>
      </c>
      <c r="H631" s="8">
        <f t="shared" ca="1" si="38"/>
        <v>0.15326062229187251</v>
      </c>
    </row>
    <row r="632" spans="5:8" x14ac:dyDescent="0.3">
      <c r="E632" s="8">
        <f t="shared" si="39"/>
        <v>628</v>
      </c>
      <c r="F632" s="8">
        <f t="shared" ca="1" si="36"/>
        <v>1.4136769215974891</v>
      </c>
      <c r="G632" s="8">
        <f t="shared" ca="1" si="37"/>
        <v>1218.2372320766826</v>
      </c>
      <c r="H632" s="8">
        <f t="shared" ca="1" si="38"/>
        <v>0.11643288082544993</v>
      </c>
    </row>
    <row r="633" spans="5:8" x14ac:dyDescent="0.3">
      <c r="E633" s="8">
        <f t="shared" si="39"/>
        <v>629</v>
      </c>
      <c r="F633" s="8">
        <f t="shared" ca="1" si="36"/>
        <v>1.1888180713185459</v>
      </c>
      <c r="G633" s="8">
        <f t="shared" ca="1" si="37"/>
        <v>1709.2446390170401</v>
      </c>
      <c r="H633" s="8">
        <f t="shared" ca="1" si="38"/>
        <v>0.16336085625700469</v>
      </c>
    </row>
    <row r="634" spans="5:8" x14ac:dyDescent="0.3">
      <c r="E634" s="8">
        <f t="shared" si="39"/>
        <v>630</v>
      </c>
      <c r="F634" s="8">
        <f t="shared" ca="1" si="36"/>
        <v>1.2302691949380973</v>
      </c>
      <c r="G634" s="8">
        <f t="shared" ca="1" si="37"/>
        <v>1618.7309292032971</v>
      </c>
      <c r="H634" s="8">
        <f t="shared" ca="1" si="38"/>
        <v>0.1547100190388318</v>
      </c>
    </row>
    <row r="635" spans="5:8" x14ac:dyDescent="0.3">
      <c r="E635" s="8">
        <f t="shared" si="39"/>
        <v>631</v>
      </c>
      <c r="F635" s="8">
        <f t="shared" ca="1" si="36"/>
        <v>0.96261166248979779</v>
      </c>
      <c r="G635" s="8">
        <f t="shared" ca="1" si="37"/>
        <v>2203.1946084957153</v>
      </c>
      <c r="H635" s="8">
        <f t="shared" ca="1" si="38"/>
        <v>0.2105700667586462</v>
      </c>
    </row>
    <row r="636" spans="5:8" x14ac:dyDescent="0.3">
      <c r="E636" s="8">
        <f t="shared" si="39"/>
        <v>632</v>
      </c>
      <c r="F636" s="8">
        <f t="shared" ca="1" si="36"/>
        <v>1.2111684077909717</v>
      </c>
      <c r="G636" s="8">
        <f t="shared" ca="1" si="37"/>
        <v>1660.4398855374393</v>
      </c>
      <c r="H636" s="8">
        <f t="shared" ca="1" si="38"/>
        <v>0.15869634765721488</v>
      </c>
    </row>
    <row r="637" spans="5:8" x14ac:dyDescent="0.3">
      <c r="E637" s="8">
        <f t="shared" si="39"/>
        <v>633</v>
      </c>
      <c r="F637" s="8">
        <f t="shared" ca="1" si="36"/>
        <v>1.0928138687581275</v>
      </c>
      <c r="G637" s="8">
        <f t="shared" ca="1" si="37"/>
        <v>1918.8818158330337</v>
      </c>
      <c r="H637" s="8">
        <f t="shared" ca="1" si="38"/>
        <v>0.1833969048870337</v>
      </c>
    </row>
    <row r="638" spans="5:8" x14ac:dyDescent="0.3">
      <c r="E638" s="8">
        <f t="shared" si="39"/>
        <v>634</v>
      </c>
      <c r="F638" s="8">
        <f t="shared" ca="1" si="36"/>
        <v>1.2584352517303499</v>
      </c>
      <c r="G638" s="8">
        <f t="shared" ca="1" si="37"/>
        <v>1557.2268234403145</v>
      </c>
      <c r="H638" s="8">
        <f t="shared" ca="1" si="38"/>
        <v>0.14883177133138817</v>
      </c>
    </row>
    <row r="639" spans="5:8" x14ac:dyDescent="0.3">
      <c r="E639" s="8">
        <f t="shared" si="39"/>
        <v>635</v>
      </c>
      <c r="F639" s="8">
        <f t="shared" ca="1" si="36"/>
        <v>1.1230543313148171</v>
      </c>
      <c r="G639" s="8">
        <f t="shared" ca="1" si="37"/>
        <v>1852.8479857826824</v>
      </c>
      <c r="H639" s="8">
        <f t="shared" ca="1" si="38"/>
        <v>0.17708572931116145</v>
      </c>
    </row>
    <row r="640" spans="5:8" x14ac:dyDescent="0.3">
      <c r="E640" s="8">
        <f t="shared" si="39"/>
        <v>636</v>
      </c>
      <c r="F640" s="8">
        <f t="shared" ca="1" si="36"/>
        <v>1.3155937806974003</v>
      </c>
      <c r="G640" s="8">
        <f t="shared" ca="1" si="37"/>
        <v>1432.4140306246391</v>
      </c>
      <c r="H640" s="8">
        <f t="shared" ca="1" si="38"/>
        <v>0.13690280327101587</v>
      </c>
    </row>
    <row r="641" spans="5:8" x14ac:dyDescent="0.3">
      <c r="E641" s="8">
        <f t="shared" si="39"/>
        <v>637</v>
      </c>
      <c r="F641" s="8">
        <f t="shared" ca="1" si="36"/>
        <v>1.1089195188735821</v>
      </c>
      <c r="G641" s="8">
        <f t="shared" ca="1" si="37"/>
        <v>1883.7131155996742</v>
      </c>
      <c r="H641" s="8">
        <f t="shared" ca="1" si="38"/>
        <v>0.18003566047975478</v>
      </c>
    </row>
    <row r="642" spans="5:8" x14ac:dyDescent="0.3">
      <c r="E642" s="8">
        <f t="shared" si="39"/>
        <v>638</v>
      </c>
      <c r="F642" s="8">
        <f t="shared" ca="1" si="36"/>
        <v>1.2957292562433449</v>
      </c>
      <c r="G642" s="8">
        <f t="shared" ca="1" si="37"/>
        <v>1475.7907028356258</v>
      </c>
      <c r="H642" s="8">
        <f t="shared" ca="1" si="38"/>
        <v>0.14104852363907347</v>
      </c>
    </row>
    <row r="643" spans="5:8" x14ac:dyDescent="0.3">
      <c r="E643" s="8">
        <f t="shared" si="39"/>
        <v>639</v>
      </c>
      <c r="F643" s="8">
        <f t="shared" ca="1" si="36"/>
        <v>1.1786651607827328</v>
      </c>
      <c r="G643" s="8">
        <f t="shared" ca="1" si="37"/>
        <v>1731.4147882858051</v>
      </c>
      <c r="H643" s="8">
        <f t="shared" ca="1" si="38"/>
        <v>0.16547976567770287</v>
      </c>
    </row>
    <row r="644" spans="5:8" x14ac:dyDescent="0.3">
      <c r="E644" s="8">
        <f t="shared" si="39"/>
        <v>640</v>
      </c>
      <c r="F644" s="8">
        <f t="shared" ca="1" si="36"/>
        <v>1.1256134933288153</v>
      </c>
      <c r="G644" s="8">
        <f t="shared" ca="1" si="37"/>
        <v>1847.2597356298654</v>
      </c>
      <c r="H644" s="8">
        <f t="shared" ca="1" si="38"/>
        <v>0.17655163295707402</v>
      </c>
    </row>
    <row r="645" spans="5:8" x14ac:dyDescent="0.3">
      <c r="E645" s="8">
        <f t="shared" si="39"/>
        <v>641</v>
      </c>
      <c r="F645" s="8">
        <f t="shared" ref="F645:F708" ca="1" si="40">_xlfn.NORM.INV(RAND(), $C$9, $C$9 * $C$10)</f>
        <v>1.2870394995916059</v>
      </c>
      <c r="G645" s="8">
        <f t="shared" ref="G645:G708" ca="1" si="41">$C$7 - ($C$6 + ($C$8 * $C$11)) - (($C$6 + ($C$8 * $C$11)) * (1 - $C$12) * (F645 - $C$13))</f>
        <v>1494.7658727042794</v>
      </c>
      <c r="H645" s="8">
        <f t="shared" ref="H645:H708" ca="1" si="42">G645 / $C$7</f>
        <v>0.14286207327767175</v>
      </c>
    </row>
    <row r="646" spans="5:8" x14ac:dyDescent="0.3">
      <c r="E646" s="8">
        <f t="shared" ref="E646:E709" si="43">ROW()-4</f>
        <v>642</v>
      </c>
      <c r="F646" s="8">
        <f t="shared" ca="1" si="40"/>
        <v>1.2156105037961433</v>
      </c>
      <c r="G646" s="8">
        <f t="shared" ca="1" si="41"/>
        <v>1650.7400136481465</v>
      </c>
      <c r="H646" s="8">
        <f t="shared" ca="1" si="42"/>
        <v>0.15776928353704928</v>
      </c>
    </row>
    <row r="647" spans="5:8" x14ac:dyDescent="0.3">
      <c r="E647" s="8">
        <f t="shared" si="43"/>
        <v>643</v>
      </c>
      <c r="F647" s="8">
        <f t="shared" ca="1" si="40"/>
        <v>1.0246319179252101</v>
      </c>
      <c r="G647" s="8">
        <f t="shared" ca="1" si="41"/>
        <v>2067.765628220563</v>
      </c>
      <c r="H647" s="8">
        <f t="shared" ca="1" si="42"/>
        <v>0.19762645782476948</v>
      </c>
    </row>
    <row r="648" spans="5:8" x14ac:dyDescent="0.3">
      <c r="E648" s="8">
        <f t="shared" si="43"/>
        <v>644</v>
      </c>
      <c r="F648" s="8">
        <f t="shared" ca="1" si="40"/>
        <v>1.1134508563452958</v>
      </c>
      <c r="G648" s="8">
        <f t="shared" ca="1" si="41"/>
        <v>1873.8183738130033</v>
      </c>
      <c r="H648" s="8">
        <f t="shared" ca="1" si="42"/>
        <v>0.17908997169196247</v>
      </c>
    </row>
    <row r="649" spans="5:8" x14ac:dyDescent="0.3">
      <c r="E649" s="8">
        <f t="shared" si="43"/>
        <v>645</v>
      </c>
      <c r="F649" s="8">
        <f t="shared" ca="1" si="40"/>
        <v>1.3237966037691251</v>
      </c>
      <c r="G649" s="8">
        <f t="shared" ca="1" si="41"/>
        <v>1414.502141094644</v>
      </c>
      <c r="H649" s="8">
        <f t="shared" ca="1" si="42"/>
        <v>0.13519087652629685</v>
      </c>
    </row>
    <row r="650" spans="5:8" x14ac:dyDescent="0.3">
      <c r="E650" s="8">
        <f t="shared" si="43"/>
        <v>646</v>
      </c>
      <c r="F650" s="8">
        <f t="shared" ca="1" si="40"/>
        <v>1.2355586343708937</v>
      </c>
      <c r="G650" s="8">
        <f t="shared" ca="1" si="41"/>
        <v>1607.180777021857</v>
      </c>
      <c r="H650" s="8">
        <f t="shared" ca="1" si="42"/>
        <v>0.15360611459637361</v>
      </c>
    </row>
    <row r="651" spans="5:8" x14ac:dyDescent="0.3">
      <c r="E651" s="8">
        <f t="shared" si="43"/>
        <v>647</v>
      </c>
      <c r="F651" s="8">
        <f t="shared" ca="1" si="40"/>
        <v>1.1133483479377133</v>
      </c>
      <c r="G651" s="8">
        <f t="shared" ca="1" si="41"/>
        <v>1874.0422137345106</v>
      </c>
      <c r="H651" s="8">
        <f t="shared" ca="1" si="42"/>
        <v>0.17911136516625353</v>
      </c>
    </row>
    <row r="652" spans="5:8" x14ac:dyDescent="0.3">
      <c r="E652" s="8">
        <f t="shared" si="43"/>
        <v>648</v>
      </c>
      <c r="F652" s="8">
        <f t="shared" ca="1" si="40"/>
        <v>1.1092261990231624</v>
      </c>
      <c r="G652" s="8">
        <f t="shared" ca="1" si="41"/>
        <v>1883.0434411580468</v>
      </c>
      <c r="H652" s="8">
        <f t="shared" ca="1" si="42"/>
        <v>0.17997165642340121</v>
      </c>
    </row>
    <row r="653" spans="5:8" x14ac:dyDescent="0.3">
      <c r="E653" s="8">
        <f t="shared" si="43"/>
        <v>649</v>
      </c>
      <c r="F653" s="8">
        <f t="shared" ca="1" si="40"/>
        <v>1.1592845797384002</v>
      </c>
      <c r="G653" s="8">
        <f t="shared" ca="1" si="41"/>
        <v>1773.7347095687358</v>
      </c>
      <c r="H653" s="8">
        <f t="shared" ca="1" si="42"/>
        <v>0.16952448719953511</v>
      </c>
    </row>
    <row r="654" spans="5:8" x14ac:dyDescent="0.3">
      <c r="E654" s="8">
        <f t="shared" si="43"/>
        <v>650</v>
      </c>
      <c r="F654" s="8">
        <f t="shared" ca="1" si="40"/>
        <v>1.0906240919175076</v>
      </c>
      <c r="G654" s="8">
        <f t="shared" ca="1" si="41"/>
        <v>1923.6634672866321</v>
      </c>
      <c r="H654" s="8">
        <f t="shared" ca="1" si="42"/>
        <v>0.1838539106648793</v>
      </c>
    </row>
    <row r="655" spans="5:8" x14ac:dyDescent="0.3">
      <c r="E655" s="8">
        <f t="shared" si="43"/>
        <v>651</v>
      </c>
      <c r="F655" s="8">
        <f t="shared" ca="1" si="40"/>
        <v>1.0276690103561106</v>
      </c>
      <c r="G655" s="8">
        <f t="shared" ca="1" si="41"/>
        <v>2061.1337572611378</v>
      </c>
      <c r="H655" s="8">
        <f t="shared" ca="1" si="42"/>
        <v>0.19699261753427677</v>
      </c>
    </row>
    <row r="656" spans="5:8" x14ac:dyDescent="0.3">
      <c r="E656" s="8">
        <f t="shared" si="43"/>
        <v>652</v>
      </c>
      <c r="F656" s="8">
        <f t="shared" ca="1" si="40"/>
        <v>1.1805108192269522</v>
      </c>
      <c r="G656" s="8">
        <f t="shared" ca="1" si="41"/>
        <v>1727.3845623655463</v>
      </c>
      <c r="H656" s="8">
        <f t="shared" ca="1" si="42"/>
        <v>0.1650945773072299</v>
      </c>
    </row>
    <row r="657" spans="5:8" x14ac:dyDescent="0.3">
      <c r="E657" s="8">
        <f t="shared" si="43"/>
        <v>653</v>
      </c>
      <c r="F657" s="8">
        <f t="shared" ca="1" si="40"/>
        <v>1.2028107016898315</v>
      </c>
      <c r="G657" s="8">
        <f t="shared" ca="1" si="41"/>
        <v>1678.6899815225415</v>
      </c>
      <c r="H657" s="8">
        <f t="shared" ca="1" si="42"/>
        <v>0.16044059844428382</v>
      </c>
    </row>
    <row r="658" spans="5:8" x14ac:dyDescent="0.3">
      <c r="E658" s="8">
        <f t="shared" si="43"/>
        <v>654</v>
      </c>
      <c r="F658" s="8">
        <f t="shared" ca="1" si="40"/>
        <v>1.2019630978360951</v>
      </c>
      <c r="G658" s="8">
        <f t="shared" ca="1" si="41"/>
        <v>1680.5408304876566</v>
      </c>
      <c r="H658" s="8">
        <f t="shared" ca="1" si="42"/>
        <v>0.16061749311742871</v>
      </c>
    </row>
    <row r="659" spans="5:8" x14ac:dyDescent="0.3">
      <c r="E659" s="8">
        <f t="shared" si="43"/>
        <v>655</v>
      </c>
      <c r="F659" s="8">
        <f t="shared" ca="1" si="40"/>
        <v>0.95422048488800215</v>
      </c>
      <c r="G659" s="8">
        <f t="shared" ca="1" si="41"/>
        <v>2221.5177936864361</v>
      </c>
      <c r="H659" s="8">
        <f t="shared" ca="1" si="42"/>
        <v>0.21232130303798491</v>
      </c>
    </row>
    <row r="660" spans="5:8" x14ac:dyDescent="0.3">
      <c r="E660" s="8">
        <f t="shared" si="43"/>
        <v>656</v>
      </c>
      <c r="F660" s="8">
        <f t="shared" ca="1" si="40"/>
        <v>1.0692432710233739</v>
      </c>
      <c r="G660" s="8">
        <f t="shared" ca="1" si="41"/>
        <v>1970.3511623115851</v>
      </c>
      <c r="H660" s="8">
        <f t="shared" ca="1" si="42"/>
        <v>0.18831608165072972</v>
      </c>
    </row>
    <row r="661" spans="5:8" x14ac:dyDescent="0.3">
      <c r="E661" s="8">
        <f t="shared" si="43"/>
        <v>657</v>
      </c>
      <c r="F661" s="8">
        <f t="shared" ca="1" si="40"/>
        <v>1.3670361233157196</v>
      </c>
      <c r="G661" s="8">
        <f t="shared" ca="1" si="41"/>
        <v>1320.0832452247118</v>
      </c>
      <c r="H661" s="8">
        <f t="shared" ca="1" si="42"/>
        <v>0.12616680160801985</v>
      </c>
    </row>
    <row r="662" spans="5:8" x14ac:dyDescent="0.3">
      <c r="E662" s="8">
        <f t="shared" si="43"/>
        <v>658</v>
      </c>
      <c r="F662" s="8">
        <f t="shared" ca="1" si="40"/>
        <v>0.89948887884340689</v>
      </c>
      <c r="G662" s="8">
        <f t="shared" ca="1" si="41"/>
        <v>2341.0310969355655</v>
      </c>
      <c r="H662" s="8">
        <f t="shared" ca="1" si="42"/>
        <v>0.22374377300349474</v>
      </c>
    </row>
    <row r="663" spans="5:8" x14ac:dyDescent="0.3">
      <c r="E663" s="8">
        <f t="shared" si="43"/>
        <v>659</v>
      </c>
      <c r="F663" s="8">
        <f t="shared" ca="1" si="40"/>
        <v>0.76906246073985418</v>
      </c>
      <c r="G663" s="8">
        <f t="shared" ca="1" si="41"/>
        <v>2625.8334841669357</v>
      </c>
      <c r="H663" s="8">
        <f t="shared" ca="1" si="42"/>
        <v>0.25096372781868831</v>
      </c>
    </row>
    <row r="664" spans="5:8" x14ac:dyDescent="0.3">
      <c r="E664" s="8">
        <f t="shared" si="43"/>
        <v>660</v>
      </c>
      <c r="F664" s="8">
        <f t="shared" ca="1" si="40"/>
        <v>1.2593410612585414</v>
      </c>
      <c r="G664" s="8">
        <f t="shared" ca="1" si="41"/>
        <v>1555.2488751093174</v>
      </c>
      <c r="H664" s="8">
        <f t="shared" ca="1" si="42"/>
        <v>0.14864272915122981</v>
      </c>
    </row>
    <row r="665" spans="5:8" x14ac:dyDescent="0.3">
      <c r="E665" s="8">
        <f t="shared" si="43"/>
        <v>661</v>
      </c>
      <c r="F665" s="8">
        <f t="shared" ca="1" si="40"/>
        <v>1.368744889266504</v>
      </c>
      <c r="G665" s="8">
        <f t="shared" ca="1" si="41"/>
        <v>1316.3519411754301</v>
      </c>
      <c r="H665" s="8">
        <f t="shared" ca="1" si="42"/>
        <v>0.12581018266036798</v>
      </c>
    </row>
    <row r="666" spans="5:8" x14ac:dyDescent="0.3">
      <c r="E666" s="8">
        <f t="shared" si="43"/>
        <v>662</v>
      </c>
      <c r="F666" s="8">
        <f t="shared" ca="1" si="40"/>
        <v>1.062179614292456</v>
      </c>
      <c r="G666" s="8">
        <f t="shared" ca="1" si="41"/>
        <v>1985.7755397406356</v>
      </c>
      <c r="H666" s="8">
        <f t="shared" ca="1" si="42"/>
        <v>0.18979026471763696</v>
      </c>
    </row>
    <row r="667" spans="5:8" x14ac:dyDescent="0.3">
      <c r="E667" s="8">
        <f t="shared" si="43"/>
        <v>663</v>
      </c>
      <c r="F667" s="8">
        <f t="shared" ca="1" si="40"/>
        <v>1.3170808283196094</v>
      </c>
      <c r="G667" s="8">
        <f t="shared" ca="1" si="41"/>
        <v>1429.1668762605927</v>
      </c>
      <c r="H667" s="8">
        <f t="shared" ca="1" si="42"/>
        <v>0.13659245687284649</v>
      </c>
    </row>
    <row r="668" spans="5:8" x14ac:dyDescent="0.3">
      <c r="E668" s="8">
        <f t="shared" si="43"/>
        <v>664</v>
      </c>
      <c r="F668" s="8">
        <f t="shared" ca="1" si="40"/>
        <v>1.3034060226772672</v>
      </c>
      <c r="G668" s="8">
        <f t="shared" ca="1" si="41"/>
        <v>1459.0275237313522</v>
      </c>
      <c r="H668" s="8">
        <f t="shared" ca="1" si="42"/>
        <v>0.13944638475880267</v>
      </c>
    </row>
    <row r="669" spans="5:8" x14ac:dyDescent="0.3">
      <c r="E669" s="8">
        <f t="shared" si="43"/>
        <v>665</v>
      </c>
      <c r="F669" s="8">
        <f t="shared" ca="1" si="40"/>
        <v>1.2208094179004638</v>
      </c>
      <c r="G669" s="8">
        <f t="shared" ca="1" si="41"/>
        <v>1639.3875348370996</v>
      </c>
      <c r="H669" s="8">
        <f t="shared" ca="1" si="42"/>
        <v>0.15668427170382296</v>
      </c>
    </row>
    <row r="670" spans="5:8" x14ac:dyDescent="0.3">
      <c r="E670" s="8">
        <f t="shared" si="43"/>
        <v>666</v>
      </c>
      <c r="F670" s="8">
        <f t="shared" ca="1" si="40"/>
        <v>1.1626179094815334</v>
      </c>
      <c r="G670" s="8">
        <f t="shared" ca="1" si="41"/>
        <v>1766.4559674083864</v>
      </c>
      <c r="H670" s="8">
        <f t="shared" ca="1" si="42"/>
        <v>0.16882882226974924</v>
      </c>
    </row>
    <row r="671" spans="5:8" x14ac:dyDescent="0.3">
      <c r="E671" s="8">
        <f t="shared" si="43"/>
        <v>667</v>
      </c>
      <c r="F671" s="8">
        <f t="shared" ca="1" si="40"/>
        <v>1.2019830382482408</v>
      </c>
      <c r="G671" s="8">
        <f t="shared" ca="1" si="41"/>
        <v>1680.4972881051849</v>
      </c>
      <c r="H671" s="8">
        <f t="shared" ca="1" si="42"/>
        <v>0.16061333155932189</v>
      </c>
    </row>
    <row r="672" spans="5:8" x14ac:dyDescent="0.3">
      <c r="E672" s="8">
        <f t="shared" si="43"/>
        <v>668</v>
      </c>
      <c r="F672" s="8">
        <f t="shared" ca="1" si="40"/>
        <v>1.0693007940956487</v>
      </c>
      <c r="G672" s="8">
        <f t="shared" ca="1" si="41"/>
        <v>1970.225553492889</v>
      </c>
      <c r="H672" s="8">
        <f t="shared" ca="1" si="42"/>
        <v>0.18830407660258902</v>
      </c>
    </row>
    <row r="673" spans="5:8" x14ac:dyDescent="0.3">
      <c r="E673" s="8">
        <f t="shared" si="43"/>
        <v>669</v>
      </c>
      <c r="F673" s="8">
        <f t="shared" ca="1" si="40"/>
        <v>1.0617236810947104</v>
      </c>
      <c r="G673" s="8">
        <f t="shared" ca="1" si="41"/>
        <v>1986.771126869563</v>
      </c>
      <c r="H673" s="8">
        <f t="shared" ca="1" si="42"/>
        <v>0.18988541784092164</v>
      </c>
    </row>
    <row r="674" spans="5:8" x14ac:dyDescent="0.3">
      <c r="E674" s="8">
        <f t="shared" si="43"/>
        <v>670</v>
      </c>
      <c r="F674" s="8">
        <f t="shared" ca="1" si="40"/>
        <v>1.227554033195396</v>
      </c>
      <c r="G674" s="8">
        <f t="shared" ca="1" si="41"/>
        <v>1624.6598242637033</v>
      </c>
      <c r="H674" s="8">
        <f t="shared" ca="1" si="42"/>
        <v>0.15527667249007965</v>
      </c>
    </row>
    <row r="675" spans="5:8" x14ac:dyDescent="0.3">
      <c r="E675" s="8">
        <f t="shared" si="43"/>
        <v>671</v>
      </c>
      <c r="F675" s="8">
        <f t="shared" ca="1" si="40"/>
        <v>0.96329736037455815</v>
      </c>
      <c r="G675" s="8">
        <f t="shared" ca="1" si="41"/>
        <v>2201.6973014521054</v>
      </c>
      <c r="H675" s="8">
        <f t="shared" ca="1" si="42"/>
        <v>0.21042696181325676</v>
      </c>
    </row>
    <row r="676" spans="5:8" x14ac:dyDescent="0.3">
      <c r="E676" s="8">
        <f t="shared" si="43"/>
        <v>672</v>
      </c>
      <c r="F676" s="8">
        <f t="shared" ca="1" si="40"/>
        <v>1.3917609453257789</v>
      </c>
      <c r="G676" s="8">
        <f t="shared" ca="1" si="41"/>
        <v>1266.0935057629958</v>
      </c>
      <c r="H676" s="8">
        <f t="shared" ca="1" si="42"/>
        <v>0.12100673858004357</v>
      </c>
    </row>
    <row r="677" spans="5:8" x14ac:dyDescent="0.3">
      <c r="E677" s="8">
        <f t="shared" si="43"/>
        <v>673</v>
      </c>
      <c r="F677" s="8">
        <f t="shared" ca="1" si="40"/>
        <v>1.296744830871378</v>
      </c>
      <c r="G677" s="8">
        <f t="shared" ca="1" si="41"/>
        <v>1473.573068688487</v>
      </c>
      <c r="H677" s="8">
        <f t="shared" ca="1" si="42"/>
        <v>0.14083657351509959</v>
      </c>
    </row>
    <row r="678" spans="5:8" x14ac:dyDescent="0.3">
      <c r="E678" s="8">
        <f t="shared" si="43"/>
        <v>674</v>
      </c>
      <c r="F678" s="8">
        <f t="shared" ca="1" si="40"/>
        <v>1.3989754374975178</v>
      </c>
      <c r="G678" s="8">
        <f t="shared" ca="1" si="41"/>
        <v>1250.3397602944824</v>
      </c>
      <c r="H678" s="8">
        <f t="shared" ca="1" si="42"/>
        <v>0.11950107620132681</v>
      </c>
    </row>
    <row r="679" spans="5:8" x14ac:dyDescent="0.3">
      <c r="E679" s="8">
        <f t="shared" si="43"/>
        <v>675</v>
      </c>
      <c r="F679" s="8">
        <f t="shared" ca="1" si="40"/>
        <v>1.1104340163685771</v>
      </c>
      <c r="G679" s="8">
        <f t="shared" ca="1" si="41"/>
        <v>1880.4060210071657</v>
      </c>
      <c r="H679" s="8">
        <f t="shared" ca="1" si="42"/>
        <v>0.17971958530126786</v>
      </c>
    </row>
    <row r="680" spans="5:8" x14ac:dyDescent="0.3">
      <c r="E680" s="8">
        <f t="shared" si="43"/>
        <v>676</v>
      </c>
      <c r="F680" s="8">
        <f t="shared" ca="1" si="40"/>
        <v>1.2183895573218766</v>
      </c>
      <c r="G680" s="8">
        <f t="shared" ca="1" si="41"/>
        <v>1644.6716028930171</v>
      </c>
      <c r="H680" s="8">
        <f t="shared" ca="1" si="42"/>
        <v>0.15718929588961264</v>
      </c>
    </row>
    <row r="681" spans="5:8" x14ac:dyDescent="0.3">
      <c r="E681" s="8">
        <f t="shared" si="43"/>
        <v>677</v>
      </c>
      <c r="F681" s="8">
        <f t="shared" ca="1" si="40"/>
        <v>1.2684556685517765</v>
      </c>
      <c r="G681" s="8">
        <f t="shared" ca="1" si="41"/>
        <v>1535.3459907586268</v>
      </c>
      <c r="H681" s="8">
        <f t="shared" ca="1" si="42"/>
        <v>0.14674051330962695</v>
      </c>
    </row>
    <row r="682" spans="5:8" x14ac:dyDescent="0.3">
      <c r="E682" s="8">
        <f t="shared" si="43"/>
        <v>678</v>
      </c>
      <c r="F682" s="8">
        <f t="shared" ca="1" si="40"/>
        <v>1.316979514620094</v>
      </c>
      <c r="G682" s="8">
        <f t="shared" ca="1" si="41"/>
        <v>1429.3881073876971</v>
      </c>
      <c r="H682" s="8">
        <f t="shared" ca="1" si="42"/>
        <v>0.13661360101191791</v>
      </c>
    </row>
    <row r="683" spans="5:8" x14ac:dyDescent="0.3">
      <c r="E683" s="8">
        <f t="shared" si="43"/>
        <v>679</v>
      </c>
      <c r="F683" s="8">
        <f t="shared" ca="1" si="40"/>
        <v>1.2327648632430457</v>
      </c>
      <c r="G683" s="8">
        <f t="shared" ca="1" si="41"/>
        <v>1613.2813255009041</v>
      </c>
      <c r="H683" s="8">
        <f t="shared" ca="1" si="42"/>
        <v>0.154189173803011</v>
      </c>
    </row>
    <row r="684" spans="5:8" x14ac:dyDescent="0.3">
      <c r="E684" s="8">
        <f t="shared" si="43"/>
        <v>680</v>
      </c>
      <c r="F684" s="8">
        <f t="shared" ca="1" si="40"/>
        <v>1.2178179667635407</v>
      </c>
      <c r="G684" s="8">
        <f t="shared" ca="1" si="41"/>
        <v>1645.9197423259634</v>
      </c>
      <c r="H684" s="8">
        <f t="shared" ca="1" si="42"/>
        <v>0.15730858666978528</v>
      </c>
    </row>
    <row r="685" spans="5:8" x14ac:dyDescent="0.3">
      <c r="E685" s="8">
        <f t="shared" si="43"/>
        <v>681</v>
      </c>
      <c r="F685" s="8">
        <f t="shared" ca="1" si="40"/>
        <v>1.0295301989740464</v>
      </c>
      <c r="G685" s="8">
        <f t="shared" ca="1" si="41"/>
        <v>2057.0696192652977</v>
      </c>
      <c r="H685" s="8">
        <f t="shared" ca="1" si="42"/>
        <v>0.19660418802115051</v>
      </c>
    </row>
    <row r="686" spans="5:8" x14ac:dyDescent="0.3">
      <c r="E686" s="8">
        <f t="shared" si="43"/>
        <v>682</v>
      </c>
      <c r="F686" s="8">
        <f t="shared" ca="1" si="40"/>
        <v>1.1697289403165319</v>
      </c>
      <c r="G686" s="8">
        <f t="shared" ca="1" si="41"/>
        <v>1750.9281427013129</v>
      </c>
      <c r="H686" s="8">
        <f t="shared" ca="1" si="42"/>
        <v>0.16734475224135648</v>
      </c>
    </row>
    <row r="687" spans="5:8" x14ac:dyDescent="0.3">
      <c r="E687" s="8">
        <f t="shared" si="43"/>
        <v>683</v>
      </c>
      <c r="F687" s="8">
        <f t="shared" ca="1" si="40"/>
        <v>1.131513234757815</v>
      </c>
      <c r="G687" s="8">
        <f t="shared" ca="1" si="41"/>
        <v>1834.3769127519661</v>
      </c>
      <c r="H687" s="8">
        <f t="shared" ca="1" si="42"/>
        <v>0.17532035866882978</v>
      </c>
    </row>
    <row r="688" spans="5:8" x14ac:dyDescent="0.3">
      <c r="E688" s="8">
        <f t="shared" si="43"/>
        <v>684</v>
      </c>
      <c r="F688" s="8">
        <f t="shared" ca="1" si="40"/>
        <v>1.2501390269804866</v>
      </c>
      <c r="G688" s="8">
        <f t="shared" ca="1" si="41"/>
        <v>1575.3426672097348</v>
      </c>
      <c r="H688" s="8">
        <f t="shared" ca="1" si="42"/>
        <v>0.15056319097866147</v>
      </c>
    </row>
    <row r="689" spans="5:8" x14ac:dyDescent="0.3">
      <c r="E689" s="8">
        <f t="shared" si="43"/>
        <v>685</v>
      </c>
      <c r="F689" s="8">
        <f t="shared" ca="1" si="40"/>
        <v>1.1730230384960441</v>
      </c>
      <c r="G689" s="8">
        <f t="shared" ca="1" si="41"/>
        <v>1743.7350675640757</v>
      </c>
      <c r="H689" s="8">
        <f t="shared" ca="1" si="42"/>
        <v>0.16665727492727475</v>
      </c>
    </row>
    <row r="690" spans="5:8" x14ac:dyDescent="0.3">
      <c r="E690" s="8">
        <f t="shared" si="43"/>
        <v>686</v>
      </c>
      <c r="F690" s="8">
        <f t="shared" ca="1" si="40"/>
        <v>1.1365945150005246</v>
      </c>
      <c r="G690" s="8">
        <f t="shared" ca="1" si="41"/>
        <v>1823.2813021819795</v>
      </c>
      <c r="H690" s="8">
        <f t="shared" ca="1" si="42"/>
        <v>0.17425989698766889</v>
      </c>
    </row>
    <row r="691" spans="5:8" x14ac:dyDescent="0.3">
      <c r="E691" s="8">
        <f t="shared" si="43"/>
        <v>687</v>
      </c>
      <c r="F691" s="8">
        <f t="shared" ca="1" si="40"/>
        <v>0.94685336040031054</v>
      </c>
      <c r="G691" s="8">
        <f t="shared" ca="1" si="41"/>
        <v>2237.6048308958716</v>
      </c>
      <c r="H691" s="8">
        <f t="shared" ca="1" si="42"/>
        <v>0.21385881973581874</v>
      </c>
    </row>
    <row r="692" spans="5:8" x14ac:dyDescent="0.3">
      <c r="E692" s="8">
        <f t="shared" si="43"/>
        <v>688</v>
      </c>
      <c r="F692" s="8">
        <f t="shared" ca="1" si="40"/>
        <v>1.1958397694921137</v>
      </c>
      <c r="G692" s="8">
        <f t="shared" ca="1" si="41"/>
        <v>1693.9118833427831</v>
      </c>
      <c r="H692" s="8">
        <f t="shared" ca="1" si="42"/>
        <v>0.16189542992858483</v>
      </c>
    </row>
    <row r="693" spans="5:8" x14ac:dyDescent="0.3">
      <c r="E693" s="8">
        <f t="shared" si="43"/>
        <v>689</v>
      </c>
      <c r="F693" s="8">
        <f t="shared" ca="1" si="40"/>
        <v>1.0897385886017485</v>
      </c>
      <c r="G693" s="8">
        <f t="shared" ca="1" si="41"/>
        <v>1925.5970744645067</v>
      </c>
      <c r="H693" s="8">
        <f t="shared" ca="1" si="42"/>
        <v>0.18403871494451943</v>
      </c>
    </row>
    <row r="694" spans="5:8" x14ac:dyDescent="0.3">
      <c r="E694" s="8">
        <f t="shared" si="43"/>
        <v>690</v>
      </c>
      <c r="F694" s="8">
        <f t="shared" ca="1" si="40"/>
        <v>1.0686524891486284</v>
      </c>
      <c r="G694" s="8">
        <f t="shared" ca="1" si="41"/>
        <v>1971.6412083828261</v>
      </c>
      <c r="H694" s="8">
        <f t="shared" ca="1" si="42"/>
        <v>0.18843937765295099</v>
      </c>
    </row>
    <row r="695" spans="5:8" x14ac:dyDescent="0.3">
      <c r="E695" s="8">
        <f t="shared" si="43"/>
        <v>691</v>
      </c>
      <c r="F695" s="8">
        <f t="shared" ca="1" si="40"/>
        <v>0.99094957853829146</v>
      </c>
      <c r="G695" s="8">
        <f t="shared" ca="1" si="41"/>
        <v>2141.315226564323</v>
      </c>
      <c r="H695" s="8">
        <f t="shared" ca="1" si="42"/>
        <v>0.20465595207534387</v>
      </c>
    </row>
    <row r="696" spans="5:8" x14ac:dyDescent="0.3">
      <c r="E696" s="8">
        <f t="shared" si="43"/>
        <v>692</v>
      </c>
      <c r="F696" s="8">
        <f t="shared" ca="1" si="40"/>
        <v>1.4316862841799396</v>
      </c>
      <c r="G696" s="8">
        <f t="shared" ca="1" si="41"/>
        <v>1178.9115377075791</v>
      </c>
      <c r="H696" s="8">
        <f t="shared" ca="1" si="42"/>
        <v>0.11267433219034494</v>
      </c>
    </row>
    <row r="697" spans="5:8" x14ac:dyDescent="0.3">
      <c r="E697" s="8">
        <f t="shared" si="43"/>
        <v>693</v>
      </c>
      <c r="F697" s="8">
        <f t="shared" ca="1" si="40"/>
        <v>1.180426502955698</v>
      </c>
      <c r="G697" s="8">
        <f t="shared" ca="1" si="41"/>
        <v>1727.5686774833639</v>
      </c>
      <c r="H697" s="8">
        <f t="shared" ca="1" si="42"/>
        <v>0.16511217408805925</v>
      </c>
    </row>
    <row r="698" spans="5:8" x14ac:dyDescent="0.3">
      <c r="E698" s="8">
        <f t="shared" si="43"/>
        <v>694</v>
      </c>
      <c r="F698" s="8">
        <f t="shared" ca="1" si="40"/>
        <v>1.1456358784391081</v>
      </c>
      <c r="G698" s="8">
        <f t="shared" ca="1" si="41"/>
        <v>1803.5383549434025</v>
      </c>
      <c r="H698" s="8">
        <f t="shared" ca="1" si="42"/>
        <v>0.17237296711683098</v>
      </c>
    </row>
    <row r="699" spans="5:8" x14ac:dyDescent="0.3">
      <c r="E699" s="8">
        <f t="shared" si="43"/>
        <v>695</v>
      </c>
      <c r="F699" s="8">
        <f t="shared" ca="1" si="40"/>
        <v>0.80665032657265079</v>
      </c>
      <c r="G699" s="8">
        <f t="shared" ca="1" si="41"/>
        <v>2543.7556806377952</v>
      </c>
      <c r="H699" s="8">
        <f t="shared" ca="1" si="42"/>
        <v>0.24311915135599688</v>
      </c>
    </row>
    <row r="700" spans="5:8" x14ac:dyDescent="0.3">
      <c r="E700" s="8">
        <f t="shared" si="43"/>
        <v>696</v>
      </c>
      <c r="F700" s="8">
        <f t="shared" ca="1" si="40"/>
        <v>1.2233544415671087</v>
      </c>
      <c r="G700" s="8">
        <f t="shared" ca="1" si="41"/>
        <v>1633.8301575330222</v>
      </c>
      <c r="H700" s="8">
        <f t="shared" ca="1" si="42"/>
        <v>0.15615312601863923</v>
      </c>
    </row>
    <row r="701" spans="5:8" x14ac:dyDescent="0.3">
      <c r="E701" s="8">
        <f t="shared" si="43"/>
        <v>697</v>
      </c>
      <c r="F701" s="8">
        <f t="shared" ca="1" si="40"/>
        <v>1.1095612174048683</v>
      </c>
      <c r="G701" s="8">
        <f t="shared" ca="1" si="41"/>
        <v>1882.3118866442942</v>
      </c>
      <c r="H701" s="8">
        <f t="shared" ca="1" si="42"/>
        <v>0.17990173818639915</v>
      </c>
    </row>
    <row r="702" spans="5:8" x14ac:dyDescent="0.3">
      <c r="E702" s="8">
        <f t="shared" si="43"/>
        <v>698</v>
      </c>
      <c r="F702" s="8">
        <f t="shared" ca="1" si="40"/>
        <v>0.87551096665637229</v>
      </c>
      <c r="G702" s="8">
        <f t="shared" ca="1" si="41"/>
        <v>2393.3898654349787</v>
      </c>
      <c r="H702" s="8">
        <f t="shared" ca="1" si="42"/>
        <v>0.22874795617270177</v>
      </c>
    </row>
    <row r="703" spans="5:8" x14ac:dyDescent="0.3">
      <c r="E703" s="8">
        <f t="shared" si="43"/>
        <v>699</v>
      </c>
      <c r="F703" s="8">
        <f t="shared" ca="1" si="40"/>
        <v>1.0710073742578032</v>
      </c>
      <c r="G703" s="8">
        <f t="shared" ca="1" si="41"/>
        <v>1966.4990223863042</v>
      </c>
      <c r="H703" s="8">
        <f t="shared" ca="1" si="42"/>
        <v>0.18794791382837658</v>
      </c>
    </row>
    <row r="704" spans="5:8" x14ac:dyDescent="0.3">
      <c r="E704" s="8">
        <f t="shared" si="43"/>
        <v>700</v>
      </c>
      <c r="F704" s="8">
        <f t="shared" ca="1" si="40"/>
        <v>1.0934274062430078</v>
      </c>
      <c r="G704" s="8">
        <f t="shared" ca="1" si="41"/>
        <v>1917.5420800426118</v>
      </c>
      <c r="H704" s="8">
        <f t="shared" ca="1" si="42"/>
        <v>0.18326885979571939</v>
      </c>
    </row>
    <row r="705" spans="5:8" x14ac:dyDescent="0.3">
      <c r="E705" s="8">
        <f t="shared" si="43"/>
        <v>701</v>
      </c>
      <c r="F705" s="8">
        <f t="shared" ca="1" si="40"/>
        <v>1.2489951681807274</v>
      </c>
      <c r="G705" s="8">
        <f t="shared" ca="1" si="41"/>
        <v>1577.8404258813589</v>
      </c>
      <c r="H705" s="8">
        <f t="shared" ca="1" si="42"/>
        <v>0.15080191397126627</v>
      </c>
    </row>
    <row r="706" spans="5:8" x14ac:dyDescent="0.3">
      <c r="E706" s="8">
        <f t="shared" si="43"/>
        <v>702</v>
      </c>
      <c r="F706" s="8">
        <f t="shared" ca="1" si="40"/>
        <v>1.0856671750357898</v>
      </c>
      <c r="G706" s="8">
        <f t="shared" ca="1" si="41"/>
        <v>1934.4875149124734</v>
      </c>
      <c r="H706" s="8">
        <f t="shared" ca="1" si="42"/>
        <v>0.18488841774944792</v>
      </c>
    </row>
    <row r="707" spans="5:8" x14ac:dyDescent="0.3">
      <c r="E707" s="8">
        <f t="shared" si="43"/>
        <v>703</v>
      </c>
      <c r="F707" s="8">
        <f t="shared" ca="1" si="40"/>
        <v>1.049039597025117</v>
      </c>
      <c r="G707" s="8">
        <f t="shared" ca="1" si="41"/>
        <v>2014.4684099460287</v>
      </c>
      <c r="H707" s="8">
        <f t="shared" ca="1" si="42"/>
        <v>0.19253258242817822</v>
      </c>
    </row>
    <row r="708" spans="5:8" x14ac:dyDescent="0.3">
      <c r="E708" s="8">
        <f t="shared" si="43"/>
        <v>704</v>
      </c>
      <c r="F708" s="8">
        <f t="shared" ca="1" si="40"/>
        <v>1.1883233761569887</v>
      </c>
      <c r="G708" s="8">
        <f t="shared" ca="1" si="41"/>
        <v>1710.3248677391955</v>
      </c>
      <c r="H708" s="8">
        <f t="shared" ca="1" si="42"/>
        <v>0.16346409899065234</v>
      </c>
    </row>
    <row r="709" spans="5:8" x14ac:dyDescent="0.3">
      <c r="E709" s="8">
        <f t="shared" si="43"/>
        <v>705</v>
      </c>
      <c r="F709" s="8">
        <f t="shared" ref="F709:F772" ca="1" si="44">_xlfn.NORM.INV(RAND(), $C$9, $C$9 * $C$10)</f>
        <v>1.1377438042770331</v>
      </c>
      <c r="G709" s="8">
        <f t="shared" ref="G709:G772" ca="1" si="45">$C$7 - ($C$6 + ($C$8 * $C$11)) - (($C$6 + ($C$8 * $C$11)) * (1 - $C$12) * (F709 - $C$13))</f>
        <v>1820.7716853855634</v>
      </c>
      <c r="H709" s="8">
        <f t="shared" ref="H709:H772" ca="1" si="46">G709 / $C$7</f>
        <v>0.17402004065617541</v>
      </c>
    </row>
    <row r="710" spans="5:8" x14ac:dyDescent="0.3">
      <c r="E710" s="8">
        <f t="shared" ref="E710:E773" si="47">ROW()-4</f>
        <v>706</v>
      </c>
      <c r="F710" s="8">
        <f t="shared" ca="1" si="44"/>
        <v>1.3629520767780336</v>
      </c>
      <c r="G710" s="8">
        <f t="shared" ca="1" si="45"/>
        <v>1329.0012713455662</v>
      </c>
      <c r="H710" s="8">
        <f t="shared" ca="1" si="46"/>
        <v>0.12701914091040487</v>
      </c>
    </row>
    <row r="711" spans="5:8" x14ac:dyDescent="0.3">
      <c r="E711" s="8">
        <f t="shared" si="47"/>
        <v>707</v>
      </c>
      <c r="F711" s="8">
        <f t="shared" ca="1" si="44"/>
        <v>1.2768750179101471</v>
      </c>
      <c r="G711" s="8">
        <f t="shared" ca="1" si="45"/>
        <v>1516.9612890159549</v>
      </c>
      <c r="H711" s="8">
        <f t="shared" ca="1" si="46"/>
        <v>0.14498339759303783</v>
      </c>
    </row>
    <row r="712" spans="5:8" x14ac:dyDescent="0.3">
      <c r="E712" s="8">
        <f t="shared" si="47"/>
        <v>708</v>
      </c>
      <c r="F712" s="8">
        <f t="shared" ca="1" si="44"/>
        <v>1.3722793801096116</v>
      </c>
      <c r="G712" s="8">
        <f t="shared" ca="1" si="45"/>
        <v>1308.6339386081493</v>
      </c>
      <c r="H712" s="8">
        <f t="shared" ca="1" si="46"/>
        <v>0.12507253546861791</v>
      </c>
    </row>
    <row r="713" spans="5:8" x14ac:dyDescent="0.3">
      <c r="E713" s="8">
        <f t="shared" si="47"/>
        <v>709</v>
      </c>
      <c r="F713" s="8">
        <f t="shared" ca="1" si="44"/>
        <v>1.3129267425816153</v>
      </c>
      <c r="G713" s="8">
        <f t="shared" ca="1" si="45"/>
        <v>1438.23784173022</v>
      </c>
      <c r="H713" s="8">
        <f t="shared" ca="1" si="46"/>
        <v>0.13745941333558445</v>
      </c>
    </row>
    <row r="714" spans="5:8" x14ac:dyDescent="0.3">
      <c r="E714" s="8">
        <f t="shared" si="47"/>
        <v>710</v>
      </c>
      <c r="F714" s="8">
        <f t="shared" ca="1" si="44"/>
        <v>1.0867291715787259</v>
      </c>
      <c r="G714" s="8">
        <f t="shared" ca="1" si="45"/>
        <v>1932.1685127114044</v>
      </c>
      <c r="H714" s="8">
        <f t="shared" ca="1" si="46"/>
        <v>0.18466677938558773</v>
      </c>
    </row>
    <row r="715" spans="5:8" x14ac:dyDescent="0.3">
      <c r="E715" s="8">
        <f t="shared" si="47"/>
        <v>711</v>
      </c>
      <c r="F715" s="8">
        <f t="shared" ca="1" si="44"/>
        <v>1.3369255276276826</v>
      </c>
      <c r="G715" s="8">
        <f t="shared" ca="1" si="45"/>
        <v>1385.8334947340015</v>
      </c>
      <c r="H715" s="8">
        <f t="shared" ca="1" si="46"/>
        <v>0.13245087400688155</v>
      </c>
    </row>
    <row r="716" spans="5:8" x14ac:dyDescent="0.3">
      <c r="E716" s="8">
        <f t="shared" si="47"/>
        <v>712</v>
      </c>
      <c r="F716" s="8">
        <f t="shared" ca="1" si="44"/>
        <v>1.2393341985911244</v>
      </c>
      <c r="G716" s="8">
        <f t="shared" ca="1" si="45"/>
        <v>1598.9363606014558</v>
      </c>
      <c r="H716" s="8">
        <f t="shared" ca="1" si="46"/>
        <v>0.1528181554622437</v>
      </c>
    </row>
    <row r="717" spans="5:8" x14ac:dyDescent="0.3">
      <c r="E717" s="8">
        <f t="shared" si="47"/>
        <v>713</v>
      </c>
      <c r="F717" s="8">
        <f t="shared" ca="1" si="44"/>
        <v>1.1866459018306996</v>
      </c>
      <c r="G717" s="8">
        <f t="shared" ca="1" si="45"/>
        <v>1713.9878426149385</v>
      </c>
      <c r="H717" s="8">
        <f t="shared" ca="1" si="46"/>
        <v>0.16381418738554321</v>
      </c>
    </row>
    <row r="718" spans="5:8" x14ac:dyDescent="0.3">
      <c r="E718" s="8">
        <f t="shared" si="47"/>
        <v>714</v>
      </c>
      <c r="F718" s="8">
        <f t="shared" ca="1" si="44"/>
        <v>1.4178054906566206</v>
      </c>
      <c r="G718" s="8">
        <f t="shared" ca="1" si="45"/>
        <v>1209.2219854649366</v>
      </c>
      <c r="H718" s="8">
        <f t="shared" ca="1" si="46"/>
        <v>0.11557124968603044</v>
      </c>
    </row>
    <row r="719" spans="5:8" x14ac:dyDescent="0.3">
      <c r="E719" s="8">
        <f t="shared" si="47"/>
        <v>715</v>
      </c>
      <c r="F719" s="8">
        <f t="shared" ca="1" si="44"/>
        <v>1.1857615887943245</v>
      </c>
      <c r="G719" s="8">
        <f t="shared" ca="1" si="45"/>
        <v>1715.9188506689932</v>
      </c>
      <c r="H719" s="8">
        <f t="shared" ca="1" si="46"/>
        <v>0.16399874325422853</v>
      </c>
    </row>
    <row r="720" spans="5:8" x14ac:dyDescent="0.3">
      <c r="E720" s="8">
        <f t="shared" si="47"/>
        <v>716</v>
      </c>
      <c r="F720" s="8">
        <f t="shared" ca="1" si="44"/>
        <v>1.0062239814724547</v>
      </c>
      <c r="G720" s="8">
        <f t="shared" ca="1" si="45"/>
        <v>2107.9616584572109</v>
      </c>
      <c r="H720" s="8">
        <f t="shared" ca="1" si="46"/>
        <v>0.20146818870851677</v>
      </c>
    </row>
    <row r="721" spans="5:8" x14ac:dyDescent="0.3">
      <c r="E721" s="8">
        <f t="shared" si="47"/>
        <v>717</v>
      </c>
      <c r="F721" s="8">
        <f t="shared" ca="1" si="44"/>
        <v>1.2264211724082421</v>
      </c>
      <c r="G721" s="8">
        <f t="shared" ca="1" si="45"/>
        <v>1627.1335674000522</v>
      </c>
      <c r="H721" s="8">
        <f t="shared" ca="1" si="46"/>
        <v>0.15551310020071224</v>
      </c>
    </row>
    <row r="722" spans="5:8" x14ac:dyDescent="0.3">
      <c r="E722" s="8">
        <f t="shared" si="47"/>
        <v>718</v>
      </c>
      <c r="F722" s="8">
        <f t="shared" ca="1" si="44"/>
        <v>1.2634509186578762</v>
      </c>
      <c r="G722" s="8">
        <f t="shared" ca="1" si="45"/>
        <v>1546.2744877456951</v>
      </c>
      <c r="H722" s="8">
        <f t="shared" ca="1" si="46"/>
        <v>0.14778500312966597</v>
      </c>
    </row>
    <row r="723" spans="5:8" x14ac:dyDescent="0.3">
      <c r="E723" s="8">
        <f t="shared" si="47"/>
        <v>719</v>
      </c>
      <c r="F723" s="8">
        <f t="shared" ca="1" si="44"/>
        <v>0.94105930665090121</v>
      </c>
      <c r="G723" s="8">
        <f t="shared" ca="1" si="45"/>
        <v>2250.2568715144257</v>
      </c>
      <c r="H723" s="8">
        <f t="shared" ca="1" si="46"/>
        <v>0.21506803703664587</v>
      </c>
    </row>
    <row r="724" spans="5:8" x14ac:dyDescent="0.3">
      <c r="E724" s="8">
        <f t="shared" si="47"/>
        <v>720</v>
      </c>
      <c r="F724" s="8">
        <f t="shared" ca="1" si="44"/>
        <v>1.241274168571358</v>
      </c>
      <c r="G724" s="8">
        <f t="shared" ca="1" si="45"/>
        <v>1594.7001936533684</v>
      </c>
      <c r="H724" s="8">
        <f t="shared" ca="1" si="46"/>
        <v>0.1524132843021474</v>
      </c>
    </row>
    <row r="725" spans="5:8" x14ac:dyDescent="0.3">
      <c r="E725" s="8">
        <f t="shared" si="47"/>
        <v>721</v>
      </c>
      <c r="F725" s="8">
        <f t="shared" ca="1" si="44"/>
        <v>1.0815937844411232</v>
      </c>
      <c r="G725" s="8">
        <f t="shared" ca="1" si="45"/>
        <v>1943.3822724497522</v>
      </c>
      <c r="H725" s="8">
        <f t="shared" ca="1" si="46"/>
        <v>0.18573853315968195</v>
      </c>
    </row>
    <row r="726" spans="5:8" x14ac:dyDescent="0.3">
      <c r="E726" s="8">
        <f t="shared" si="47"/>
        <v>722</v>
      </c>
      <c r="F726" s="8">
        <f t="shared" ca="1" si="44"/>
        <v>1.226868673116525</v>
      </c>
      <c r="G726" s="8">
        <f t="shared" ca="1" si="45"/>
        <v>1626.1563936659279</v>
      </c>
      <c r="H726" s="8">
        <f t="shared" ca="1" si="46"/>
        <v>0.15541970693548007</v>
      </c>
    </row>
    <row r="727" spans="5:8" x14ac:dyDescent="0.3">
      <c r="E727" s="8">
        <f t="shared" si="47"/>
        <v>723</v>
      </c>
      <c r="F727" s="8">
        <f t="shared" ca="1" si="44"/>
        <v>1.1189293805410023</v>
      </c>
      <c r="G727" s="8">
        <f t="shared" ca="1" si="45"/>
        <v>1861.8553314161536</v>
      </c>
      <c r="H727" s="8">
        <f t="shared" ca="1" si="46"/>
        <v>0.17794660531550738</v>
      </c>
    </row>
    <row r="728" spans="5:8" x14ac:dyDescent="0.3">
      <c r="E728" s="8">
        <f t="shared" si="47"/>
        <v>724</v>
      </c>
      <c r="F728" s="8">
        <f t="shared" ca="1" si="44"/>
        <v>1.256874281361019</v>
      </c>
      <c r="G728" s="8">
        <f t="shared" ca="1" si="45"/>
        <v>1560.6353973630448</v>
      </c>
      <c r="H728" s="8">
        <f t="shared" ca="1" si="46"/>
        <v>0.14915754538497991</v>
      </c>
    </row>
    <row r="729" spans="5:8" x14ac:dyDescent="0.3">
      <c r="E729" s="8">
        <f t="shared" si="47"/>
        <v>725</v>
      </c>
      <c r="F729" s="8">
        <f t="shared" ca="1" si="44"/>
        <v>1.133334778489214</v>
      </c>
      <c r="G729" s="8">
        <f t="shared" ca="1" si="45"/>
        <v>1830.3993443214899</v>
      </c>
      <c r="H729" s="8">
        <f t="shared" ca="1" si="46"/>
        <v>0.17494020303177768</v>
      </c>
    </row>
    <row r="730" spans="5:8" x14ac:dyDescent="0.3">
      <c r="E730" s="8">
        <f t="shared" si="47"/>
        <v>726</v>
      </c>
      <c r="F730" s="8">
        <f t="shared" ca="1" si="44"/>
        <v>1.3232070484778009</v>
      </c>
      <c r="G730" s="8">
        <f t="shared" ca="1" si="45"/>
        <v>1415.7895087676618</v>
      </c>
      <c r="H730" s="8">
        <f t="shared" ca="1" si="46"/>
        <v>0.13531391654092151</v>
      </c>
    </row>
    <row r="731" spans="5:8" x14ac:dyDescent="0.3">
      <c r="E731" s="8">
        <f t="shared" si="47"/>
        <v>727</v>
      </c>
      <c r="F731" s="8">
        <f t="shared" ca="1" si="44"/>
        <v>0.97244664220507548</v>
      </c>
      <c r="G731" s="8">
        <f t="shared" ca="1" si="45"/>
        <v>2181.718700914942</v>
      </c>
      <c r="H731" s="8">
        <f t="shared" ca="1" si="46"/>
        <v>0.20851750940599656</v>
      </c>
    </row>
    <row r="732" spans="5:8" x14ac:dyDescent="0.3">
      <c r="E732" s="8">
        <f t="shared" si="47"/>
        <v>728</v>
      </c>
      <c r="F732" s="8">
        <f t="shared" ca="1" si="44"/>
        <v>0.93470724525932258</v>
      </c>
      <c r="G732" s="8">
        <f t="shared" ca="1" si="45"/>
        <v>2264.1273915706115</v>
      </c>
      <c r="H732" s="8">
        <f t="shared" ca="1" si="46"/>
        <v>0.21639371036706601</v>
      </c>
    </row>
    <row r="733" spans="5:8" x14ac:dyDescent="0.3">
      <c r="E733" s="8">
        <f t="shared" si="47"/>
        <v>729</v>
      </c>
      <c r="F733" s="8">
        <f t="shared" ca="1" si="44"/>
        <v>1.2611048568477676</v>
      </c>
      <c r="G733" s="8">
        <f t="shared" ca="1" si="45"/>
        <v>1551.3974069657934</v>
      </c>
      <c r="H733" s="8">
        <f t="shared" ca="1" si="46"/>
        <v>0.14827462553433943</v>
      </c>
    </row>
    <row r="734" spans="5:8" x14ac:dyDescent="0.3">
      <c r="E734" s="8">
        <f t="shared" si="47"/>
        <v>730</v>
      </c>
      <c r="F734" s="8">
        <f t="shared" ca="1" si="44"/>
        <v>1.2311537361212292</v>
      </c>
      <c r="G734" s="8">
        <f t="shared" ca="1" si="45"/>
        <v>1616.7994229622807</v>
      </c>
      <c r="H734" s="8">
        <f t="shared" ca="1" si="46"/>
        <v>0.15452541555598592</v>
      </c>
    </row>
    <row r="735" spans="5:8" x14ac:dyDescent="0.3">
      <c r="E735" s="8">
        <f t="shared" si="47"/>
        <v>731</v>
      </c>
      <c r="F735" s="8">
        <f t="shared" ca="1" si="44"/>
        <v>1.2398569096106977</v>
      </c>
      <c r="G735" s="8">
        <f t="shared" ca="1" si="45"/>
        <v>1597.79495575134</v>
      </c>
      <c r="H735" s="8">
        <f t="shared" ca="1" si="46"/>
        <v>0.15270906582732868</v>
      </c>
    </row>
    <row r="736" spans="5:8" x14ac:dyDescent="0.3">
      <c r="E736" s="8">
        <f t="shared" si="47"/>
        <v>732</v>
      </c>
      <c r="F736" s="8">
        <f t="shared" ca="1" si="44"/>
        <v>1.0802610983986496</v>
      </c>
      <c r="G736" s="8">
        <f t="shared" ca="1" si="45"/>
        <v>1946.2923590092487</v>
      </c>
      <c r="H736" s="8">
        <f t="shared" ca="1" si="46"/>
        <v>0.18601666434189512</v>
      </c>
    </row>
    <row r="737" spans="5:8" x14ac:dyDescent="0.3">
      <c r="E737" s="8">
        <f t="shared" si="47"/>
        <v>733</v>
      </c>
      <c r="F737" s="8">
        <f t="shared" ca="1" si="44"/>
        <v>1.0854452939199284</v>
      </c>
      <c r="G737" s="8">
        <f t="shared" ca="1" si="45"/>
        <v>1934.9720200640963</v>
      </c>
      <c r="H737" s="8">
        <f t="shared" ca="1" si="46"/>
        <v>0.18493472427258878</v>
      </c>
    </row>
    <row r="738" spans="5:8" x14ac:dyDescent="0.3">
      <c r="E738" s="8">
        <f t="shared" si="47"/>
        <v>734</v>
      </c>
      <c r="F738" s="8">
        <f t="shared" ca="1" si="44"/>
        <v>1.3420644245084925</v>
      </c>
      <c r="G738" s="8">
        <f t="shared" ca="1" si="45"/>
        <v>1374.6120710326429</v>
      </c>
      <c r="H738" s="8">
        <f t="shared" ca="1" si="46"/>
        <v>0.13137838775041985</v>
      </c>
    </row>
    <row r="739" spans="5:8" x14ac:dyDescent="0.3">
      <c r="E739" s="8">
        <f t="shared" si="47"/>
        <v>735</v>
      </c>
      <c r="F739" s="8">
        <f t="shared" ca="1" si="44"/>
        <v>1.2863025380202473</v>
      </c>
      <c r="G739" s="8">
        <f t="shared" ca="1" si="45"/>
        <v>1496.3751204155374</v>
      </c>
      <c r="H739" s="8">
        <f t="shared" ca="1" si="46"/>
        <v>0.14301587693926573</v>
      </c>
    </row>
    <row r="740" spans="5:8" x14ac:dyDescent="0.3">
      <c r="E740" s="8">
        <f t="shared" si="47"/>
        <v>736</v>
      </c>
      <c r="F740" s="8">
        <f t="shared" ca="1" si="44"/>
        <v>1.1561888085290228</v>
      </c>
      <c r="G740" s="8">
        <f t="shared" ca="1" si="45"/>
        <v>1780.4947129758123</v>
      </c>
      <c r="H740" s="8">
        <f t="shared" ca="1" si="46"/>
        <v>0.17017057373371045</v>
      </c>
    </row>
    <row r="741" spans="5:8" x14ac:dyDescent="0.3">
      <c r="E741" s="8">
        <f t="shared" si="47"/>
        <v>737</v>
      </c>
      <c r="F741" s="8">
        <f t="shared" ca="1" si="44"/>
        <v>1.0299503274152402</v>
      </c>
      <c r="G741" s="8">
        <f t="shared" ca="1" si="45"/>
        <v>2056.1522162978958</v>
      </c>
      <c r="H741" s="8">
        <f t="shared" ca="1" si="46"/>
        <v>0.19651650733994991</v>
      </c>
    </row>
    <row r="742" spans="5:8" x14ac:dyDescent="0.3">
      <c r="E742" s="8">
        <f t="shared" si="47"/>
        <v>738</v>
      </c>
      <c r="F742" s="8">
        <f t="shared" ca="1" si="44"/>
        <v>1.4010998301304916</v>
      </c>
      <c r="G742" s="8">
        <f t="shared" ca="1" si="45"/>
        <v>1245.7008834313053</v>
      </c>
      <c r="H742" s="8">
        <f t="shared" ca="1" si="46"/>
        <v>0.11905771608824479</v>
      </c>
    </row>
    <row r="743" spans="5:8" x14ac:dyDescent="0.3">
      <c r="E743" s="8">
        <f t="shared" si="47"/>
        <v>739</v>
      </c>
      <c r="F743" s="8">
        <f t="shared" ca="1" si="44"/>
        <v>1.2192433314854103</v>
      </c>
      <c r="G743" s="8">
        <f t="shared" ca="1" si="45"/>
        <v>1642.8072802851707</v>
      </c>
      <c r="H743" s="8">
        <f t="shared" ca="1" si="46"/>
        <v>0.1570111134746412</v>
      </c>
    </row>
    <row r="744" spans="5:8" x14ac:dyDescent="0.3">
      <c r="E744" s="8">
        <f t="shared" si="47"/>
        <v>740</v>
      </c>
      <c r="F744" s="8">
        <f t="shared" ca="1" si="44"/>
        <v>1.2627012692934676</v>
      </c>
      <c r="G744" s="8">
        <f t="shared" ca="1" si="45"/>
        <v>1547.9114408390517</v>
      </c>
      <c r="H744" s="8">
        <f t="shared" ca="1" si="46"/>
        <v>0.14794145472991033</v>
      </c>
    </row>
    <row r="745" spans="5:8" x14ac:dyDescent="0.3">
      <c r="E745" s="8">
        <f t="shared" si="47"/>
        <v>741</v>
      </c>
      <c r="F745" s="8">
        <f t="shared" ca="1" si="44"/>
        <v>0.86526556035833613</v>
      </c>
      <c r="G745" s="8">
        <f t="shared" ca="1" si="45"/>
        <v>2415.7619907625281</v>
      </c>
      <c r="H745" s="8">
        <f t="shared" ca="1" si="46"/>
        <v>0.23088616943157106</v>
      </c>
    </row>
    <row r="746" spans="5:8" x14ac:dyDescent="0.3">
      <c r="E746" s="8">
        <f t="shared" si="47"/>
        <v>742</v>
      </c>
      <c r="F746" s="8">
        <f t="shared" ca="1" si="44"/>
        <v>1.1405690426592561</v>
      </c>
      <c r="G746" s="8">
        <f t="shared" ca="1" si="45"/>
        <v>1814.6024242231817</v>
      </c>
      <c r="H746" s="8">
        <f t="shared" ca="1" si="46"/>
        <v>0.17343041424287314</v>
      </c>
    </row>
    <row r="747" spans="5:8" x14ac:dyDescent="0.3">
      <c r="E747" s="8">
        <f t="shared" si="47"/>
        <v>743</v>
      </c>
      <c r="F747" s="8">
        <f t="shared" ca="1" si="44"/>
        <v>1.267555832870723</v>
      </c>
      <c r="G747" s="8">
        <f t="shared" ca="1" si="45"/>
        <v>1537.3108944476674</v>
      </c>
      <c r="H747" s="8">
        <f t="shared" ca="1" si="46"/>
        <v>0.14692830874965759</v>
      </c>
    </row>
    <row r="748" spans="5:8" x14ac:dyDescent="0.3">
      <c r="E748" s="8">
        <f t="shared" si="47"/>
        <v>744</v>
      </c>
      <c r="F748" s="8">
        <f t="shared" ca="1" si="44"/>
        <v>1.1516856762393222</v>
      </c>
      <c r="G748" s="8">
        <f t="shared" ca="1" si="45"/>
        <v>1790.3278652219101</v>
      </c>
      <c r="H748" s="8">
        <f t="shared" ca="1" si="46"/>
        <v>0.17111037610837332</v>
      </c>
    </row>
    <row r="749" spans="5:8" x14ac:dyDescent="0.3">
      <c r="E749" s="8">
        <f t="shared" si="47"/>
        <v>745</v>
      </c>
      <c r="F749" s="8">
        <f t="shared" ca="1" si="44"/>
        <v>1.4083012998357034</v>
      </c>
      <c r="G749" s="8">
        <f t="shared" ca="1" si="45"/>
        <v>1229.975574146262</v>
      </c>
      <c r="H749" s="8">
        <f t="shared" ca="1" si="46"/>
        <v>0.11755477149443391</v>
      </c>
    </row>
    <row r="750" spans="5:8" x14ac:dyDescent="0.3">
      <c r="E750" s="8">
        <f t="shared" si="47"/>
        <v>746</v>
      </c>
      <c r="F750" s="8">
        <f t="shared" ca="1" si="44"/>
        <v>1.055060728280069</v>
      </c>
      <c r="G750" s="8">
        <f t="shared" ca="1" si="45"/>
        <v>2001.320517209434</v>
      </c>
      <c r="H750" s="8">
        <f t="shared" ca="1" si="46"/>
        <v>0.19127597411922337</v>
      </c>
    </row>
    <row r="751" spans="5:8" x14ac:dyDescent="0.3">
      <c r="E751" s="8">
        <f t="shared" si="47"/>
        <v>747</v>
      </c>
      <c r="F751" s="8">
        <f t="shared" ca="1" si="44"/>
        <v>1.0906016402496388</v>
      </c>
      <c r="G751" s="8">
        <f t="shared" ca="1" si="45"/>
        <v>1923.7124933098823</v>
      </c>
      <c r="H751" s="8">
        <f t="shared" ca="1" si="46"/>
        <v>0.18385859632131152</v>
      </c>
    </row>
    <row r="752" spans="5:8" x14ac:dyDescent="0.3">
      <c r="E752" s="8">
        <f t="shared" si="47"/>
        <v>748</v>
      </c>
      <c r="F752" s="8">
        <f t="shared" ca="1" si="44"/>
        <v>1.4044094213693115</v>
      </c>
      <c r="G752" s="8">
        <f t="shared" ca="1" si="45"/>
        <v>1238.4739772624371</v>
      </c>
      <c r="H752" s="8">
        <f t="shared" ca="1" si="46"/>
        <v>0.11836700537727583</v>
      </c>
    </row>
    <row r="753" spans="5:8" x14ac:dyDescent="0.3">
      <c r="E753" s="8">
        <f t="shared" si="47"/>
        <v>749</v>
      </c>
      <c r="F753" s="8">
        <f t="shared" ca="1" si="44"/>
        <v>1.3330184205053719</v>
      </c>
      <c r="G753" s="8">
        <f t="shared" ca="1" si="45"/>
        <v>1394.3651515239571</v>
      </c>
      <c r="H753" s="8">
        <f t="shared" ca="1" si="46"/>
        <v>0.13326628610570174</v>
      </c>
    </row>
    <row r="754" spans="5:8" x14ac:dyDescent="0.3">
      <c r="E754" s="8">
        <f t="shared" si="47"/>
        <v>750</v>
      </c>
      <c r="F754" s="8">
        <f t="shared" ca="1" si="44"/>
        <v>1.2673992556016449</v>
      </c>
      <c r="G754" s="8">
        <f t="shared" ca="1" si="45"/>
        <v>1537.652800486858</v>
      </c>
      <c r="H754" s="8">
        <f t="shared" ca="1" si="46"/>
        <v>0.14696098637932314</v>
      </c>
    </row>
    <row r="755" spans="5:8" x14ac:dyDescent="0.3">
      <c r="E755" s="8">
        <f t="shared" si="47"/>
        <v>751</v>
      </c>
      <c r="F755" s="8">
        <f t="shared" ca="1" si="44"/>
        <v>1.1162422340989304</v>
      </c>
      <c r="G755" s="8">
        <f t="shared" ca="1" si="45"/>
        <v>1867.7230515657229</v>
      </c>
      <c r="H755" s="8">
        <f t="shared" ca="1" si="46"/>
        <v>0.1785074119818143</v>
      </c>
    </row>
    <row r="756" spans="5:8" x14ac:dyDescent="0.3">
      <c r="E756" s="8">
        <f t="shared" si="47"/>
        <v>752</v>
      </c>
      <c r="F756" s="8">
        <f t="shared" ca="1" si="44"/>
        <v>1.4614980705783172</v>
      </c>
      <c r="G756" s="8">
        <f t="shared" ca="1" si="45"/>
        <v>1113.8137756334222</v>
      </c>
      <c r="H756" s="8">
        <f t="shared" ca="1" si="46"/>
        <v>0.10645262120170336</v>
      </c>
    </row>
    <row r="757" spans="5:8" x14ac:dyDescent="0.3">
      <c r="E757" s="8">
        <f t="shared" si="47"/>
        <v>753</v>
      </c>
      <c r="F757" s="8">
        <f t="shared" ca="1" si="44"/>
        <v>1.0042710733837446</v>
      </c>
      <c r="G757" s="8">
        <f t="shared" ca="1" si="45"/>
        <v>2112.2260773824205</v>
      </c>
      <c r="H757" s="8">
        <f t="shared" ca="1" si="46"/>
        <v>0.20187576004801877</v>
      </c>
    </row>
    <row r="758" spans="5:8" x14ac:dyDescent="0.3">
      <c r="E758" s="8">
        <f t="shared" si="47"/>
        <v>754</v>
      </c>
      <c r="F758" s="8">
        <f t="shared" ca="1" si="44"/>
        <v>1.0502779305677363</v>
      </c>
      <c r="G758" s="8">
        <f t="shared" ca="1" si="45"/>
        <v>2011.7643538640266</v>
      </c>
      <c r="H758" s="8">
        <f t="shared" ca="1" si="46"/>
        <v>0.19227414258472966</v>
      </c>
    </row>
    <row r="759" spans="5:8" x14ac:dyDescent="0.3">
      <c r="E759" s="8">
        <f t="shared" si="47"/>
        <v>755</v>
      </c>
      <c r="F759" s="8">
        <f t="shared" ca="1" si="44"/>
        <v>1.1979862948915434</v>
      </c>
      <c r="G759" s="8">
        <f t="shared" ca="1" si="45"/>
        <v>1689.2246768174534</v>
      </c>
      <c r="H759" s="8">
        <f t="shared" ca="1" si="46"/>
        <v>0.16144745071370098</v>
      </c>
    </row>
    <row r="760" spans="5:8" x14ac:dyDescent="0.3">
      <c r="E760" s="8">
        <f t="shared" si="47"/>
        <v>756</v>
      </c>
      <c r="F760" s="8">
        <f t="shared" ca="1" si="44"/>
        <v>1.3379213714278837</v>
      </c>
      <c r="G760" s="8">
        <f t="shared" ca="1" si="45"/>
        <v>1383.6589453157874</v>
      </c>
      <c r="H760" s="8">
        <f t="shared" ca="1" si="46"/>
        <v>0.13224304170083029</v>
      </c>
    </row>
    <row r="761" spans="5:8" x14ac:dyDescent="0.3">
      <c r="E761" s="8">
        <f t="shared" si="47"/>
        <v>757</v>
      </c>
      <c r="F761" s="8">
        <f t="shared" ca="1" si="44"/>
        <v>1.0634506743976351</v>
      </c>
      <c r="G761" s="8">
        <f t="shared" ca="1" si="45"/>
        <v>1983.000021118464</v>
      </c>
      <c r="H761" s="8">
        <f t="shared" ca="1" si="46"/>
        <v>0.18952499485027852</v>
      </c>
    </row>
    <row r="762" spans="5:8" x14ac:dyDescent="0.3">
      <c r="E762" s="8">
        <f t="shared" si="47"/>
        <v>758</v>
      </c>
      <c r="F762" s="8">
        <f t="shared" ca="1" si="44"/>
        <v>1.3937526064258408</v>
      </c>
      <c r="G762" s="8">
        <f t="shared" ca="1" si="45"/>
        <v>1261.7444647933735</v>
      </c>
      <c r="H762" s="8">
        <f t="shared" ca="1" si="46"/>
        <v>0.12059107949855428</v>
      </c>
    </row>
    <row r="763" spans="5:8" x14ac:dyDescent="0.3">
      <c r="E763" s="8">
        <f t="shared" si="47"/>
        <v>759</v>
      </c>
      <c r="F763" s="8">
        <f t="shared" ca="1" si="44"/>
        <v>1.0985681091927102</v>
      </c>
      <c r="G763" s="8">
        <f t="shared" ca="1" si="45"/>
        <v>1906.316712564068</v>
      </c>
      <c r="H763" s="8">
        <f t="shared" ca="1" si="46"/>
        <v>0.18219599661321495</v>
      </c>
    </row>
    <row r="764" spans="5:8" x14ac:dyDescent="0.3">
      <c r="E764" s="8">
        <f t="shared" si="47"/>
        <v>760</v>
      </c>
      <c r="F764" s="8">
        <f t="shared" ca="1" si="44"/>
        <v>1.2014656333664677</v>
      </c>
      <c r="G764" s="8">
        <f t="shared" ca="1" si="45"/>
        <v>1681.6271063401468</v>
      </c>
      <c r="H764" s="8">
        <f t="shared" ca="1" si="46"/>
        <v>0.16072131380485014</v>
      </c>
    </row>
    <row r="765" spans="5:8" x14ac:dyDescent="0.3">
      <c r="E765" s="8">
        <f t="shared" si="47"/>
        <v>761</v>
      </c>
      <c r="F765" s="8">
        <f t="shared" ca="1" si="44"/>
        <v>1.1207247240189391</v>
      </c>
      <c r="G765" s="8">
        <f t="shared" ca="1" si="45"/>
        <v>1857.934974514144</v>
      </c>
      <c r="H765" s="8">
        <f t="shared" ca="1" si="46"/>
        <v>0.17757191766359018</v>
      </c>
    </row>
    <row r="766" spans="5:8" x14ac:dyDescent="0.3">
      <c r="E766" s="8">
        <f t="shared" si="47"/>
        <v>762</v>
      </c>
      <c r="F766" s="8">
        <f t="shared" ca="1" si="44"/>
        <v>1.2139465869417814</v>
      </c>
      <c r="G766" s="8">
        <f t="shared" ca="1" si="45"/>
        <v>1654.3733840892526</v>
      </c>
      <c r="H766" s="8">
        <f t="shared" ca="1" si="46"/>
        <v>0.15811654249156576</v>
      </c>
    </row>
    <row r="767" spans="5:8" x14ac:dyDescent="0.3">
      <c r="E767" s="8">
        <f t="shared" si="47"/>
        <v>763</v>
      </c>
      <c r="F767" s="8">
        <f t="shared" ca="1" si="44"/>
        <v>0.97862347639519021</v>
      </c>
      <c r="G767" s="8">
        <f t="shared" ca="1" si="45"/>
        <v>2168.2308113565527</v>
      </c>
      <c r="H767" s="8">
        <f t="shared" ca="1" si="46"/>
        <v>0.20722840594060526</v>
      </c>
    </row>
    <row r="768" spans="5:8" x14ac:dyDescent="0.3">
      <c r="E768" s="8">
        <f t="shared" si="47"/>
        <v>764</v>
      </c>
      <c r="F768" s="8">
        <f t="shared" ca="1" si="44"/>
        <v>1.1862976773427782</v>
      </c>
      <c r="G768" s="8">
        <f t="shared" ca="1" si="45"/>
        <v>1714.7482343123756</v>
      </c>
      <c r="H768" s="8">
        <f t="shared" ca="1" si="46"/>
        <v>0.16388686173299968</v>
      </c>
    </row>
    <row r="769" spans="5:8" x14ac:dyDescent="0.3">
      <c r="E769" s="8">
        <f t="shared" si="47"/>
        <v>765</v>
      </c>
      <c r="F769" s="8">
        <f t="shared" ca="1" si="44"/>
        <v>1.2724605446696911</v>
      </c>
      <c r="G769" s="8">
        <f t="shared" ca="1" si="45"/>
        <v>1526.6008431456457</v>
      </c>
      <c r="H769" s="8">
        <f t="shared" ca="1" si="46"/>
        <v>0.14590469685039145</v>
      </c>
    </row>
    <row r="770" spans="5:8" x14ac:dyDescent="0.3">
      <c r="E770" s="8">
        <f t="shared" si="47"/>
        <v>766</v>
      </c>
      <c r="F770" s="8">
        <f t="shared" ca="1" si="44"/>
        <v>1.3297735524235215</v>
      </c>
      <c r="G770" s="8">
        <f t="shared" ca="1" si="45"/>
        <v>1401.4507265891878</v>
      </c>
      <c r="H770" s="8">
        <f t="shared" ca="1" si="46"/>
        <v>0.13394348911298745</v>
      </c>
    </row>
    <row r="771" spans="5:8" x14ac:dyDescent="0.3">
      <c r="E771" s="8">
        <f t="shared" si="47"/>
        <v>767</v>
      </c>
      <c r="F771" s="8">
        <f t="shared" ca="1" si="44"/>
        <v>1.1924393594671028</v>
      </c>
      <c r="G771" s="8">
        <f t="shared" ca="1" si="45"/>
        <v>1701.3371036836475</v>
      </c>
      <c r="H771" s="8">
        <f t="shared" ca="1" si="46"/>
        <v>0.16260509449332386</v>
      </c>
    </row>
    <row r="772" spans="5:8" x14ac:dyDescent="0.3">
      <c r="E772" s="8">
        <f t="shared" si="47"/>
        <v>768</v>
      </c>
      <c r="F772" s="8">
        <f t="shared" ca="1" si="44"/>
        <v>1.0886942021786847</v>
      </c>
      <c r="G772" s="8">
        <f t="shared" ca="1" si="45"/>
        <v>1927.8776227675694</v>
      </c>
      <c r="H772" s="8">
        <f t="shared" ca="1" si="46"/>
        <v>0.18425667808157981</v>
      </c>
    </row>
    <row r="773" spans="5:8" x14ac:dyDescent="0.3">
      <c r="E773" s="8">
        <f t="shared" si="47"/>
        <v>769</v>
      </c>
      <c r="F773" s="8">
        <f t="shared" ref="F773:F836" ca="1" si="48">_xlfn.NORM.INV(RAND(), $C$9, $C$9 * $C$10)</f>
        <v>1.0673617101873716</v>
      </c>
      <c r="G773" s="8">
        <f t="shared" ref="G773:G836" ca="1" si="49">$C$7 - ($C$6 + ($C$8 * $C$11)) - (($C$6 + ($C$8 * $C$11)) * (1 - $C$12) * (F773 - $C$13))</f>
        <v>1974.4597855921006</v>
      </c>
      <c r="H773" s="8">
        <f t="shared" ref="H773:H836" ca="1" si="50">G773 / $C$7</f>
        <v>0.18870876283973054</v>
      </c>
    </row>
    <row r="774" spans="5:8" x14ac:dyDescent="0.3">
      <c r="E774" s="8">
        <f t="shared" ref="E774:E837" si="51">ROW()-4</f>
        <v>770</v>
      </c>
      <c r="F774" s="8">
        <f t="shared" ca="1" si="48"/>
        <v>1.0751800982175839</v>
      </c>
      <c r="G774" s="8">
        <f t="shared" ca="1" si="49"/>
        <v>1957.3873580296283</v>
      </c>
      <c r="H774" s="8">
        <f t="shared" ca="1" si="50"/>
        <v>0.18707706757427395</v>
      </c>
    </row>
    <row r="775" spans="5:8" x14ac:dyDescent="0.3">
      <c r="E775" s="8">
        <f t="shared" si="51"/>
        <v>771</v>
      </c>
      <c r="F775" s="8">
        <f t="shared" ca="1" si="48"/>
        <v>1.3457114210050389</v>
      </c>
      <c r="G775" s="8">
        <f t="shared" ca="1" si="49"/>
        <v>1366.6483983078717</v>
      </c>
      <c r="H775" s="8">
        <f t="shared" ca="1" si="50"/>
        <v>0.13061726066213053</v>
      </c>
    </row>
    <row r="776" spans="5:8" x14ac:dyDescent="0.3">
      <c r="E776" s="8">
        <f t="shared" si="51"/>
        <v>772</v>
      </c>
      <c r="F776" s="8">
        <f t="shared" ca="1" si="48"/>
        <v>1.1484248391557648</v>
      </c>
      <c r="G776" s="8">
        <f t="shared" ca="1" si="49"/>
        <v>1797.448310598493</v>
      </c>
      <c r="H776" s="8">
        <f t="shared" ca="1" si="50"/>
        <v>0.17179091184158396</v>
      </c>
    </row>
    <row r="777" spans="5:8" x14ac:dyDescent="0.3">
      <c r="E777" s="8">
        <f t="shared" si="51"/>
        <v>773</v>
      </c>
      <c r="F777" s="8">
        <f t="shared" ca="1" si="48"/>
        <v>1.1592422304837886</v>
      </c>
      <c r="G777" s="8">
        <f t="shared" ca="1" si="49"/>
        <v>1773.8271844598369</v>
      </c>
      <c r="H777" s="8">
        <f t="shared" ca="1" si="50"/>
        <v>0.16953332547642519</v>
      </c>
    </row>
    <row r="778" spans="5:8" x14ac:dyDescent="0.3">
      <c r="E778" s="8">
        <f t="shared" si="51"/>
        <v>774</v>
      </c>
      <c r="F778" s="8">
        <f t="shared" ca="1" si="48"/>
        <v>1.0437734222342061</v>
      </c>
      <c r="G778" s="8">
        <f t="shared" ca="1" si="49"/>
        <v>2025.9677608738316</v>
      </c>
      <c r="H778" s="8">
        <f t="shared" ca="1" si="50"/>
        <v>0.1936316315467678</v>
      </c>
    </row>
    <row r="779" spans="5:8" x14ac:dyDescent="0.3">
      <c r="E779" s="8">
        <f t="shared" si="51"/>
        <v>775</v>
      </c>
      <c r="F779" s="8">
        <f t="shared" ca="1" si="48"/>
        <v>1.2294258822916637</v>
      </c>
      <c r="G779" s="8">
        <f t="shared" ca="1" si="49"/>
        <v>1620.5724077808657</v>
      </c>
      <c r="H779" s="8">
        <f t="shared" ca="1" si="50"/>
        <v>0.15488601813828401</v>
      </c>
    </row>
    <row r="780" spans="5:8" x14ac:dyDescent="0.3">
      <c r="E780" s="8">
        <f t="shared" si="51"/>
        <v>776</v>
      </c>
      <c r="F780" s="8">
        <f t="shared" ca="1" si="48"/>
        <v>0.9944445668741797</v>
      </c>
      <c r="G780" s="8">
        <f t="shared" ca="1" si="49"/>
        <v>2133.683482659369</v>
      </c>
      <c r="H780" s="8">
        <f t="shared" ca="1" si="50"/>
        <v>0.20392654904514662</v>
      </c>
    </row>
    <row r="781" spans="5:8" x14ac:dyDescent="0.3">
      <c r="E781" s="8">
        <f t="shared" si="51"/>
        <v>777</v>
      </c>
      <c r="F781" s="8">
        <f t="shared" ca="1" si="48"/>
        <v>1.1525624318910308</v>
      </c>
      <c r="G781" s="8">
        <f t="shared" ca="1" si="49"/>
        <v>1788.4133596619477</v>
      </c>
      <c r="H781" s="8">
        <f t="shared" ca="1" si="50"/>
        <v>0.17092739746362876</v>
      </c>
    </row>
    <row r="782" spans="5:8" x14ac:dyDescent="0.3">
      <c r="E782" s="8">
        <f t="shared" si="51"/>
        <v>778</v>
      </c>
      <c r="F782" s="8">
        <f t="shared" ca="1" si="48"/>
        <v>1.0839084455985097</v>
      </c>
      <c r="G782" s="8">
        <f t="shared" ca="1" si="49"/>
        <v>1938.3279204799539</v>
      </c>
      <c r="H782" s="8">
        <f t="shared" ca="1" si="50"/>
        <v>0.18525546406192811</v>
      </c>
    </row>
    <row r="783" spans="5:8" x14ac:dyDescent="0.3">
      <c r="E783" s="8">
        <f t="shared" si="51"/>
        <v>779</v>
      </c>
      <c r="F783" s="8">
        <f t="shared" ca="1" si="48"/>
        <v>1.3447867020500408</v>
      </c>
      <c r="G783" s="8">
        <f t="shared" ca="1" si="49"/>
        <v>1368.6676377359795</v>
      </c>
      <c r="H783" s="8">
        <f t="shared" ca="1" si="50"/>
        <v>0.13081024923406093</v>
      </c>
    </row>
    <row r="784" spans="5:8" x14ac:dyDescent="0.3">
      <c r="E784" s="8">
        <f t="shared" si="51"/>
        <v>780</v>
      </c>
      <c r="F784" s="8">
        <f t="shared" ca="1" si="48"/>
        <v>1.3964817679822799</v>
      </c>
      <c r="G784" s="8">
        <f t="shared" ca="1" si="49"/>
        <v>1255.7849993896939</v>
      </c>
      <c r="H784" s="8">
        <f t="shared" ca="1" si="50"/>
        <v>0.12002150429032724</v>
      </c>
    </row>
    <row r="785" spans="5:8" x14ac:dyDescent="0.3">
      <c r="E785" s="8">
        <f t="shared" si="51"/>
        <v>781</v>
      </c>
      <c r="F785" s="8">
        <f t="shared" ca="1" si="48"/>
        <v>1.1827715213100847</v>
      </c>
      <c r="G785" s="8">
        <f t="shared" ca="1" si="49"/>
        <v>1722.4480367792662</v>
      </c>
      <c r="H785" s="8">
        <f t="shared" ca="1" si="50"/>
        <v>0.16462276945228579</v>
      </c>
    </row>
    <row r="786" spans="5:8" x14ac:dyDescent="0.3">
      <c r="E786" s="8">
        <f t="shared" si="51"/>
        <v>782</v>
      </c>
      <c r="F786" s="8">
        <f t="shared" ca="1" si="48"/>
        <v>1.305405147487209</v>
      </c>
      <c r="G786" s="8">
        <f t="shared" ca="1" si="49"/>
        <v>1454.6621848182431</v>
      </c>
      <c r="H786" s="8">
        <f t="shared" ca="1" si="50"/>
        <v>0.13902916800327278</v>
      </c>
    </row>
    <row r="787" spans="5:8" x14ac:dyDescent="0.3">
      <c r="E787" s="8">
        <f t="shared" si="51"/>
        <v>783</v>
      </c>
      <c r="F787" s="8">
        <f t="shared" ca="1" si="48"/>
        <v>1.2774020372161556</v>
      </c>
      <c r="G787" s="8">
        <f t="shared" ca="1" si="49"/>
        <v>1515.810476483872</v>
      </c>
      <c r="H787" s="8">
        <f t="shared" ca="1" si="50"/>
        <v>0.14487340882002026</v>
      </c>
    </row>
    <row r="788" spans="5:8" x14ac:dyDescent="0.3">
      <c r="E788" s="8">
        <f t="shared" si="51"/>
        <v>784</v>
      </c>
      <c r="F788" s="8">
        <f t="shared" ca="1" si="48"/>
        <v>1.1341214885724731</v>
      </c>
      <c r="G788" s="8">
        <f t="shared" ca="1" si="49"/>
        <v>1828.6814645159334</v>
      </c>
      <c r="H788" s="8">
        <f t="shared" ca="1" si="50"/>
        <v>0.17477601687048966</v>
      </c>
    </row>
    <row r="789" spans="5:8" x14ac:dyDescent="0.3">
      <c r="E789" s="8">
        <f t="shared" si="51"/>
        <v>785</v>
      </c>
      <c r="F789" s="8">
        <f t="shared" ca="1" si="48"/>
        <v>1.0659879934217882</v>
      </c>
      <c r="G789" s="8">
        <f t="shared" ca="1" si="49"/>
        <v>1977.4594678643477</v>
      </c>
      <c r="H789" s="8">
        <f t="shared" ca="1" si="50"/>
        <v>0.18899545712170007</v>
      </c>
    </row>
    <row r="790" spans="5:8" x14ac:dyDescent="0.3">
      <c r="E790" s="8">
        <f t="shared" si="51"/>
        <v>786</v>
      </c>
      <c r="F790" s="8">
        <f t="shared" ca="1" si="48"/>
        <v>1.2382326505758423</v>
      </c>
      <c r="G790" s="8">
        <f t="shared" ca="1" si="49"/>
        <v>1601.3417283863262</v>
      </c>
      <c r="H790" s="8">
        <f t="shared" ca="1" si="50"/>
        <v>0.15304804820666407</v>
      </c>
    </row>
    <row r="791" spans="5:8" x14ac:dyDescent="0.3">
      <c r="E791" s="8">
        <f t="shared" si="51"/>
        <v>787</v>
      </c>
      <c r="F791" s="8">
        <f t="shared" ca="1" si="48"/>
        <v>1.4900080078818352</v>
      </c>
      <c r="G791" s="8">
        <f t="shared" ca="1" si="49"/>
        <v>1051.5587637890276</v>
      </c>
      <c r="H791" s="8">
        <f t="shared" ca="1" si="50"/>
        <v>0.10050260573344429</v>
      </c>
    </row>
    <row r="792" spans="5:8" x14ac:dyDescent="0.3">
      <c r="E792" s="8">
        <f t="shared" si="51"/>
        <v>788</v>
      </c>
      <c r="F792" s="8">
        <f t="shared" ca="1" si="48"/>
        <v>1.232430126340019</v>
      </c>
      <c r="G792" s="8">
        <f t="shared" ca="1" si="49"/>
        <v>1614.0122653707758</v>
      </c>
      <c r="H792" s="8">
        <f t="shared" ca="1" si="50"/>
        <v>0.15425903329549612</v>
      </c>
    </row>
    <row r="793" spans="5:8" x14ac:dyDescent="0.3">
      <c r="E793" s="8">
        <f t="shared" si="51"/>
        <v>789</v>
      </c>
      <c r="F793" s="8">
        <f t="shared" ca="1" si="48"/>
        <v>1.0829987935875094</v>
      </c>
      <c r="G793" s="8">
        <f t="shared" ca="1" si="49"/>
        <v>1940.3142593524747</v>
      </c>
      <c r="H793" s="8">
        <f t="shared" ca="1" si="50"/>
        <v>0.18544530816711027</v>
      </c>
    </row>
    <row r="794" spans="5:8" x14ac:dyDescent="0.3">
      <c r="E794" s="8">
        <f t="shared" si="51"/>
        <v>790</v>
      </c>
      <c r="F794" s="8">
        <f t="shared" ca="1" si="48"/>
        <v>1.3121241402226023</v>
      </c>
      <c r="G794" s="8">
        <f t="shared" ca="1" si="49"/>
        <v>1439.99042430642</v>
      </c>
      <c r="H794" s="8">
        <f t="shared" ca="1" si="50"/>
        <v>0.13762691621011372</v>
      </c>
    </row>
    <row r="795" spans="5:8" x14ac:dyDescent="0.3">
      <c r="E795" s="8">
        <f t="shared" si="51"/>
        <v>791</v>
      </c>
      <c r="F795" s="8">
        <f t="shared" ca="1" si="48"/>
        <v>1.1354676293367112</v>
      </c>
      <c r="G795" s="8">
        <f t="shared" ca="1" si="49"/>
        <v>1825.7419978896239</v>
      </c>
      <c r="H795" s="8">
        <f t="shared" ca="1" si="50"/>
        <v>0.17449507769183065</v>
      </c>
    </row>
    <row r="796" spans="5:8" x14ac:dyDescent="0.3">
      <c r="E796" s="8">
        <f t="shared" si="51"/>
        <v>792</v>
      </c>
      <c r="F796" s="8">
        <f t="shared" ca="1" si="48"/>
        <v>1.1707251766457496</v>
      </c>
      <c r="G796" s="8">
        <f t="shared" ca="1" si="49"/>
        <v>1748.7527361469249</v>
      </c>
      <c r="H796" s="8">
        <f t="shared" ca="1" si="50"/>
        <v>0.16713683801461579</v>
      </c>
    </row>
    <row r="797" spans="5:8" x14ac:dyDescent="0.3">
      <c r="E797" s="8">
        <f t="shared" si="51"/>
        <v>793</v>
      </c>
      <c r="F797" s="8">
        <f t="shared" ca="1" si="48"/>
        <v>1.2104377434199345</v>
      </c>
      <c r="G797" s="8">
        <f t="shared" ca="1" si="49"/>
        <v>1662.0353825246455</v>
      </c>
      <c r="H797" s="8">
        <f t="shared" ca="1" si="50"/>
        <v>0.15884883709496755</v>
      </c>
    </row>
    <row r="798" spans="5:8" x14ac:dyDescent="0.3">
      <c r="E798" s="8">
        <f t="shared" si="51"/>
        <v>794</v>
      </c>
      <c r="F798" s="8">
        <f t="shared" ca="1" si="48"/>
        <v>1.5238785788689009</v>
      </c>
      <c r="G798" s="8">
        <f t="shared" ca="1" si="49"/>
        <v>977.59813821739613</v>
      </c>
      <c r="H798" s="8">
        <f t="shared" ca="1" si="50"/>
        <v>9.3433827603688818E-2</v>
      </c>
    </row>
    <row r="799" spans="5:8" x14ac:dyDescent="0.3">
      <c r="E799" s="8">
        <f t="shared" si="51"/>
        <v>795</v>
      </c>
      <c r="F799" s="8">
        <f t="shared" ca="1" si="48"/>
        <v>1.1077356533840466</v>
      </c>
      <c r="G799" s="8">
        <f t="shared" ca="1" si="49"/>
        <v>1886.2982338792613</v>
      </c>
      <c r="H799" s="8">
        <f t="shared" ca="1" si="50"/>
        <v>0.18028273285666266</v>
      </c>
    </row>
    <row r="800" spans="5:8" x14ac:dyDescent="0.3">
      <c r="E800" s="8">
        <f t="shared" si="51"/>
        <v>796</v>
      </c>
      <c r="F800" s="8">
        <f t="shared" ca="1" si="48"/>
        <v>1.2348394715351492</v>
      </c>
      <c r="G800" s="8">
        <f t="shared" ca="1" si="49"/>
        <v>1608.7511589690598</v>
      </c>
      <c r="H800" s="8">
        <f t="shared" ca="1" si="50"/>
        <v>0.1537562036671184</v>
      </c>
    </row>
    <row r="801" spans="5:8" x14ac:dyDescent="0.3">
      <c r="E801" s="8">
        <f t="shared" si="51"/>
        <v>797</v>
      </c>
      <c r="F801" s="8">
        <f t="shared" ca="1" si="48"/>
        <v>1.3964916583910845</v>
      </c>
      <c r="G801" s="8">
        <f t="shared" ca="1" si="49"/>
        <v>1255.763402445768</v>
      </c>
      <c r="H801" s="8">
        <f t="shared" ca="1" si="50"/>
        <v>0.12001944016494007</v>
      </c>
    </row>
    <row r="802" spans="5:8" x14ac:dyDescent="0.3">
      <c r="E802" s="8">
        <f t="shared" si="51"/>
        <v>798</v>
      </c>
      <c r="F802" s="8">
        <f t="shared" ca="1" si="48"/>
        <v>1.1720225783889748</v>
      </c>
      <c r="G802" s="8">
        <f t="shared" ca="1" si="49"/>
        <v>1745.9196972653747</v>
      </c>
      <c r="H802" s="8">
        <f t="shared" ca="1" si="50"/>
        <v>0.16686607065520162</v>
      </c>
    </row>
    <row r="803" spans="5:8" x14ac:dyDescent="0.3">
      <c r="E803" s="8">
        <f t="shared" si="51"/>
        <v>799</v>
      </c>
      <c r="F803" s="8">
        <f t="shared" ca="1" si="48"/>
        <v>1.27964439570538</v>
      </c>
      <c r="G803" s="8">
        <f t="shared" ca="1" si="49"/>
        <v>1510.9140064278395</v>
      </c>
      <c r="H803" s="8">
        <f t="shared" ca="1" si="50"/>
        <v>0.1444054292676899</v>
      </c>
    </row>
    <row r="804" spans="5:8" x14ac:dyDescent="0.3">
      <c r="E804" s="8">
        <f t="shared" si="51"/>
        <v>800</v>
      </c>
      <c r="F804" s="8">
        <f t="shared" ca="1" si="48"/>
        <v>1.1293206450964</v>
      </c>
      <c r="G804" s="8">
        <f t="shared" ca="1" si="49"/>
        <v>1839.1647063513735</v>
      </c>
      <c r="H804" s="8">
        <f t="shared" ca="1" si="50"/>
        <v>0.17577795148154196</v>
      </c>
    </row>
    <row r="805" spans="5:8" x14ac:dyDescent="0.3">
      <c r="E805" s="8">
        <f t="shared" si="51"/>
        <v>801</v>
      </c>
      <c r="F805" s="8">
        <f t="shared" ca="1" si="48"/>
        <v>1.2697879794868541</v>
      </c>
      <c r="G805" s="8">
        <f t="shared" ca="1" si="49"/>
        <v>1532.4367232930181</v>
      </c>
      <c r="H805" s="8">
        <f t="shared" ca="1" si="50"/>
        <v>0.14646246041221619</v>
      </c>
    </row>
    <row r="806" spans="5:8" x14ac:dyDescent="0.3">
      <c r="E806" s="8">
        <f t="shared" si="51"/>
        <v>802</v>
      </c>
      <c r="F806" s="8">
        <f t="shared" ca="1" si="48"/>
        <v>1.153143331807098</v>
      </c>
      <c r="G806" s="8">
        <f t="shared" ca="1" si="49"/>
        <v>1787.1448920827254</v>
      </c>
      <c r="H806" s="8">
        <f t="shared" ca="1" si="50"/>
        <v>0.17080616382325581</v>
      </c>
    </row>
    <row r="807" spans="5:8" x14ac:dyDescent="0.3">
      <c r="E807" s="8">
        <f t="shared" si="51"/>
        <v>803</v>
      </c>
      <c r="F807" s="8">
        <f t="shared" ca="1" si="48"/>
        <v>1.2969346011667093</v>
      </c>
      <c r="G807" s="8">
        <f t="shared" ca="1" si="49"/>
        <v>1473.1586815273442</v>
      </c>
      <c r="H807" s="8">
        <f t="shared" ca="1" si="50"/>
        <v>0.14079696851068951</v>
      </c>
    </row>
    <row r="808" spans="5:8" x14ac:dyDescent="0.3">
      <c r="E808" s="8">
        <f t="shared" si="51"/>
        <v>804</v>
      </c>
      <c r="F808" s="8">
        <f t="shared" ca="1" si="48"/>
        <v>1.4120017395025064</v>
      </c>
      <c r="G808" s="8">
        <f t="shared" ca="1" si="49"/>
        <v>1221.8952015788393</v>
      </c>
      <c r="H808" s="8">
        <f t="shared" ca="1" si="50"/>
        <v>0.11678249083234629</v>
      </c>
    </row>
    <row r="809" spans="5:8" x14ac:dyDescent="0.3">
      <c r="E809" s="8">
        <f t="shared" si="51"/>
        <v>805</v>
      </c>
      <c r="F809" s="8">
        <f t="shared" ca="1" si="48"/>
        <v>1.0292440389539188</v>
      </c>
      <c r="G809" s="8">
        <f t="shared" ca="1" si="49"/>
        <v>2057.6944854392491</v>
      </c>
      <c r="H809" s="8">
        <f t="shared" ca="1" si="50"/>
        <v>0.19666390953256704</v>
      </c>
    </row>
    <row r="810" spans="5:8" x14ac:dyDescent="0.3">
      <c r="E810" s="8">
        <f t="shared" si="51"/>
        <v>806</v>
      </c>
      <c r="F810" s="8">
        <f t="shared" ca="1" si="48"/>
        <v>0.78927303804490889</v>
      </c>
      <c r="G810" s="8">
        <f t="shared" ca="1" si="49"/>
        <v>2581.7011622991859</v>
      </c>
      <c r="H810" s="8">
        <f t="shared" ca="1" si="50"/>
        <v>0.24674578632315644</v>
      </c>
    </row>
    <row r="811" spans="5:8" x14ac:dyDescent="0.3">
      <c r="E811" s="8">
        <f t="shared" si="51"/>
        <v>807</v>
      </c>
      <c r="F811" s="8">
        <f t="shared" ca="1" si="48"/>
        <v>1.2966494930901615</v>
      </c>
      <c r="G811" s="8">
        <f t="shared" ca="1" si="49"/>
        <v>1473.7812506509958</v>
      </c>
      <c r="H811" s="8">
        <f t="shared" ca="1" si="50"/>
        <v>0.14085647048179259</v>
      </c>
    </row>
    <row r="812" spans="5:8" x14ac:dyDescent="0.3">
      <c r="E812" s="8">
        <f t="shared" si="51"/>
        <v>808</v>
      </c>
      <c r="F812" s="8">
        <f t="shared" ca="1" si="48"/>
        <v>1.239141807687242</v>
      </c>
      <c r="G812" s="8">
        <f t="shared" ca="1" si="49"/>
        <v>1599.3564701889459</v>
      </c>
      <c r="H812" s="8">
        <f t="shared" ca="1" si="50"/>
        <v>0.15285830738688194</v>
      </c>
    </row>
    <row r="813" spans="5:8" x14ac:dyDescent="0.3">
      <c r="E813" s="8">
        <f t="shared" si="51"/>
        <v>809</v>
      </c>
      <c r="F813" s="8">
        <f t="shared" ca="1" si="48"/>
        <v>1.1636502738729229</v>
      </c>
      <c r="G813" s="8">
        <f t="shared" ca="1" si="49"/>
        <v>1764.2016707142386</v>
      </c>
      <c r="H813" s="8">
        <f t="shared" ca="1" si="50"/>
        <v>0.1686133681271374</v>
      </c>
    </row>
    <row r="814" spans="5:8" x14ac:dyDescent="0.3">
      <c r="E814" s="8">
        <f t="shared" si="51"/>
        <v>810</v>
      </c>
      <c r="F814" s="8">
        <f t="shared" ca="1" si="48"/>
        <v>1.1022845555372358</v>
      </c>
      <c r="G814" s="8">
        <f t="shared" ca="1" si="49"/>
        <v>1898.2013874150034</v>
      </c>
      <c r="H814" s="8">
        <f t="shared" ca="1" si="50"/>
        <v>0.18142037536222913</v>
      </c>
    </row>
    <row r="815" spans="5:8" x14ac:dyDescent="0.3">
      <c r="E815" s="8">
        <f t="shared" si="51"/>
        <v>811</v>
      </c>
      <c r="F815" s="8">
        <f t="shared" ca="1" si="48"/>
        <v>1.0444167901886006</v>
      </c>
      <c r="G815" s="8">
        <f t="shared" ca="1" si="49"/>
        <v>2024.5628865244171</v>
      </c>
      <c r="H815" s="8">
        <f t="shared" ca="1" si="50"/>
        <v>0.19349736084530414</v>
      </c>
    </row>
    <row r="816" spans="5:8" x14ac:dyDescent="0.3">
      <c r="E816" s="8">
        <f t="shared" si="51"/>
        <v>812</v>
      </c>
      <c r="F816" s="8">
        <f t="shared" ca="1" si="48"/>
        <v>1.3087106678657723</v>
      </c>
      <c r="G816" s="8">
        <f t="shared" ca="1" si="49"/>
        <v>1447.4441678816029</v>
      </c>
      <c r="H816" s="8">
        <f t="shared" ca="1" si="50"/>
        <v>0.13833930687963328</v>
      </c>
    </row>
    <row r="817" spans="5:8" x14ac:dyDescent="0.3">
      <c r="E817" s="8">
        <f t="shared" si="51"/>
        <v>813</v>
      </c>
      <c r="F817" s="8">
        <f t="shared" ca="1" si="48"/>
        <v>1.4105763457088123</v>
      </c>
      <c r="G817" s="8">
        <f t="shared" ca="1" si="49"/>
        <v>1225.0077271015946</v>
      </c>
      <c r="H817" s="8">
        <f t="shared" ca="1" si="50"/>
        <v>0.11707997009477153</v>
      </c>
    </row>
    <row r="818" spans="5:8" x14ac:dyDescent="0.3">
      <c r="E818" s="8">
        <f t="shared" si="51"/>
        <v>814</v>
      </c>
      <c r="F818" s="8">
        <f t="shared" ca="1" si="48"/>
        <v>1.0550596475850156</v>
      </c>
      <c r="G818" s="8">
        <f t="shared" ca="1" si="49"/>
        <v>2001.3228770421701</v>
      </c>
      <c r="H818" s="8">
        <f t="shared" ca="1" si="50"/>
        <v>0.19127619965996082</v>
      </c>
    </row>
    <row r="819" spans="5:8" x14ac:dyDescent="0.3">
      <c r="E819" s="8">
        <f t="shared" si="51"/>
        <v>815</v>
      </c>
      <c r="F819" s="8">
        <f t="shared" ca="1" si="48"/>
        <v>1.1141957698229787</v>
      </c>
      <c r="G819" s="8">
        <f t="shared" ca="1" si="49"/>
        <v>1872.1917621202979</v>
      </c>
      <c r="H819" s="8">
        <f t="shared" ca="1" si="50"/>
        <v>0.1789345084698746</v>
      </c>
    </row>
    <row r="820" spans="5:8" x14ac:dyDescent="0.3">
      <c r="E820" s="8">
        <f t="shared" si="51"/>
        <v>816</v>
      </c>
      <c r="F820" s="8">
        <f t="shared" ca="1" si="48"/>
        <v>1.289316419423987</v>
      </c>
      <c r="G820" s="8">
        <f t="shared" ca="1" si="49"/>
        <v>1489.7939336352963</v>
      </c>
      <c r="H820" s="8">
        <f t="shared" ca="1" si="50"/>
        <v>0.14238688078326447</v>
      </c>
    </row>
    <row r="821" spans="5:8" x14ac:dyDescent="0.3">
      <c r="E821" s="8">
        <f t="shared" si="51"/>
        <v>817</v>
      </c>
      <c r="F821" s="8">
        <f t="shared" ca="1" si="48"/>
        <v>1.2239498267275837</v>
      </c>
      <c r="G821" s="8">
        <f t="shared" ca="1" si="49"/>
        <v>1632.5300596119801</v>
      </c>
      <c r="H821" s="8">
        <f t="shared" ca="1" si="50"/>
        <v>0.15602886931205009</v>
      </c>
    </row>
    <row r="822" spans="5:8" x14ac:dyDescent="0.3">
      <c r="E822" s="8">
        <f t="shared" si="51"/>
        <v>818</v>
      </c>
      <c r="F822" s="8">
        <f t="shared" ca="1" si="48"/>
        <v>0.8970709265729635</v>
      </c>
      <c r="G822" s="8">
        <f t="shared" ca="1" si="49"/>
        <v>2346.3109979621122</v>
      </c>
      <c r="H822" s="8">
        <f t="shared" ca="1" si="50"/>
        <v>0.2242483989259402</v>
      </c>
    </row>
    <row r="823" spans="5:8" x14ac:dyDescent="0.3">
      <c r="E823" s="8">
        <f t="shared" si="51"/>
        <v>819</v>
      </c>
      <c r="F823" s="8">
        <f t="shared" ca="1" si="48"/>
        <v>1.2727882510202364</v>
      </c>
      <c r="G823" s="8">
        <f t="shared" ca="1" si="49"/>
        <v>1525.8852553659362</v>
      </c>
      <c r="H823" s="8">
        <f t="shared" ca="1" si="50"/>
        <v>0.14583630463212618</v>
      </c>
    </row>
    <row r="824" spans="5:8" x14ac:dyDescent="0.3">
      <c r="E824" s="8">
        <f t="shared" si="51"/>
        <v>820</v>
      </c>
      <c r="F824" s="8">
        <f t="shared" ca="1" si="48"/>
        <v>1.0220703245973581</v>
      </c>
      <c r="G824" s="8">
        <f t="shared" ca="1" si="49"/>
        <v>2073.3591874510939</v>
      </c>
      <c r="H824" s="8">
        <f t="shared" ca="1" si="50"/>
        <v>0.19816106159333785</v>
      </c>
    </row>
    <row r="825" spans="5:8" x14ac:dyDescent="0.3">
      <c r="E825" s="8">
        <f t="shared" si="51"/>
        <v>821</v>
      </c>
      <c r="F825" s="8">
        <f t="shared" ca="1" si="48"/>
        <v>1.1464506658844364</v>
      </c>
      <c r="G825" s="8">
        <f t="shared" ca="1" si="49"/>
        <v>1801.7591647080974</v>
      </c>
      <c r="H825" s="8">
        <f t="shared" ca="1" si="50"/>
        <v>0.17220292121839792</v>
      </c>
    </row>
    <row r="826" spans="5:8" x14ac:dyDescent="0.3">
      <c r="E826" s="8">
        <f t="shared" si="51"/>
        <v>822</v>
      </c>
      <c r="F826" s="8">
        <f t="shared" ca="1" si="48"/>
        <v>1.2760131087134994</v>
      </c>
      <c r="G826" s="8">
        <f t="shared" ca="1" si="49"/>
        <v>1518.8433754854848</v>
      </c>
      <c r="H826" s="8">
        <f t="shared" ca="1" si="50"/>
        <v>0.14516327778700991</v>
      </c>
    </row>
    <row r="827" spans="5:8" x14ac:dyDescent="0.3">
      <c r="E827" s="8">
        <f t="shared" si="51"/>
        <v>823</v>
      </c>
      <c r="F827" s="8">
        <f t="shared" ca="1" si="48"/>
        <v>1.3728848732688259</v>
      </c>
      <c r="G827" s="8">
        <f t="shared" ca="1" si="49"/>
        <v>1307.3117686083599</v>
      </c>
      <c r="H827" s="8">
        <f t="shared" ca="1" si="50"/>
        <v>0.1249461692256867</v>
      </c>
    </row>
    <row r="828" spans="5:8" x14ac:dyDescent="0.3">
      <c r="E828" s="8">
        <f t="shared" si="51"/>
        <v>824</v>
      </c>
      <c r="F828" s="8">
        <f t="shared" ca="1" si="48"/>
        <v>1.0846666309403035</v>
      </c>
      <c r="G828" s="8">
        <f t="shared" ca="1" si="49"/>
        <v>1936.6723280129797</v>
      </c>
      <c r="H828" s="8">
        <f t="shared" ca="1" si="50"/>
        <v>0.18509723100573255</v>
      </c>
    </row>
    <row r="829" spans="5:8" x14ac:dyDescent="0.3">
      <c r="E829" s="8">
        <f t="shared" si="51"/>
        <v>825</v>
      </c>
      <c r="F829" s="8">
        <f t="shared" ca="1" si="48"/>
        <v>1.243108608026154</v>
      </c>
      <c r="G829" s="8">
        <f t="shared" ca="1" si="49"/>
        <v>1590.6944657988895</v>
      </c>
      <c r="H829" s="8">
        <f t="shared" ca="1" si="50"/>
        <v>0.15203043733144314</v>
      </c>
    </row>
    <row r="830" spans="5:8" x14ac:dyDescent="0.3">
      <c r="E830" s="8">
        <f t="shared" si="51"/>
        <v>826</v>
      </c>
      <c r="F830" s="8">
        <f t="shared" ca="1" si="48"/>
        <v>0.89225504342476114</v>
      </c>
      <c r="G830" s="8">
        <f t="shared" ca="1" si="49"/>
        <v>2356.8270808016059</v>
      </c>
      <c r="H830" s="8">
        <f t="shared" ca="1" si="50"/>
        <v>0.2252534723121099</v>
      </c>
    </row>
    <row r="831" spans="5:8" x14ac:dyDescent="0.3">
      <c r="E831" s="8">
        <f t="shared" si="51"/>
        <v>827</v>
      </c>
      <c r="F831" s="8">
        <f t="shared" ca="1" si="48"/>
        <v>1.3485479718155196</v>
      </c>
      <c r="G831" s="8">
        <f t="shared" ca="1" si="49"/>
        <v>1360.4544350443359</v>
      </c>
      <c r="H831" s="8">
        <f t="shared" ca="1" si="50"/>
        <v>0.13002527334840255</v>
      </c>
    </row>
    <row r="832" spans="5:8" x14ac:dyDescent="0.3">
      <c r="E832" s="8">
        <f t="shared" si="51"/>
        <v>828</v>
      </c>
      <c r="F832" s="8">
        <f t="shared" ca="1" si="48"/>
        <v>1.2589587295841058</v>
      </c>
      <c r="G832" s="8">
        <f t="shared" ca="1" si="49"/>
        <v>1556.0837441119068</v>
      </c>
      <c r="H832" s="8">
        <f t="shared" ca="1" si="50"/>
        <v>0.14872252165840646</v>
      </c>
    </row>
    <row r="833" spans="5:8" x14ac:dyDescent="0.3">
      <c r="E833" s="8">
        <f t="shared" si="51"/>
        <v>829</v>
      </c>
      <c r="F833" s="8">
        <f t="shared" ca="1" si="48"/>
        <v>1.2951499491483904</v>
      </c>
      <c r="G833" s="8">
        <f t="shared" ca="1" si="49"/>
        <v>1477.0556922908459</v>
      </c>
      <c r="H833" s="8">
        <f t="shared" ca="1" si="50"/>
        <v>0.14116942485815215</v>
      </c>
    </row>
    <row r="834" spans="5:8" x14ac:dyDescent="0.3">
      <c r="E834" s="8">
        <f t="shared" si="51"/>
        <v>830</v>
      </c>
      <c r="F834" s="8">
        <f t="shared" ca="1" si="48"/>
        <v>1.3600221146646729</v>
      </c>
      <c r="G834" s="8">
        <f t="shared" ca="1" si="49"/>
        <v>1335.3992098653534</v>
      </c>
      <c r="H834" s="8">
        <f t="shared" ca="1" si="50"/>
        <v>0.12763062313536783</v>
      </c>
    </row>
    <row r="835" spans="5:8" x14ac:dyDescent="0.3">
      <c r="E835" s="8">
        <f t="shared" si="51"/>
        <v>831</v>
      </c>
      <c r="F835" s="8">
        <f t="shared" ca="1" si="48"/>
        <v>1.3443328435677457</v>
      </c>
      <c r="G835" s="8">
        <f t="shared" ca="1" si="49"/>
        <v>1369.6586944643811</v>
      </c>
      <c r="H835" s="8">
        <f t="shared" ca="1" si="50"/>
        <v>0.13090496936484575</v>
      </c>
    </row>
    <row r="836" spans="5:8" x14ac:dyDescent="0.3">
      <c r="E836" s="8">
        <f t="shared" si="51"/>
        <v>832</v>
      </c>
      <c r="F836" s="8">
        <f t="shared" ca="1" si="48"/>
        <v>1.0927959719815052</v>
      </c>
      <c r="G836" s="8">
        <f t="shared" ca="1" si="49"/>
        <v>1918.9208956818854</v>
      </c>
      <c r="H836" s="8">
        <f t="shared" ca="1" si="50"/>
        <v>0.18340063993901229</v>
      </c>
    </row>
    <row r="837" spans="5:8" x14ac:dyDescent="0.3">
      <c r="E837" s="8">
        <f t="shared" si="51"/>
        <v>833</v>
      </c>
      <c r="F837" s="8">
        <f t="shared" ref="F837:F900" ca="1" si="52">_xlfn.NORM.INV(RAND(), $C$9, $C$9 * $C$10)</f>
        <v>1.3062114829401246</v>
      </c>
      <c r="G837" s="8">
        <f t="shared" ref="G837:G900" ca="1" si="53">$C$7 - ($C$6 + ($C$8 * $C$11)) - (($C$6 + ($C$8 * $C$11)) * (1 - $C$12) * (F837 - $C$13))</f>
        <v>1452.9014505648704</v>
      </c>
      <c r="H837" s="8">
        <f t="shared" ref="H837:H900" ca="1" si="54">G837 / $C$7</f>
        <v>0.13886088603315211</v>
      </c>
    </row>
    <row r="838" spans="5:8" x14ac:dyDescent="0.3">
      <c r="E838" s="8">
        <f t="shared" ref="E838:E901" si="55">ROW()-4</f>
        <v>834</v>
      </c>
      <c r="F838" s="8">
        <f t="shared" ca="1" si="52"/>
        <v>1.0986893047851836</v>
      </c>
      <c r="G838" s="8">
        <f t="shared" ca="1" si="53"/>
        <v>1906.0520668384534</v>
      </c>
      <c r="H838" s="8">
        <f t="shared" ca="1" si="54"/>
        <v>0.18217070312897385</v>
      </c>
    </row>
    <row r="839" spans="5:8" x14ac:dyDescent="0.3">
      <c r="E839" s="8">
        <f t="shared" si="55"/>
        <v>835</v>
      </c>
      <c r="F839" s="8">
        <f t="shared" ca="1" si="52"/>
        <v>1.1866459855656135</v>
      </c>
      <c r="G839" s="8">
        <f t="shared" ca="1" si="53"/>
        <v>1713.9876597692871</v>
      </c>
      <c r="H839" s="8">
        <f t="shared" ca="1" si="54"/>
        <v>0.16381416991009148</v>
      </c>
    </row>
    <row r="840" spans="5:8" x14ac:dyDescent="0.3">
      <c r="E840" s="8">
        <f t="shared" si="55"/>
        <v>836</v>
      </c>
      <c r="F840" s="8">
        <f t="shared" ca="1" si="52"/>
        <v>1.110431674454246</v>
      </c>
      <c r="G840" s="8">
        <f t="shared" ca="1" si="53"/>
        <v>1880.411134869847</v>
      </c>
      <c r="H840" s="8">
        <f t="shared" ca="1" si="54"/>
        <v>0.1797200740580949</v>
      </c>
    </row>
    <row r="841" spans="5:8" x14ac:dyDescent="0.3">
      <c r="E841" s="8">
        <f t="shared" si="55"/>
        <v>837</v>
      </c>
      <c r="F841" s="8">
        <f t="shared" ca="1" si="52"/>
        <v>1.2085022565264845</v>
      </c>
      <c r="G841" s="8">
        <f t="shared" ca="1" si="53"/>
        <v>1666.2617600923552</v>
      </c>
      <c r="H841" s="8">
        <f t="shared" ca="1" si="54"/>
        <v>0.15925277263618037</v>
      </c>
    </row>
    <row r="842" spans="5:8" x14ac:dyDescent="0.3">
      <c r="E842" s="8">
        <f t="shared" si="55"/>
        <v>838</v>
      </c>
      <c r="F842" s="8">
        <f t="shared" ca="1" si="52"/>
        <v>0.85401686405120669</v>
      </c>
      <c r="G842" s="8">
        <f t="shared" ca="1" si="53"/>
        <v>2440.3249252361838</v>
      </c>
      <c r="H842" s="8">
        <f t="shared" ca="1" si="54"/>
        <v>0.23323376901808121</v>
      </c>
    </row>
    <row r="843" spans="5:8" x14ac:dyDescent="0.3">
      <c r="E843" s="8">
        <f t="shared" si="55"/>
        <v>839</v>
      </c>
      <c r="F843" s="8">
        <f t="shared" ca="1" si="52"/>
        <v>1.3351409251770963</v>
      </c>
      <c r="G843" s="8">
        <f t="shared" ca="1" si="53"/>
        <v>1389.730397260163</v>
      </c>
      <c r="H843" s="8">
        <f t="shared" ca="1" si="54"/>
        <v>0.13282332000957306</v>
      </c>
    </row>
    <row r="844" spans="5:8" x14ac:dyDescent="0.3">
      <c r="E844" s="8">
        <f t="shared" si="55"/>
        <v>840</v>
      </c>
      <c r="F844" s="8">
        <f t="shared" ca="1" si="52"/>
        <v>1.0069004683150917</v>
      </c>
      <c r="G844" s="8">
        <f t="shared" ca="1" si="53"/>
        <v>2106.4844648754579</v>
      </c>
      <c r="H844" s="8">
        <f t="shared" ca="1" si="54"/>
        <v>0.20132700610488941</v>
      </c>
    </row>
    <row r="845" spans="5:8" x14ac:dyDescent="0.3">
      <c r="E845" s="8">
        <f t="shared" si="55"/>
        <v>841</v>
      </c>
      <c r="F845" s="8">
        <f t="shared" ca="1" si="52"/>
        <v>1.3161518024122836</v>
      </c>
      <c r="G845" s="8">
        <f t="shared" ca="1" si="53"/>
        <v>1431.1955204574772</v>
      </c>
      <c r="H845" s="8">
        <f t="shared" ca="1" si="54"/>
        <v>0.13678634430445161</v>
      </c>
    </row>
    <row r="846" spans="5:8" x14ac:dyDescent="0.3">
      <c r="E846" s="8">
        <f t="shared" si="55"/>
        <v>842</v>
      </c>
      <c r="F846" s="8">
        <f t="shared" ca="1" si="52"/>
        <v>1.4285914219588289</v>
      </c>
      <c r="G846" s="8">
        <f t="shared" ca="1" si="53"/>
        <v>1185.6695562251521</v>
      </c>
      <c r="H846" s="8">
        <f t="shared" ca="1" si="54"/>
        <v>0.11332022901893836</v>
      </c>
    </row>
    <row r="847" spans="5:8" x14ac:dyDescent="0.3">
      <c r="E847" s="8">
        <f t="shared" si="55"/>
        <v>843</v>
      </c>
      <c r="F847" s="8">
        <f t="shared" ca="1" si="52"/>
        <v>1.3672368468479821</v>
      </c>
      <c r="G847" s="8">
        <f t="shared" ca="1" si="53"/>
        <v>1319.6449403015749</v>
      </c>
      <c r="H847" s="8">
        <f t="shared" ca="1" si="54"/>
        <v>0.12612491066630746</v>
      </c>
    </row>
    <row r="848" spans="5:8" x14ac:dyDescent="0.3">
      <c r="E848" s="8">
        <f t="shared" si="55"/>
        <v>844</v>
      </c>
      <c r="F848" s="8">
        <f t="shared" ca="1" si="52"/>
        <v>1.3357914886550566</v>
      </c>
      <c r="G848" s="8">
        <f t="shared" ca="1" si="53"/>
        <v>1388.309810585602</v>
      </c>
      <c r="H848" s="8">
        <f t="shared" ca="1" si="54"/>
        <v>0.1326875476044731</v>
      </c>
    </row>
    <row r="849" spans="5:8" x14ac:dyDescent="0.3">
      <c r="E849" s="8">
        <f t="shared" si="55"/>
        <v>845</v>
      </c>
      <c r="F849" s="8">
        <f t="shared" ca="1" si="52"/>
        <v>1.0175211145667415</v>
      </c>
      <c r="G849" s="8">
        <f t="shared" ca="1" si="53"/>
        <v>2083.2929562041991</v>
      </c>
      <c r="H849" s="8">
        <f t="shared" ca="1" si="54"/>
        <v>0.19911048037887785</v>
      </c>
    </row>
    <row r="850" spans="5:8" x14ac:dyDescent="0.3">
      <c r="E850" s="8">
        <f t="shared" si="55"/>
        <v>846</v>
      </c>
      <c r="F850" s="8">
        <f t="shared" ca="1" si="52"/>
        <v>0.65987892376545232</v>
      </c>
      <c r="G850" s="8">
        <f t="shared" ca="1" si="53"/>
        <v>2864.2493850926639</v>
      </c>
      <c r="H850" s="8">
        <f t="shared" ca="1" si="54"/>
        <v>0.2737502996361143</v>
      </c>
    </row>
    <row r="851" spans="5:8" x14ac:dyDescent="0.3">
      <c r="E851" s="8">
        <f t="shared" si="55"/>
        <v>847</v>
      </c>
      <c r="F851" s="8">
        <f t="shared" ca="1" si="52"/>
        <v>0.94121040524470434</v>
      </c>
      <c r="G851" s="8">
        <f t="shared" ca="1" si="53"/>
        <v>2249.9269288475325</v>
      </c>
      <c r="H851" s="8">
        <f t="shared" ca="1" si="54"/>
        <v>0.21503650280488698</v>
      </c>
    </row>
    <row r="852" spans="5:8" x14ac:dyDescent="0.3">
      <c r="E852" s="8">
        <f t="shared" si="55"/>
        <v>848</v>
      </c>
      <c r="F852" s="8">
        <f t="shared" ca="1" si="52"/>
        <v>0.99288812663312209</v>
      </c>
      <c r="G852" s="8">
        <f t="shared" ca="1" si="53"/>
        <v>2137.0821644807488</v>
      </c>
      <c r="H852" s="8">
        <f t="shared" ca="1" si="54"/>
        <v>0.20425137766230994</v>
      </c>
    </row>
    <row r="853" spans="5:8" x14ac:dyDescent="0.3">
      <c r="E853" s="8">
        <f t="shared" si="55"/>
        <v>849</v>
      </c>
      <c r="F853" s="8">
        <f t="shared" ca="1" si="52"/>
        <v>1.4142063697307226</v>
      </c>
      <c r="G853" s="8">
        <f t="shared" ca="1" si="53"/>
        <v>1217.0811158967508</v>
      </c>
      <c r="H853" s="8">
        <f t="shared" ca="1" si="54"/>
        <v>0.11632238515691014</v>
      </c>
    </row>
    <row r="854" spans="5:8" x14ac:dyDescent="0.3">
      <c r="E854" s="8">
        <f t="shared" si="55"/>
        <v>850</v>
      </c>
      <c r="F854" s="8">
        <f t="shared" ca="1" si="52"/>
        <v>1.1566720986807748</v>
      </c>
      <c r="G854" s="8">
        <f t="shared" ca="1" si="53"/>
        <v>1779.439388518193</v>
      </c>
      <c r="H854" s="8">
        <f t="shared" ca="1" si="54"/>
        <v>0.17006971122223005</v>
      </c>
    </row>
    <row r="855" spans="5:8" x14ac:dyDescent="0.3">
      <c r="E855" s="8">
        <f t="shared" si="55"/>
        <v>851</v>
      </c>
      <c r="F855" s="8">
        <f t="shared" ca="1" si="52"/>
        <v>1.0277227667811328</v>
      </c>
      <c r="G855" s="8">
        <f t="shared" ca="1" si="53"/>
        <v>2061.0163733875488</v>
      </c>
      <c r="H855" s="8">
        <f t="shared" ca="1" si="54"/>
        <v>0.19698139858430172</v>
      </c>
    </row>
    <row r="856" spans="5:8" x14ac:dyDescent="0.3">
      <c r="E856" s="8">
        <f t="shared" si="55"/>
        <v>852</v>
      </c>
      <c r="F856" s="8">
        <f t="shared" ca="1" si="52"/>
        <v>1.0783700298245937</v>
      </c>
      <c r="G856" s="8">
        <f t="shared" ca="1" si="53"/>
        <v>1950.4217436242714</v>
      </c>
      <c r="H856" s="8">
        <f t="shared" ca="1" si="54"/>
        <v>0.18641132979301073</v>
      </c>
    </row>
    <row r="857" spans="5:8" x14ac:dyDescent="0.3">
      <c r="E857" s="8">
        <f t="shared" si="55"/>
        <v>853</v>
      </c>
      <c r="F857" s="8">
        <f t="shared" ca="1" si="52"/>
        <v>1.1675182973769251</v>
      </c>
      <c r="G857" s="8">
        <f t="shared" ca="1" si="53"/>
        <v>1755.7553578903116</v>
      </c>
      <c r="H857" s="8">
        <f t="shared" ca="1" si="54"/>
        <v>0.16780611276787841</v>
      </c>
    </row>
    <row r="858" spans="5:8" x14ac:dyDescent="0.3">
      <c r="E858" s="8">
        <f t="shared" si="55"/>
        <v>854</v>
      </c>
      <c r="F858" s="8">
        <f t="shared" ca="1" si="52"/>
        <v>1.1140837875264049</v>
      </c>
      <c r="G858" s="8">
        <f t="shared" ca="1" si="53"/>
        <v>1872.436289462654</v>
      </c>
      <c r="H858" s="8">
        <f t="shared" ca="1" si="54"/>
        <v>0.17895787914199121</v>
      </c>
    </row>
    <row r="859" spans="5:8" x14ac:dyDescent="0.3">
      <c r="E859" s="8">
        <f t="shared" si="55"/>
        <v>855</v>
      </c>
      <c r="F859" s="8">
        <f t="shared" ca="1" si="52"/>
        <v>1.2355461323926806</v>
      </c>
      <c r="G859" s="8">
        <f t="shared" ca="1" si="53"/>
        <v>1607.2080766540325</v>
      </c>
      <c r="H859" s="8">
        <f t="shared" ca="1" si="54"/>
        <v>0.15360872375552256</v>
      </c>
    </row>
    <row r="860" spans="5:8" x14ac:dyDescent="0.3">
      <c r="E860" s="8">
        <f t="shared" si="55"/>
        <v>856</v>
      </c>
      <c r="F860" s="8">
        <f t="shared" ca="1" si="52"/>
        <v>1.2725031319041851</v>
      </c>
      <c r="G860" s="8">
        <f t="shared" ca="1" si="53"/>
        <v>1526.5078485957238</v>
      </c>
      <c r="H860" s="8">
        <f t="shared" ca="1" si="54"/>
        <v>0.14589580890717038</v>
      </c>
    </row>
    <row r="861" spans="5:8" x14ac:dyDescent="0.3">
      <c r="E861" s="8">
        <f t="shared" si="55"/>
        <v>857</v>
      </c>
      <c r="F861" s="8">
        <f t="shared" ca="1" si="52"/>
        <v>1.087205257518985</v>
      </c>
      <c r="G861" s="8">
        <f t="shared" ca="1" si="53"/>
        <v>1931.1289195501063</v>
      </c>
      <c r="H861" s="8">
        <f t="shared" ca="1" si="54"/>
        <v>0.18456742039091142</v>
      </c>
    </row>
    <row r="862" spans="5:8" x14ac:dyDescent="0.3">
      <c r="E862" s="8">
        <f t="shared" si="55"/>
        <v>858</v>
      </c>
      <c r="F862" s="8">
        <f t="shared" ca="1" si="52"/>
        <v>1.2944995646092343</v>
      </c>
      <c r="G862" s="8">
        <f t="shared" ca="1" si="53"/>
        <v>1478.4758882301605</v>
      </c>
      <c r="H862" s="8">
        <f t="shared" ca="1" si="54"/>
        <v>0.14130515991877668</v>
      </c>
    </row>
    <row r="863" spans="5:8" x14ac:dyDescent="0.3">
      <c r="E863" s="8">
        <f t="shared" si="55"/>
        <v>859</v>
      </c>
      <c r="F863" s="8">
        <f t="shared" ca="1" si="52"/>
        <v>1.1472175547866292</v>
      </c>
      <c r="G863" s="8">
        <f t="shared" ca="1" si="53"/>
        <v>1800.0845669290466</v>
      </c>
      <c r="H863" s="8">
        <f t="shared" ca="1" si="54"/>
        <v>0.17204287173172575</v>
      </c>
    </row>
    <row r="864" spans="5:8" x14ac:dyDescent="0.3">
      <c r="E864" s="8">
        <f t="shared" si="55"/>
        <v>860</v>
      </c>
      <c r="F864" s="8">
        <f t="shared" ca="1" si="52"/>
        <v>1.0812123212135902</v>
      </c>
      <c r="G864" s="8">
        <f t="shared" ca="1" si="53"/>
        <v>1944.2152450899739</v>
      </c>
      <c r="H864" s="8">
        <f t="shared" ca="1" si="54"/>
        <v>0.18581814442224734</v>
      </c>
    </row>
    <row r="865" spans="5:8" x14ac:dyDescent="0.3">
      <c r="E865" s="8">
        <f t="shared" si="55"/>
        <v>861</v>
      </c>
      <c r="F865" s="8">
        <f t="shared" ca="1" si="52"/>
        <v>1.2253806963514902</v>
      </c>
      <c r="G865" s="8">
        <f t="shared" ca="1" si="53"/>
        <v>1629.4055769294771</v>
      </c>
      <c r="H865" s="8">
        <f t="shared" ca="1" si="54"/>
        <v>0.1557302472454819</v>
      </c>
    </row>
    <row r="866" spans="5:8" x14ac:dyDescent="0.3">
      <c r="E866" s="8">
        <f t="shared" si="55"/>
        <v>862</v>
      </c>
      <c r="F866" s="8">
        <f t="shared" ca="1" si="52"/>
        <v>1.0782555648754755</v>
      </c>
      <c r="G866" s="8">
        <f t="shared" ca="1" si="53"/>
        <v>1950.6716921487898</v>
      </c>
      <c r="H866" s="8">
        <f t="shared" ca="1" si="54"/>
        <v>0.1864352185939778</v>
      </c>
    </row>
    <row r="867" spans="5:8" x14ac:dyDescent="0.3">
      <c r="E867" s="8">
        <f t="shared" si="55"/>
        <v>863</v>
      </c>
      <c r="F867" s="8">
        <f t="shared" ca="1" si="52"/>
        <v>1.1665809820419144</v>
      </c>
      <c r="G867" s="8">
        <f t="shared" ca="1" si="53"/>
        <v>1757.8021030887246</v>
      </c>
      <c r="H867" s="8">
        <f t="shared" ca="1" si="54"/>
        <v>0.16800173020058537</v>
      </c>
    </row>
    <row r="868" spans="5:8" x14ac:dyDescent="0.3">
      <c r="E868" s="8">
        <f t="shared" si="55"/>
        <v>864</v>
      </c>
      <c r="F868" s="8">
        <f t="shared" ca="1" si="52"/>
        <v>1.1002206897346405</v>
      </c>
      <c r="G868" s="8">
        <f t="shared" ca="1" si="53"/>
        <v>1902.7080963781955</v>
      </c>
      <c r="H868" s="8">
        <f t="shared" ca="1" si="54"/>
        <v>0.1818511035437442</v>
      </c>
    </row>
    <row r="869" spans="5:8" x14ac:dyDescent="0.3">
      <c r="E869" s="8">
        <f t="shared" si="55"/>
        <v>865</v>
      </c>
      <c r="F869" s="8">
        <f t="shared" ca="1" si="52"/>
        <v>1.2987401915599095</v>
      </c>
      <c r="G869" s="8">
        <f t="shared" ca="1" si="53"/>
        <v>1469.2159492049925</v>
      </c>
      <c r="H869" s="8">
        <f t="shared" ca="1" si="54"/>
        <v>0.1404201423305928</v>
      </c>
    </row>
    <row r="870" spans="5:8" x14ac:dyDescent="0.3">
      <c r="E870" s="8">
        <f t="shared" si="55"/>
        <v>866</v>
      </c>
      <c r="F870" s="8">
        <f t="shared" ca="1" si="52"/>
        <v>1.1283353223090704</v>
      </c>
      <c r="G870" s="8">
        <f t="shared" ca="1" si="53"/>
        <v>1841.3162818228559</v>
      </c>
      <c r="H870" s="8">
        <f t="shared" ca="1" si="54"/>
        <v>0.17598358805532408</v>
      </c>
    </row>
    <row r="871" spans="5:8" x14ac:dyDescent="0.3">
      <c r="E871" s="8">
        <f t="shared" si="55"/>
        <v>867</v>
      </c>
      <c r="F871" s="8">
        <f t="shared" ca="1" si="52"/>
        <v>1.1889743605063365</v>
      </c>
      <c r="G871" s="8">
        <f t="shared" ca="1" si="53"/>
        <v>1708.9033620393507</v>
      </c>
      <c r="H871" s="8">
        <f t="shared" ca="1" si="54"/>
        <v>0.16332823874981847</v>
      </c>
    </row>
    <row r="872" spans="5:8" x14ac:dyDescent="0.3">
      <c r="E872" s="8">
        <f t="shared" si="55"/>
        <v>868</v>
      </c>
      <c r="F872" s="8">
        <f t="shared" ca="1" si="52"/>
        <v>1.1268422544971093</v>
      </c>
      <c r="G872" s="8">
        <f t="shared" ca="1" si="53"/>
        <v>1844.5765820237496</v>
      </c>
      <c r="H872" s="8">
        <f t="shared" ca="1" si="54"/>
        <v>0.17629519086531106</v>
      </c>
    </row>
    <row r="873" spans="5:8" x14ac:dyDescent="0.3">
      <c r="E873" s="8">
        <f t="shared" si="55"/>
        <v>869</v>
      </c>
      <c r="F873" s="8">
        <f t="shared" ca="1" si="52"/>
        <v>1.3143616219959886</v>
      </c>
      <c r="G873" s="8">
        <f t="shared" ca="1" si="53"/>
        <v>1435.1046031690094</v>
      </c>
      <c r="H873" s="8">
        <f t="shared" ca="1" si="54"/>
        <v>0.13715995442693391</v>
      </c>
    </row>
    <row r="874" spans="5:8" x14ac:dyDescent="0.3">
      <c r="E874" s="8">
        <f t="shared" si="55"/>
        <v>870</v>
      </c>
      <c r="F874" s="8">
        <f t="shared" ca="1" si="52"/>
        <v>1.2406201743264085</v>
      </c>
      <c r="G874" s="8">
        <f t="shared" ca="1" si="53"/>
        <v>1596.1282718364962</v>
      </c>
      <c r="H874" s="8">
        <f t="shared" ca="1" si="54"/>
        <v>0.15254977270730155</v>
      </c>
    </row>
    <row r="875" spans="5:8" x14ac:dyDescent="0.3">
      <c r="E875" s="8">
        <f t="shared" si="55"/>
        <v>871</v>
      </c>
      <c r="F875" s="8">
        <f t="shared" ca="1" si="52"/>
        <v>1.2041598242480438</v>
      </c>
      <c r="G875" s="8">
        <f t="shared" ca="1" si="53"/>
        <v>1675.7440037763652</v>
      </c>
      <c r="H875" s="8">
        <f t="shared" ca="1" si="54"/>
        <v>0.16015903696610581</v>
      </c>
    </row>
    <row r="876" spans="5:8" x14ac:dyDescent="0.3">
      <c r="E876" s="8">
        <f t="shared" si="55"/>
        <v>872</v>
      </c>
      <c r="F876" s="8">
        <f t="shared" ca="1" si="52"/>
        <v>1.3250488119922232</v>
      </c>
      <c r="G876" s="8">
        <f t="shared" ca="1" si="53"/>
        <v>1411.7677879134815</v>
      </c>
      <c r="H876" s="8">
        <f t="shared" ca="1" si="54"/>
        <v>0.13492954104114321</v>
      </c>
    </row>
    <row r="877" spans="5:8" x14ac:dyDescent="0.3">
      <c r="E877" s="8">
        <f t="shared" si="55"/>
        <v>873</v>
      </c>
      <c r="F877" s="8">
        <f t="shared" ca="1" si="52"/>
        <v>1.2187833402867543</v>
      </c>
      <c r="G877" s="8">
        <f t="shared" ca="1" si="53"/>
        <v>1643.8117285663361</v>
      </c>
      <c r="H877" s="8">
        <f t="shared" ca="1" si="54"/>
        <v>0.15710711350151355</v>
      </c>
    </row>
    <row r="878" spans="5:8" x14ac:dyDescent="0.3">
      <c r="E878" s="8">
        <f t="shared" si="55"/>
        <v>874</v>
      </c>
      <c r="F878" s="8">
        <f t="shared" ca="1" si="52"/>
        <v>1.1592611894220506</v>
      </c>
      <c r="G878" s="8">
        <f t="shared" ca="1" si="53"/>
        <v>1773.7857852482746</v>
      </c>
      <c r="H878" s="8">
        <f t="shared" ca="1" si="54"/>
        <v>0.16952936875162714</v>
      </c>
    </row>
    <row r="879" spans="5:8" x14ac:dyDescent="0.3">
      <c r="E879" s="8">
        <f t="shared" si="55"/>
        <v>875</v>
      </c>
      <c r="F879" s="8">
        <f t="shared" ca="1" si="52"/>
        <v>1.1630669224875188</v>
      </c>
      <c r="G879" s="8">
        <f t="shared" ca="1" si="53"/>
        <v>1765.4754913831916</v>
      </c>
      <c r="H879" s="8">
        <f t="shared" ca="1" si="54"/>
        <v>0.16873511338843464</v>
      </c>
    </row>
    <row r="880" spans="5:8" x14ac:dyDescent="0.3">
      <c r="E880" s="8">
        <f t="shared" si="55"/>
        <v>876</v>
      </c>
      <c r="F880" s="8">
        <f t="shared" ca="1" si="52"/>
        <v>1.0272803593799293</v>
      </c>
      <c r="G880" s="8">
        <f t="shared" ca="1" si="53"/>
        <v>2061.9824252490016</v>
      </c>
      <c r="H880" s="8">
        <f t="shared" ca="1" si="54"/>
        <v>0.19707372887785546</v>
      </c>
    </row>
    <row r="881" spans="5:8" x14ac:dyDescent="0.3">
      <c r="E881" s="8">
        <f t="shared" si="55"/>
        <v>877</v>
      </c>
      <c r="F881" s="8">
        <f t="shared" ca="1" si="52"/>
        <v>1.3077405251589371</v>
      </c>
      <c r="G881" s="8">
        <f t="shared" ca="1" si="53"/>
        <v>1449.5625957498157</v>
      </c>
      <c r="H881" s="8">
        <f t="shared" ca="1" si="54"/>
        <v>0.13854177537511381</v>
      </c>
    </row>
    <row r="882" spans="5:8" x14ac:dyDescent="0.3">
      <c r="E882" s="8">
        <f t="shared" si="55"/>
        <v>878</v>
      </c>
      <c r="F882" s="8">
        <f t="shared" ca="1" si="52"/>
        <v>1.3727341196985794</v>
      </c>
      <c r="G882" s="8">
        <f t="shared" ca="1" si="53"/>
        <v>1307.6409578731896</v>
      </c>
      <c r="H882" s="8">
        <f t="shared" ca="1" si="54"/>
        <v>0.12497763145113157</v>
      </c>
    </row>
    <row r="883" spans="5:8" x14ac:dyDescent="0.3">
      <c r="E883" s="8">
        <f t="shared" si="55"/>
        <v>879</v>
      </c>
      <c r="F883" s="8">
        <f t="shared" ca="1" si="52"/>
        <v>1.0058775854127759</v>
      </c>
      <c r="G883" s="8">
        <f t="shared" ca="1" si="53"/>
        <v>2108.7180575530269</v>
      </c>
      <c r="H883" s="8">
        <f t="shared" ca="1" si="54"/>
        <v>0.20154048146354075</v>
      </c>
    </row>
    <row r="884" spans="5:8" x14ac:dyDescent="0.3">
      <c r="E884" s="8">
        <f t="shared" si="55"/>
        <v>880</v>
      </c>
      <c r="F884" s="8">
        <f t="shared" ca="1" si="52"/>
        <v>1.1754684336285748</v>
      </c>
      <c r="G884" s="8">
        <f t="shared" ca="1" si="53"/>
        <v>1738.3952416178033</v>
      </c>
      <c r="H884" s="8">
        <f t="shared" ca="1" si="54"/>
        <v>0.16614692168764247</v>
      </c>
    </row>
    <row r="885" spans="5:8" x14ac:dyDescent="0.3">
      <c r="E885" s="8">
        <f t="shared" si="55"/>
        <v>881</v>
      </c>
      <c r="F885" s="8">
        <f t="shared" ca="1" si="52"/>
        <v>1.3695284164511445</v>
      </c>
      <c r="G885" s="8">
        <f t="shared" ca="1" si="53"/>
        <v>1314.6410116268694</v>
      </c>
      <c r="H885" s="8">
        <f t="shared" ca="1" si="54"/>
        <v>0.1256466607690786</v>
      </c>
    </row>
    <row r="886" spans="5:8" x14ac:dyDescent="0.3">
      <c r="E886" s="8">
        <f t="shared" si="55"/>
        <v>882</v>
      </c>
      <c r="F886" s="8">
        <f t="shared" ca="1" si="52"/>
        <v>1.1729427566202804</v>
      </c>
      <c r="G886" s="8">
        <f t="shared" ca="1" si="53"/>
        <v>1743.9103730750401</v>
      </c>
      <c r="H886" s="8">
        <f t="shared" ca="1" si="54"/>
        <v>0.16667402973096054</v>
      </c>
    </row>
    <row r="887" spans="5:8" x14ac:dyDescent="0.3">
      <c r="E887" s="8">
        <f t="shared" si="55"/>
        <v>883</v>
      </c>
      <c r="F887" s="8">
        <f t="shared" ca="1" si="52"/>
        <v>1.2555437518876933</v>
      </c>
      <c r="G887" s="8">
        <f t="shared" ca="1" si="53"/>
        <v>1563.5407747842355</v>
      </c>
      <c r="H887" s="8">
        <f t="shared" ca="1" si="54"/>
        <v>0.14943522649185087</v>
      </c>
    </row>
    <row r="888" spans="5:8" x14ac:dyDescent="0.3">
      <c r="E888" s="8">
        <f t="shared" si="55"/>
        <v>884</v>
      </c>
      <c r="F888" s="8">
        <f t="shared" ca="1" si="52"/>
        <v>1.2119262719620345</v>
      </c>
      <c r="G888" s="8">
        <f t="shared" ca="1" si="53"/>
        <v>1658.7849943869023</v>
      </c>
      <c r="H888" s="8">
        <f t="shared" ca="1" si="54"/>
        <v>0.1585381816292557</v>
      </c>
    </row>
    <row r="889" spans="5:8" x14ac:dyDescent="0.3">
      <c r="E889" s="8">
        <f t="shared" si="55"/>
        <v>885</v>
      </c>
      <c r="F889" s="8">
        <f t="shared" ca="1" si="52"/>
        <v>1.1332353261284589</v>
      </c>
      <c r="G889" s="8">
        <f t="shared" ca="1" si="53"/>
        <v>1830.6165109827439</v>
      </c>
      <c r="H889" s="8">
        <f t="shared" ca="1" si="54"/>
        <v>0.17496095871000134</v>
      </c>
    </row>
    <row r="890" spans="5:8" x14ac:dyDescent="0.3">
      <c r="E890" s="8">
        <f t="shared" si="55"/>
        <v>886</v>
      </c>
      <c r="F890" s="8">
        <f t="shared" ca="1" si="52"/>
        <v>1.0409104507974536</v>
      </c>
      <c r="G890" s="8">
        <f t="shared" ca="1" si="53"/>
        <v>2032.2194168774104</v>
      </c>
      <c r="H890" s="8">
        <f t="shared" ca="1" si="54"/>
        <v>0.19422913283737078</v>
      </c>
    </row>
    <row r="891" spans="5:8" x14ac:dyDescent="0.3">
      <c r="E891" s="8">
        <f t="shared" si="55"/>
        <v>887</v>
      </c>
      <c r="F891" s="8">
        <f t="shared" ca="1" si="52"/>
        <v>1.328860390570104</v>
      </c>
      <c r="G891" s="8">
        <f t="shared" ca="1" si="53"/>
        <v>1403.4447296413566</v>
      </c>
      <c r="H891" s="8">
        <f t="shared" ca="1" si="54"/>
        <v>0.13413406572124215</v>
      </c>
    </row>
    <row r="892" spans="5:8" x14ac:dyDescent="0.3">
      <c r="E892" s="8">
        <f t="shared" si="55"/>
        <v>888</v>
      </c>
      <c r="F892" s="8">
        <f t="shared" ca="1" si="52"/>
        <v>1.0261458462075623</v>
      </c>
      <c r="G892" s="8">
        <f t="shared" ca="1" si="53"/>
        <v>2064.4597765750113</v>
      </c>
      <c r="H892" s="8">
        <f t="shared" ca="1" si="54"/>
        <v>0.19731050144079246</v>
      </c>
    </row>
    <row r="893" spans="5:8" x14ac:dyDescent="0.3">
      <c r="E893" s="8">
        <f t="shared" si="55"/>
        <v>889</v>
      </c>
      <c r="F893" s="8">
        <f t="shared" ca="1" si="52"/>
        <v>1.0853007749612114</v>
      </c>
      <c r="G893" s="8">
        <f t="shared" ca="1" si="53"/>
        <v>1935.2875952753247</v>
      </c>
      <c r="H893" s="8">
        <f t="shared" ca="1" si="54"/>
        <v>0.18496488533645464</v>
      </c>
    </row>
    <row r="894" spans="5:8" x14ac:dyDescent="0.3">
      <c r="E894" s="8">
        <f t="shared" si="55"/>
        <v>890</v>
      </c>
      <c r="F894" s="8">
        <f t="shared" ca="1" si="52"/>
        <v>1.2740119651391995</v>
      </c>
      <c r="G894" s="8">
        <f t="shared" ca="1" si="53"/>
        <v>1523.2131226229155</v>
      </c>
      <c r="H894" s="8">
        <f t="shared" ca="1" si="54"/>
        <v>0.14558091585806324</v>
      </c>
    </row>
    <row r="895" spans="5:8" x14ac:dyDescent="0.3">
      <c r="E895" s="8">
        <f t="shared" si="55"/>
        <v>891</v>
      </c>
      <c r="F895" s="8">
        <f t="shared" ca="1" si="52"/>
        <v>1.1712259502943181</v>
      </c>
      <c r="G895" s="8">
        <f t="shared" ca="1" si="53"/>
        <v>1747.6592342885695</v>
      </c>
      <c r="H895" s="8">
        <f t="shared" ca="1" si="54"/>
        <v>0.16703232670252982</v>
      </c>
    </row>
    <row r="896" spans="5:8" x14ac:dyDescent="0.3">
      <c r="E896" s="8">
        <f t="shared" si="55"/>
        <v>892</v>
      </c>
      <c r="F896" s="8">
        <f t="shared" ca="1" si="52"/>
        <v>0.98205971273163961</v>
      </c>
      <c r="G896" s="8">
        <f t="shared" ca="1" si="53"/>
        <v>2160.7273597863732</v>
      </c>
      <c r="H896" s="8">
        <f t="shared" ca="1" si="54"/>
        <v>0.2065112644352837</v>
      </c>
    </row>
    <row r="897" spans="5:8" x14ac:dyDescent="0.3">
      <c r="E897" s="8">
        <f t="shared" si="55"/>
        <v>893</v>
      </c>
      <c r="F897" s="8">
        <f t="shared" ca="1" si="52"/>
        <v>1.2797149876780096</v>
      </c>
      <c r="G897" s="8">
        <f t="shared" ca="1" si="53"/>
        <v>1510.7598600316062</v>
      </c>
      <c r="H897" s="8">
        <f t="shared" ca="1" si="54"/>
        <v>0.14439069674391725</v>
      </c>
    </row>
    <row r="898" spans="5:8" x14ac:dyDescent="0.3">
      <c r="E898" s="8">
        <f t="shared" si="55"/>
        <v>894</v>
      </c>
      <c r="F898" s="8">
        <f t="shared" ca="1" si="52"/>
        <v>1.0798529284267442</v>
      </c>
      <c r="G898" s="8">
        <f t="shared" ca="1" si="53"/>
        <v>1947.1836491641507</v>
      </c>
      <c r="H898" s="8">
        <f t="shared" ca="1" si="54"/>
        <v>0.18610184929409831</v>
      </c>
    </row>
    <row r="899" spans="5:8" x14ac:dyDescent="0.3">
      <c r="E899" s="8">
        <f t="shared" si="55"/>
        <v>895</v>
      </c>
      <c r="F899" s="8">
        <f t="shared" ca="1" si="52"/>
        <v>0.97565455616651353</v>
      </c>
      <c r="G899" s="8">
        <f t="shared" ca="1" si="53"/>
        <v>2174.7138197908967</v>
      </c>
      <c r="H899" s="8">
        <f t="shared" ca="1" si="54"/>
        <v>0.20784801871269201</v>
      </c>
    </row>
    <row r="900" spans="5:8" x14ac:dyDescent="0.3">
      <c r="E900" s="8">
        <f t="shared" si="55"/>
        <v>896</v>
      </c>
      <c r="F900" s="8">
        <f t="shared" ca="1" si="52"/>
        <v>1.3270433079236017</v>
      </c>
      <c r="G900" s="8">
        <f t="shared" ca="1" si="53"/>
        <v>1407.4125567353251</v>
      </c>
      <c r="H900" s="8">
        <f t="shared" ca="1" si="54"/>
        <v>0.13451329033119805</v>
      </c>
    </row>
    <row r="901" spans="5:8" x14ac:dyDescent="0.3">
      <c r="E901" s="8">
        <f t="shared" si="55"/>
        <v>897</v>
      </c>
      <c r="F901" s="8">
        <f t="shared" ref="F901:F964" ca="1" si="56">_xlfn.NORM.INV(RAND(), $C$9, $C$9 * $C$10)</f>
        <v>1.1212314373058361</v>
      </c>
      <c r="G901" s="8">
        <f t="shared" ref="G901:G964" ca="1" si="57">$C$7 - ($C$6 + ($C$8 * $C$11)) - (($C$6 + ($C$8 * $C$11)) * (1 - $C$12) * (F901 - $C$13))</f>
        <v>1856.8285027130437</v>
      </c>
      <c r="H901" s="8">
        <f t="shared" ref="H901:H964" ca="1" si="58">G901 / $C$7</f>
        <v>0.17746616675074489</v>
      </c>
    </row>
    <row r="902" spans="5:8" x14ac:dyDescent="0.3">
      <c r="E902" s="8">
        <f t="shared" ref="E902:E965" si="59">ROW()-4</f>
        <v>898</v>
      </c>
      <c r="F902" s="8">
        <f t="shared" ca="1" si="56"/>
        <v>1.3909587696453953</v>
      </c>
      <c r="G902" s="8">
        <f t="shared" ca="1" si="57"/>
        <v>1267.8451566330734</v>
      </c>
      <c r="H902" s="8">
        <f t="shared" ca="1" si="58"/>
        <v>0.1211741524068693</v>
      </c>
    </row>
    <row r="903" spans="5:8" x14ac:dyDescent="0.3">
      <c r="E903" s="8">
        <f t="shared" si="59"/>
        <v>899</v>
      </c>
      <c r="F903" s="8">
        <f t="shared" ca="1" si="56"/>
        <v>0.95582445842643038</v>
      </c>
      <c r="G903" s="8">
        <f t="shared" ca="1" si="57"/>
        <v>2218.0153169685859</v>
      </c>
      <c r="H903" s="8">
        <f t="shared" ca="1" si="58"/>
        <v>0.21198655423574367</v>
      </c>
    </row>
    <row r="904" spans="5:8" x14ac:dyDescent="0.3">
      <c r="E904" s="8">
        <f t="shared" si="59"/>
        <v>900</v>
      </c>
      <c r="F904" s="8">
        <f t="shared" ca="1" si="56"/>
        <v>1.1375846098745974</v>
      </c>
      <c r="G904" s="8">
        <f t="shared" ca="1" si="57"/>
        <v>1821.1193062625821</v>
      </c>
      <c r="H904" s="8">
        <f t="shared" ca="1" si="58"/>
        <v>0.1740532644807973</v>
      </c>
    </row>
    <row r="905" spans="5:8" x14ac:dyDescent="0.3">
      <c r="E905" s="8">
        <f t="shared" si="59"/>
        <v>901</v>
      </c>
      <c r="F905" s="8">
        <f t="shared" ca="1" si="56"/>
        <v>1.1960070652056281</v>
      </c>
      <c r="G905" s="8">
        <f t="shared" ca="1" si="57"/>
        <v>1693.5465722403603</v>
      </c>
      <c r="H905" s="8">
        <f t="shared" ca="1" si="58"/>
        <v>0.16186051536274113</v>
      </c>
    </row>
    <row r="906" spans="5:8" x14ac:dyDescent="0.3">
      <c r="E906" s="8">
        <f t="shared" si="59"/>
        <v>902</v>
      </c>
      <c r="F906" s="8">
        <f t="shared" ca="1" si="56"/>
        <v>1.2393428091865557</v>
      </c>
      <c r="G906" s="8">
        <f t="shared" ca="1" si="57"/>
        <v>1598.917558290007</v>
      </c>
      <c r="H906" s="8">
        <f t="shared" ca="1" si="58"/>
        <v>0.15281635843352834</v>
      </c>
    </row>
    <row r="907" spans="5:8" x14ac:dyDescent="0.3">
      <c r="E907" s="8">
        <f t="shared" si="59"/>
        <v>903</v>
      </c>
      <c r="F907" s="8">
        <f t="shared" ca="1" si="56"/>
        <v>1.0843040085835087</v>
      </c>
      <c r="G907" s="8">
        <f t="shared" ca="1" si="57"/>
        <v>1937.4641592568355</v>
      </c>
      <c r="H907" s="8">
        <f t="shared" ca="1" si="58"/>
        <v>0.18517291018415707</v>
      </c>
    </row>
    <row r="908" spans="5:8" x14ac:dyDescent="0.3">
      <c r="E908" s="8">
        <f t="shared" si="59"/>
        <v>904</v>
      </c>
      <c r="F908" s="8">
        <f t="shared" ca="1" si="56"/>
        <v>1.033289861272696</v>
      </c>
      <c r="G908" s="8">
        <f t="shared" ca="1" si="57"/>
        <v>2048.859926678409</v>
      </c>
      <c r="H908" s="8">
        <f t="shared" ca="1" si="58"/>
        <v>0.19581954761334311</v>
      </c>
    </row>
    <row r="909" spans="5:8" x14ac:dyDescent="0.3">
      <c r="E909" s="8">
        <f t="shared" si="59"/>
        <v>905</v>
      </c>
      <c r="F909" s="8">
        <f t="shared" ca="1" si="56"/>
        <v>1.1447534575730787</v>
      </c>
      <c r="G909" s="8">
        <f t="shared" ca="1" si="57"/>
        <v>1805.4652312069859</v>
      </c>
      <c r="H909" s="8">
        <f t="shared" ca="1" si="58"/>
        <v>0.17255712809012577</v>
      </c>
    </row>
    <row r="910" spans="5:8" x14ac:dyDescent="0.3">
      <c r="E910" s="8">
        <f t="shared" si="59"/>
        <v>906</v>
      </c>
      <c r="F910" s="8">
        <f t="shared" ca="1" si="56"/>
        <v>1.3876493363583817</v>
      </c>
      <c r="G910" s="8">
        <f t="shared" ca="1" si="57"/>
        <v>1275.0717178944285</v>
      </c>
      <c r="H910" s="8">
        <f t="shared" ca="1" si="58"/>
        <v>0.12186483015334307</v>
      </c>
    </row>
    <row r="911" spans="5:8" x14ac:dyDescent="0.3">
      <c r="E911" s="8">
        <f t="shared" si="59"/>
        <v>907</v>
      </c>
      <c r="F911" s="8">
        <f t="shared" ca="1" si="56"/>
        <v>0.88363174209269291</v>
      </c>
      <c r="G911" s="8">
        <f t="shared" ca="1" si="57"/>
        <v>2375.6571371728432</v>
      </c>
      <c r="H911" s="8">
        <f t="shared" ca="1" si="58"/>
        <v>0.22705315274518237</v>
      </c>
    </row>
    <row r="912" spans="5:8" x14ac:dyDescent="0.3">
      <c r="E912" s="8">
        <f t="shared" si="59"/>
        <v>908</v>
      </c>
      <c r="F912" s="8">
        <f t="shared" ca="1" si="56"/>
        <v>1.2519206674505103</v>
      </c>
      <c r="G912" s="8">
        <f t="shared" ca="1" si="57"/>
        <v>1571.4522325383791</v>
      </c>
      <c r="H912" s="8">
        <f t="shared" ca="1" si="58"/>
        <v>0.15019136314043574</v>
      </c>
    </row>
    <row r="913" spans="5:8" x14ac:dyDescent="0.3">
      <c r="E913" s="8">
        <f t="shared" si="59"/>
        <v>909</v>
      </c>
      <c r="F913" s="8">
        <f t="shared" ca="1" si="56"/>
        <v>1.2571845546774862</v>
      </c>
      <c r="G913" s="8">
        <f t="shared" ca="1" si="57"/>
        <v>1559.957876792374</v>
      </c>
      <c r="H913" s="8">
        <f t="shared" ca="1" si="58"/>
        <v>0.14909279143576162</v>
      </c>
    </row>
    <row r="914" spans="5:8" x14ac:dyDescent="0.3">
      <c r="E914" s="8">
        <f t="shared" si="59"/>
        <v>910</v>
      </c>
      <c r="F914" s="8">
        <f t="shared" ca="1" si="56"/>
        <v>1.071084518735298</v>
      </c>
      <c r="G914" s="8">
        <f t="shared" ca="1" si="57"/>
        <v>1966.3305677766348</v>
      </c>
      <c r="H914" s="8">
        <f t="shared" ca="1" si="58"/>
        <v>0.18793181379877996</v>
      </c>
    </row>
    <row r="915" spans="5:8" x14ac:dyDescent="0.3">
      <c r="E915" s="8">
        <f t="shared" si="59"/>
        <v>911</v>
      </c>
      <c r="F915" s="8">
        <f t="shared" ca="1" si="56"/>
        <v>1.2459429698029709</v>
      </c>
      <c r="G915" s="8">
        <f t="shared" ca="1" si="57"/>
        <v>1584.5052825639875</v>
      </c>
      <c r="H915" s="8">
        <f t="shared" ca="1" si="58"/>
        <v>0.1514389068683922</v>
      </c>
    </row>
    <row r="916" spans="5:8" x14ac:dyDescent="0.3">
      <c r="E916" s="8">
        <f t="shared" si="59"/>
        <v>912</v>
      </c>
      <c r="F916" s="8">
        <f t="shared" ca="1" si="56"/>
        <v>1.3428975517250126</v>
      </c>
      <c r="G916" s="8">
        <f t="shared" ca="1" si="57"/>
        <v>1372.7928336144691</v>
      </c>
      <c r="H916" s="8">
        <f t="shared" ca="1" si="58"/>
        <v>0.13120451434717281</v>
      </c>
    </row>
    <row r="917" spans="5:8" x14ac:dyDescent="0.3">
      <c r="E917" s="8">
        <f t="shared" si="59"/>
        <v>913</v>
      </c>
      <c r="F917" s="8">
        <f t="shared" ca="1" si="56"/>
        <v>1.2034744372238033</v>
      </c>
      <c r="G917" s="8">
        <f t="shared" ca="1" si="57"/>
        <v>1677.2406320171724</v>
      </c>
      <c r="H917" s="8">
        <f t="shared" ca="1" si="58"/>
        <v>0.16030207703499688</v>
      </c>
    </row>
    <row r="918" spans="5:8" x14ac:dyDescent="0.3">
      <c r="E918" s="8">
        <f t="shared" si="59"/>
        <v>914</v>
      </c>
      <c r="F918" s="8">
        <f t="shared" ca="1" si="56"/>
        <v>1.0462128608960124</v>
      </c>
      <c r="G918" s="8">
        <f t="shared" ca="1" si="57"/>
        <v>2020.6409416259448</v>
      </c>
      <c r="H918" s="8">
        <f t="shared" ca="1" si="58"/>
        <v>0.19312252142081093</v>
      </c>
    </row>
    <row r="919" spans="5:8" x14ac:dyDescent="0.3">
      <c r="E919" s="8">
        <f t="shared" si="59"/>
        <v>915</v>
      </c>
      <c r="F919" s="8">
        <f t="shared" ca="1" si="56"/>
        <v>1.1439010081268457</v>
      </c>
      <c r="G919" s="8">
        <f t="shared" ca="1" si="57"/>
        <v>1807.3266611290164</v>
      </c>
      <c r="H919" s="8">
        <f t="shared" ca="1" si="58"/>
        <v>0.17273503403698906</v>
      </c>
    </row>
    <row r="920" spans="5:8" x14ac:dyDescent="0.3">
      <c r="E920" s="8">
        <f t="shared" si="59"/>
        <v>916</v>
      </c>
      <c r="F920" s="8">
        <f t="shared" ca="1" si="56"/>
        <v>1.2559583672127859</v>
      </c>
      <c r="G920" s="8">
        <f t="shared" ca="1" si="57"/>
        <v>1562.6354103949802</v>
      </c>
      <c r="H920" s="8">
        <f t="shared" ca="1" si="58"/>
        <v>0.14934869639634715</v>
      </c>
    </row>
    <row r="921" spans="5:8" x14ac:dyDescent="0.3">
      <c r="E921" s="8">
        <f t="shared" si="59"/>
        <v>917</v>
      </c>
      <c r="F921" s="8">
        <f t="shared" ca="1" si="56"/>
        <v>0.88813411225504457</v>
      </c>
      <c r="G921" s="8">
        <f t="shared" ca="1" si="57"/>
        <v>2365.8256491270781</v>
      </c>
      <c r="H921" s="8">
        <f t="shared" ca="1" si="58"/>
        <v>0.22611350942627145</v>
      </c>
    </row>
    <row r="922" spans="5:8" x14ac:dyDescent="0.3">
      <c r="E922" s="8">
        <f t="shared" si="59"/>
        <v>918</v>
      </c>
      <c r="F922" s="8">
        <f t="shared" ca="1" si="56"/>
        <v>1.3567125195629466</v>
      </c>
      <c r="G922" s="8">
        <f t="shared" ca="1" si="57"/>
        <v>1342.6261244693605</v>
      </c>
      <c r="H922" s="8">
        <f t="shared" ca="1" si="58"/>
        <v>0.12832133465252418</v>
      </c>
    </row>
    <row r="923" spans="5:8" x14ac:dyDescent="0.3">
      <c r="E923" s="8">
        <f t="shared" si="59"/>
        <v>919</v>
      </c>
      <c r="F923" s="8">
        <f t="shared" ca="1" si="56"/>
        <v>1.0179141762628778</v>
      </c>
      <c r="G923" s="8">
        <f t="shared" ca="1" si="57"/>
        <v>2082.4346568579731</v>
      </c>
      <c r="H923" s="8">
        <f t="shared" ca="1" si="58"/>
        <v>0.19902844851935134</v>
      </c>
    </row>
    <row r="924" spans="5:8" x14ac:dyDescent="0.3">
      <c r="E924" s="8">
        <f t="shared" si="59"/>
        <v>920</v>
      </c>
      <c r="F924" s="8">
        <f t="shared" ca="1" si="56"/>
        <v>1.2318737996763174</v>
      </c>
      <c r="G924" s="8">
        <f t="shared" ca="1" si="57"/>
        <v>1615.2270741818013</v>
      </c>
      <c r="H924" s="8">
        <f t="shared" ca="1" si="58"/>
        <v>0.15437513850538098</v>
      </c>
    </row>
    <row r="925" spans="5:8" x14ac:dyDescent="0.3">
      <c r="E925" s="8">
        <f t="shared" si="59"/>
        <v>921</v>
      </c>
      <c r="F925" s="8">
        <f t="shared" ca="1" si="56"/>
        <v>0.93289929284007622</v>
      </c>
      <c r="G925" s="8">
        <f t="shared" ca="1" si="57"/>
        <v>2268.0752816720883</v>
      </c>
      <c r="H925" s="8">
        <f t="shared" ca="1" si="58"/>
        <v>0.2167710295012987</v>
      </c>
    </row>
    <row r="926" spans="5:8" x14ac:dyDescent="0.3">
      <c r="E926" s="8">
        <f t="shared" si="59"/>
        <v>922</v>
      </c>
      <c r="F926" s="8">
        <f t="shared" ca="1" si="56"/>
        <v>1.2525615442694018</v>
      </c>
      <c r="G926" s="8">
        <f t="shared" ca="1" si="57"/>
        <v>1570.0527978947273</v>
      </c>
      <c r="H926" s="8">
        <f t="shared" ca="1" si="58"/>
        <v>0.15005761233821344</v>
      </c>
    </row>
    <row r="927" spans="5:8" x14ac:dyDescent="0.3">
      <c r="E927" s="8">
        <f t="shared" si="59"/>
        <v>923</v>
      </c>
      <c r="F927" s="8">
        <f t="shared" ca="1" si="56"/>
        <v>1.0671443031915682</v>
      </c>
      <c r="G927" s="8">
        <f t="shared" ca="1" si="57"/>
        <v>1974.9345209433118</v>
      </c>
      <c r="H927" s="8">
        <f t="shared" ca="1" si="58"/>
        <v>0.18875413561534091</v>
      </c>
    </row>
    <row r="928" spans="5:8" x14ac:dyDescent="0.3">
      <c r="E928" s="8">
        <f t="shared" si="59"/>
        <v>924</v>
      </c>
      <c r="F928" s="8">
        <f t="shared" ca="1" si="56"/>
        <v>1.0875536167749036</v>
      </c>
      <c r="G928" s="8">
        <f t="shared" ca="1" si="57"/>
        <v>1930.3682335699009</v>
      </c>
      <c r="H928" s="8">
        <f t="shared" ca="1" si="58"/>
        <v>0.18449471791741384</v>
      </c>
    </row>
    <row r="929" spans="5:8" x14ac:dyDescent="0.3">
      <c r="E929" s="8">
        <f t="shared" si="59"/>
        <v>925</v>
      </c>
      <c r="F929" s="8">
        <f t="shared" ca="1" si="56"/>
        <v>1.1117931620493391</v>
      </c>
      <c r="G929" s="8">
        <f t="shared" ca="1" si="57"/>
        <v>1877.4381565200117</v>
      </c>
      <c r="H929" s="8">
        <f t="shared" ca="1" si="58"/>
        <v>0.17943593200038341</v>
      </c>
    </row>
    <row r="930" spans="5:8" x14ac:dyDescent="0.3">
      <c r="E930" s="8">
        <f t="shared" si="59"/>
        <v>926</v>
      </c>
      <c r="F930" s="8">
        <f t="shared" ca="1" si="56"/>
        <v>1.3174788852689947</v>
      </c>
      <c r="G930" s="8">
        <f t="shared" ca="1" si="57"/>
        <v>1428.2976691544914</v>
      </c>
      <c r="H930" s="8">
        <f t="shared" ca="1" si="58"/>
        <v>0.13650938250544695</v>
      </c>
    </row>
    <row r="931" spans="5:8" x14ac:dyDescent="0.3">
      <c r="E931" s="8">
        <f t="shared" si="59"/>
        <v>927</v>
      </c>
      <c r="F931" s="8">
        <f t="shared" ca="1" si="56"/>
        <v>1.1446346998439034</v>
      </c>
      <c r="G931" s="8">
        <f t="shared" ca="1" si="57"/>
        <v>1805.7245535533561</v>
      </c>
      <c r="H931" s="8">
        <f t="shared" ca="1" si="58"/>
        <v>0.17258191279301885</v>
      </c>
    </row>
    <row r="932" spans="5:8" x14ac:dyDescent="0.3">
      <c r="E932" s="8">
        <f t="shared" si="59"/>
        <v>928</v>
      </c>
      <c r="F932" s="8">
        <f t="shared" ca="1" si="56"/>
        <v>1.0642597049635738</v>
      </c>
      <c r="G932" s="8">
        <f t="shared" ca="1" si="57"/>
        <v>1981.2334017489161</v>
      </c>
      <c r="H932" s="8">
        <f t="shared" ca="1" si="58"/>
        <v>0.1893561504108684</v>
      </c>
    </row>
    <row r="933" spans="5:8" x14ac:dyDescent="0.3">
      <c r="E933" s="8">
        <f t="shared" si="59"/>
        <v>929</v>
      </c>
      <c r="F933" s="8">
        <f t="shared" ca="1" si="56"/>
        <v>1.0248120470932101</v>
      </c>
      <c r="G933" s="8">
        <f t="shared" ca="1" si="57"/>
        <v>2067.3722936660888</v>
      </c>
      <c r="H933" s="8">
        <f t="shared" ca="1" si="58"/>
        <v>0.1975888649207769</v>
      </c>
    </row>
    <row r="934" spans="5:8" x14ac:dyDescent="0.3">
      <c r="E934" s="8">
        <f t="shared" si="59"/>
        <v>930</v>
      </c>
      <c r="F934" s="8">
        <f t="shared" ca="1" si="56"/>
        <v>1.0327304980987717</v>
      </c>
      <c r="G934" s="8">
        <f t="shared" ca="1" si="57"/>
        <v>2050.0813660890694</v>
      </c>
      <c r="H934" s="8">
        <f t="shared" ca="1" si="58"/>
        <v>0.19593628654201178</v>
      </c>
    </row>
    <row r="935" spans="5:8" x14ac:dyDescent="0.3">
      <c r="E935" s="8">
        <f t="shared" si="59"/>
        <v>931</v>
      </c>
      <c r="F935" s="8">
        <f t="shared" ca="1" si="56"/>
        <v>1.3615036443494177</v>
      </c>
      <c r="G935" s="8">
        <f t="shared" ca="1" si="57"/>
        <v>1332.1641046075026</v>
      </c>
      <c r="H935" s="8">
        <f t="shared" ca="1" si="58"/>
        <v>0.12732142832911236</v>
      </c>
    </row>
    <row r="936" spans="5:8" x14ac:dyDescent="0.3">
      <c r="E936" s="8">
        <f t="shared" si="59"/>
        <v>932</v>
      </c>
      <c r="F936" s="8">
        <f t="shared" ca="1" si="56"/>
        <v>0.97999189659331409</v>
      </c>
      <c r="G936" s="8">
        <f t="shared" ca="1" si="57"/>
        <v>2165.2426948014245</v>
      </c>
      <c r="H936" s="8">
        <f t="shared" ca="1" si="58"/>
        <v>0.20694281705069525</v>
      </c>
    </row>
    <row r="937" spans="5:8" x14ac:dyDescent="0.3">
      <c r="E937" s="8">
        <f t="shared" si="59"/>
        <v>933</v>
      </c>
      <c r="F937" s="8">
        <f t="shared" ca="1" si="56"/>
        <v>1.285344245059153</v>
      </c>
      <c r="G937" s="8">
        <f t="shared" ca="1" si="57"/>
        <v>1498.4676728827069</v>
      </c>
      <c r="H937" s="8">
        <f t="shared" ca="1" si="58"/>
        <v>0.14321587239632103</v>
      </c>
    </row>
    <row r="938" spans="5:8" x14ac:dyDescent="0.3">
      <c r="E938" s="8">
        <f t="shared" si="59"/>
        <v>934</v>
      </c>
      <c r="F938" s="8">
        <f t="shared" ca="1" si="56"/>
        <v>1.2422529743845132</v>
      </c>
      <c r="G938" s="8">
        <f t="shared" ca="1" si="57"/>
        <v>1592.5628488096172</v>
      </c>
      <c r="H938" s="8">
        <f t="shared" ca="1" si="58"/>
        <v>0.15220900781894459</v>
      </c>
    </row>
    <row r="939" spans="5:8" x14ac:dyDescent="0.3">
      <c r="E939" s="8">
        <f t="shared" si="59"/>
        <v>935</v>
      </c>
      <c r="F939" s="8">
        <f t="shared" ca="1" si="56"/>
        <v>1.1235894047991628</v>
      </c>
      <c r="G939" s="8">
        <f t="shared" ca="1" si="57"/>
        <v>1851.679585945428</v>
      </c>
      <c r="H939" s="8">
        <f t="shared" ca="1" si="58"/>
        <v>0.17697405963351123</v>
      </c>
    </row>
    <row r="940" spans="5:8" x14ac:dyDescent="0.3">
      <c r="E940" s="8">
        <f t="shared" si="59"/>
        <v>936</v>
      </c>
      <c r="F940" s="8">
        <f t="shared" ca="1" si="56"/>
        <v>1.1510363621084554</v>
      </c>
      <c r="G940" s="8">
        <f t="shared" ca="1" si="57"/>
        <v>1791.7457237909239</v>
      </c>
      <c r="H940" s="8">
        <f t="shared" ca="1" si="58"/>
        <v>0.17124588777510502</v>
      </c>
    </row>
    <row r="941" spans="5:8" x14ac:dyDescent="0.3">
      <c r="E941" s="8">
        <f t="shared" si="59"/>
        <v>937</v>
      </c>
      <c r="F941" s="8">
        <f t="shared" ca="1" si="56"/>
        <v>1.4214791136862173</v>
      </c>
      <c r="G941" s="8">
        <f t="shared" ca="1" si="57"/>
        <v>1201.2001703769338</v>
      </c>
      <c r="H941" s="8">
        <f t="shared" ca="1" si="58"/>
        <v>0.11480456564818253</v>
      </c>
    </row>
    <row r="942" spans="5:8" x14ac:dyDescent="0.3">
      <c r="E942" s="8">
        <f t="shared" si="59"/>
        <v>938</v>
      </c>
      <c r="F942" s="8">
        <f t="shared" ca="1" si="56"/>
        <v>1.0493822146043303</v>
      </c>
      <c r="G942" s="8">
        <f t="shared" ca="1" si="57"/>
        <v>2013.720261634619</v>
      </c>
      <c r="H942" s="8">
        <f t="shared" ca="1" si="58"/>
        <v>0.19246107824090786</v>
      </c>
    </row>
    <row r="943" spans="5:8" x14ac:dyDescent="0.3">
      <c r="E943" s="8">
        <f t="shared" si="59"/>
        <v>939</v>
      </c>
      <c r="F943" s="8">
        <f t="shared" ca="1" si="56"/>
        <v>1.2563118774741895</v>
      </c>
      <c r="G943" s="8">
        <f t="shared" ca="1" si="57"/>
        <v>1561.8634765504228</v>
      </c>
      <c r="H943" s="8">
        <f t="shared" ca="1" si="58"/>
        <v>0.14927491890953098</v>
      </c>
    </row>
    <row r="944" spans="5:8" x14ac:dyDescent="0.3">
      <c r="E944" s="8">
        <f t="shared" si="59"/>
        <v>940</v>
      </c>
      <c r="F944" s="8">
        <f t="shared" ca="1" si="56"/>
        <v>1.3661781736172363</v>
      </c>
      <c r="G944" s="8">
        <f t="shared" ca="1" si="57"/>
        <v>1321.9566856350623</v>
      </c>
      <c r="H944" s="8">
        <f t="shared" ca="1" si="58"/>
        <v>0.12634585545589813</v>
      </c>
    </row>
    <row r="945" spans="5:8" x14ac:dyDescent="0.3">
      <c r="E945" s="8">
        <f t="shared" si="59"/>
        <v>941</v>
      </c>
      <c r="F945" s="8">
        <f t="shared" ca="1" si="56"/>
        <v>1.3007068376187219</v>
      </c>
      <c r="G945" s="8">
        <f t="shared" ca="1" si="57"/>
        <v>1464.9215317048183</v>
      </c>
      <c r="H945" s="8">
        <f t="shared" ca="1" si="58"/>
        <v>0.14000970388080075</v>
      </c>
    </row>
    <row r="946" spans="5:8" x14ac:dyDescent="0.3">
      <c r="E946" s="8">
        <f t="shared" si="59"/>
        <v>942</v>
      </c>
      <c r="F946" s="8">
        <f t="shared" ca="1" si="56"/>
        <v>1.1959214197895682</v>
      </c>
      <c r="G946" s="8">
        <f t="shared" ca="1" si="57"/>
        <v>1693.733589712004</v>
      </c>
      <c r="H946" s="8">
        <f t="shared" ca="1" si="58"/>
        <v>0.16187838953569761</v>
      </c>
    </row>
    <row r="947" spans="5:8" x14ac:dyDescent="0.3">
      <c r="E947" s="8">
        <f t="shared" si="59"/>
        <v>943</v>
      </c>
      <c r="F947" s="8">
        <f t="shared" ca="1" si="56"/>
        <v>1.3456014165729082</v>
      </c>
      <c r="G947" s="8">
        <f t="shared" ca="1" si="57"/>
        <v>1366.8886067359831</v>
      </c>
      <c r="H947" s="8">
        <f t="shared" ca="1" si="58"/>
        <v>0.13064021855452385</v>
      </c>
    </row>
    <row r="948" spans="5:8" x14ac:dyDescent="0.3">
      <c r="E948" s="8">
        <f t="shared" si="59"/>
        <v>944</v>
      </c>
      <c r="F948" s="8">
        <f t="shared" ca="1" si="56"/>
        <v>1.453505248678304</v>
      </c>
      <c r="G948" s="8">
        <f t="shared" ca="1" si="57"/>
        <v>1131.2671013548384</v>
      </c>
      <c r="H948" s="8">
        <f t="shared" ca="1" si="58"/>
        <v>0.10812072076410574</v>
      </c>
    </row>
    <row r="949" spans="5:8" x14ac:dyDescent="0.3">
      <c r="E949" s="8">
        <f t="shared" si="59"/>
        <v>945</v>
      </c>
      <c r="F949" s="8">
        <f t="shared" ca="1" si="56"/>
        <v>1.0081159285465655</v>
      </c>
      <c r="G949" s="8">
        <f t="shared" ca="1" si="57"/>
        <v>2103.8303555275056</v>
      </c>
      <c r="H949" s="8">
        <f t="shared" ca="1" si="58"/>
        <v>0.20107333991469994</v>
      </c>
    </row>
    <row r="950" spans="5:8" x14ac:dyDescent="0.3">
      <c r="E950" s="8">
        <f t="shared" si="59"/>
        <v>946</v>
      </c>
      <c r="F950" s="8">
        <f t="shared" ca="1" si="56"/>
        <v>1.1967570166651293</v>
      </c>
      <c r="G950" s="8">
        <f t="shared" ca="1" si="57"/>
        <v>1691.9089594846068</v>
      </c>
      <c r="H950" s="8">
        <f t="shared" ca="1" si="58"/>
        <v>0.16170400071534041</v>
      </c>
    </row>
    <row r="951" spans="5:8" x14ac:dyDescent="0.3">
      <c r="E951" s="8">
        <f t="shared" si="59"/>
        <v>947</v>
      </c>
      <c r="F951" s="8">
        <f t="shared" ca="1" si="56"/>
        <v>1.1866810045445839</v>
      </c>
      <c r="G951" s="8">
        <f t="shared" ca="1" si="57"/>
        <v>1713.9111914513328</v>
      </c>
      <c r="H951" s="8">
        <f t="shared" ca="1" si="58"/>
        <v>0.16380686145955584</v>
      </c>
    </row>
    <row r="952" spans="5:8" x14ac:dyDescent="0.3">
      <c r="E952" s="8">
        <f t="shared" si="59"/>
        <v>948</v>
      </c>
      <c r="F952" s="8">
        <f t="shared" ca="1" si="56"/>
        <v>0.96704729680091828</v>
      </c>
      <c r="G952" s="8">
        <f t="shared" ca="1" si="57"/>
        <v>2193.5088465230947</v>
      </c>
      <c r="H952" s="8">
        <f t="shared" ca="1" si="58"/>
        <v>0.20964435119211455</v>
      </c>
    </row>
    <row r="953" spans="5:8" x14ac:dyDescent="0.3">
      <c r="E953" s="8">
        <f t="shared" si="59"/>
        <v>949</v>
      </c>
      <c r="F953" s="8">
        <f t="shared" ca="1" si="56"/>
        <v>0.942947033367592</v>
      </c>
      <c r="G953" s="8">
        <f t="shared" ca="1" si="57"/>
        <v>2246.1347842626919</v>
      </c>
      <c r="H953" s="8">
        <f t="shared" ca="1" si="58"/>
        <v>0.21467406903017222</v>
      </c>
    </row>
    <row r="954" spans="5:8" x14ac:dyDescent="0.3">
      <c r="E954" s="8">
        <f t="shared" si="59"/>
        <v>950</v>
      </c>
      <c r="F954" s="8">
        <f t="shared" ca="1" si="56"/>
        <v>1.2066037003756509</v>
      </c>
      <c r="G954" s="8">
        <f t="shared" ca="1" si="57"/>
        <v>1670.4074947672191</v>
      </c>
      <c r="H954" s="8">
        <f t="shared" ca="1" si="58"/>
        <v>0.15964900074235105</v>
      </c>
    </row>
    <row r="955" spans="5:8" x14ac:dyDescent="0.3">
      <c r="E955" s="8">
        <f t="shared" si="59"/>
        <v>951</v>
      </c>
      <c r="F955" s="8">
        <f t="shared" ca="1" si="56"/>
        <v>1.3038585421075946</v>
      </c>
      <c r="G955" s="8">
        <f t="shared" ca="1" si="57"/>
        <v>1458.0393909903037</v>
      </c>
      <c r="H955" s="8">
        <f t="shared" ca="1" si="58"/>
        <v>0.13935194408776677</v>
      </c>
    </row>
    <row r="956" spans="5:8" x14ac:dyDescent="0.3">
      <c r="E956" s="8">
        <f t="shared" si="59"/>
        <v>952</v>
      </c>
      <c r="F956" s="8">
        <f t="shared" ca="1" si="56"/>
        <v>1.1024518847272955</v>
      </c>
      <c r="G956" s="8">
        <f t="shared" ca="1" si="57"/>
        <v>1897.8360032123592</v>
      </c>
      <c r="H956" s="8">
        <f t="shared" ca="1" si="58"/>
        <v>0.18138545380984031</v>
      </c>
    </row>
    <row r="957" spans="5:8" x14ac:dyDescent="0.3">
      <c r="E957" s="8">
        <f t="shared" si="59"/>
        <v>953</v>
      </c>
      <c r="F957" s="8">
        <f t="shared" ca="1" si="56"/>
        <v>1.0151978017501753</v>
      </c>
      <c r="G957" s="8">
        <f t="shared" ca="1" si="57"/>
        <v>2088.3662001532734</v>
      </c>
      <c r="H957" s="8">
        <f t="shared" ca="1" si="58"/>
        <v>0.19959535507533915</v>
      </c>
    </row>
    <row r="958" spans="5:8" x14ac:dyDescent="0.3">
      <c r="E958" s="8">
        <f t="shared" si="59"/>
        <v>954</v>
      </c>
      <c r="F958" s="8">
        <f t="shared" ca="1" si="56"/>
        <v>1.1629843697141844</v>
      </c>
      <c r="G958" s="8">
        <f t="shared" ca="1" si="57"/>
        <v>1765.6557556828639</v>
      </c>
      <c r="H958" s="8">
        <f t="shared" ca="1" si="58"/>
        <v>0.1687523421277706</v>
      </c>
    </row>
    <row r="959" spans="5:8" x14ac:dyDescent="0.3">
      <c r="E959" s="8">
        <f t="shared" si="59"/>
        <v>955</v>
      </c>
      <c r="F959" s="8">
        <f t="shared" ca="1" si="56"/>
        <v>1.0082219878438052</v>
      </c>
      <c r="G959" s="8">
        <f t="shared" ca="1" si="57"/>
        <v>2103.5987617945707</v>
      </c>
      <c r="H959" s="8">
        <f t="shared" ca="1" si="58"/>
        <v>0.20105120537078952</v>
      </c>
    </row>
    <row r="960" spans="5:8" x14ac:dyDescent="0.3">
      <c r="E960" s="8">
        <f t="shared" si="59"/>
        <v>956</v>
      </c>
      <c r="F960" s="8">
        <f t="shared" ca="1" si="56"/>
        <v>1.2738471251060037</v>
      </c>
      <c r="G960" s="8">
        <f t="shared" ca="1" si="57"/>
        <v>1523.5730714404024</v>
      </c>
      <c r="H960" s="8">
        <f t="shared" ca="1" si="58"/>
        <v>0.145615317924152</v>
      </c>
    </row>
    <row r="961" spans="5:8" x14ac:dyDescent="0.3">
      <c r="E961" s="8">
        <f t="shared" si="59"/>
        <v>957</v>
      </c>
      <c r="F961" s="8">
        <f t="shared" ca="1" si="56"/>
        <v>1.1428149393365834</v>
      </c>
      <c r="G961" s="8">
        <f t="shared" ca="1" si="57"/>
        <v>1809.6982280911529</v>
      </c>
      <c r="H961" s="8">
        <f t="shared" ca="1" si="58"/>
        <v>0.17296169627173402</v>
      </c>
    </row>
    <row r="962" spans="5:8" x14ac:dyDescent="0.3">
      <c r="E962" s="8">
        <f t="shared" si="59"/>
        <v>958</v>
      </c>
      <c r="F962" s="8">
        <f t="shared" ca="1" si="56"/>
        <v>1.0427215137349692</v>
      </c>
      <c r="G962" s="8">
        <f t="shared" ca="1" si="57"/>
        <v>2028.2647345704777</v>
      </c>
      <c r="H962" s="8">
        <f t="shared" ca="1" si="58"/>
        <v>0.19385116453889684</v>
      </c>
    </row>
    <row r="963" spans="5:8" x14ac:dyDescent="0.3">
      <c r="E963" s="8">
        <f t="shared" si="59"/>
        <v>959</v>
      </c>
      <c r="F963" s="8">
        <f t="shared" ca="1" si="56"/>
        <v>1.234494556195405</v>
      </c>
      <c r="G963" s="8">
        <f t="shared" ca="1" si="57"/>
        <v>1609.5043247278086</v>
      </c>
      <c r="H963" s="8">
        <f t="shared" ca="1" si="58"/>
        <v>0.15382818739633075</v>
      </c>
    </row>
    <row r="964" spans="5:8" x14ac:dyDescent="0.3">
      <c r="E964" s="8">
        <f t="shared" si="59"/>
        <v>960</v>
      </c>
      <c r="F964" s="8">
        <f t="shared" ca="1" si="56"/>
        <v>1.221438322844453</v>
      </c>
      <c r="G964" s="8">
        <f t="shared" ca="1" si="57"/>
        <v>1638.0142422787812</v>
      </c>
      <c r="H964" s="8">
        <f t="shared" ca="1" si="58"/>
        <v>0.15655301942834571</v>
      </c>
    </row>
    <row r="965" spans="5:8" x14ac:dyDescent="0.3">
      <c r="E965" s="8">
        <f t="shared" si="59"/>
        <v>961</v>
      </c>
      <c r="F965" s="8">
        <f t="shared" ref="F965:F1004" ca="1" si="60">_xlfn.NORM.INV(RAND(), $C$9, $C$9 * $C$10)</f>
        <v>1.4537955914148224</v>
      </c>
      <c r="G965" s="8">
        <f t="shared" ref="G965:G1004" ca="1" si="61">$C$7 - ($C$6 + ($C$8 * $C$11)) - (($C$6 + ($C$8 * $C$11)) * (1 - $C$12) * (F965 - $C$13))</f>
        <v>1130.6331016968084</v>
      </c>
      <c r="H965" s="8">
        <f t="shared" ref="H965:H1004" ca="1" si="62">G965 / $C$7</f>
        <v>0.10806012632101772</v>
      </c>
    </row>
    <row r="966" spans="5:8" x14ac:dyDescent="0.3">
      <c r="E966" s="8">
        <f t="shared" ref="E966:E1004" si="63">ROW()-4</f>
        <v>962</v>
      </c>
      <c r="F966" s="8">
        <f t="shared" ca="1" si="60"/>
        <v>1.2206602865434908</v>
      </c>
      <c r="G966" s="8">
        <f t="shared" ca="1" si="61"/>
        <v>1639.7131817964698</v>
      </c>
      <c r="H966" s="8">
        <f t="shared" ca="1" si="62"/>
        <v>0.15671539537383827</v>
      </c>
    </row>
    <row r="967" spans="5:8" x14ac:dyDescent="0.3">
      <c r="E967" s="8">
        <f t="shared" si="63"/>
        <v>963</v>
      </c>
      <c r="F967" s="8">
        <f t="shared" ca="1" si="60"/>
        <v>1.2367835553664206</v>
      </c>
      <c r="G967" s="8">
        <f t="shared" ca="1" si="61"/>
        <v>1604.5060089129997</v>
      </c>
      <c r="H967" s="8">
        <f t="shared" ca="1" si="62"/>
        <v>0.15335047394752938</v>
      </c>
    </row>
    <row r="968" spans="5:8" x14ac:dyDescent="0.3">
      <c r="E968" s="8">
        <f t="shared" si="63"/>
        <v>964</v>
      </c>
      <c r="F968" s="8">
        <f t="shared" ca="1" si="60"/>
        <v>1.0631078722150866</v>
      </c>
      <c r="G968" s="8">
        <f t="shared" ca="1" si="61"/>
        <v>1983.7485725343313</v>
      </c>
      <c r="H968" s="8">
        <f t="shared" ca="1" si="62"/>
        <v>0.18959653756421019</v>
      </c>
    </row>
    <row r="969" spans="5:8" x14ac:dyDescent="0.3">
      <c r="E969" s="8">
        <f t="shared" si="63"/>
        <v>965</v>
      </c>
      <c r="F969" s="8">
        <f t="shared" ca="1" si="60"/>
        <v>0.90379837598641455</v>
      </c>
      <c r="G969" s="8">
        <f t="shared" ca="1" si="61"/>
        <v>2331.6207712366654</v>
      </c>
      <c r="H969" s="8">
        <f t="shared" ca="1" si="62"/>
        <v>0.22284438222657607</v>
      </c>
    </row>
    <row r="970" spans="5:8" x14ac:dyDescent="0.3">
      <c r="E970" s="8">
        <f t="shared" si="63"/>
        <v>966</v>
      </c>
      <c r="F970" s="8">
        <f t="shared" ca="1" si="60"/>
        <v>1.290952740553027</v>
      </c>
      <c r="G970" s="8">
        <f t="shared" ca="1" si="61"/>
        <v>1486.2208219098964</v>
      </c>
      <c r="H970" s="8">
        <f t="shared" ca="1" si="62"/>
        <v>0.14204538104844655</v>
      </c>
    </row>
    <row r="971" spans="5:8" x14ac:dyDescent="0.3">
      <c r="E971" s="8">
        <f t="shared" si="63"/>
        <v>967</v>
      </c>
      <c r="F971" s="8">
        <f t="shared" ca="1" si="60"/>
        <v>1.1560875067662542</v>
      </c>
      <c r="G971" s="8">
        <f t="shared" ca="1" si="61"/>
        <v>1780.7159180375381</v>
      </c>
      <c r="H971" s="8">
        <f t="shared" ca="1" si="62"/>
        <v>0.17019171538158637</v>
      </c>
    </row>
    <row r="972" spans="5:8" x14ac:dyDescent="0.3">
      <c r="E972" s="8">
        <f t="shared" si="63"/>
        <v>968</v>
      </c>
      <c r="F972" s="8">
        <f t="shared" ca="1" si="60"/>
        <v>1.1801776098587013</v>
      </c>
      <c r="G972" s="8">
        <f t="shared" ca="1" si="61"/>
        <v>1728.1121666722931</v>
      </c>
      <c r="H972" s="8">
        <f t="shared" ca="1" si="62"/>
        <v>0.16516411800365985</v>
      </c>
    </row>
    <row r="973" spans="5:8" x14ac:dyDescent="0.3">
      <c r="E973" s="8">
        <f t="shared" si="63"/>
        <v>969</v>
      </c>
      <c r="F973" s="8">
        <f t="shared" ca="1" si="60"/>
        <v>1.1221848418537925</v>
      </c>
      <c r="G973" s="8">
        <f t="shared" ca="1" si="61"/>
        <v>1854.7466247070122</v>
      </c>
      <c r="H973" s="8">
        <f t="shared" ca="1" si="62"/>
        <v>0.17726719150406309</v>
      </c>
    </row>
    <row r="974" spans="5:8" x14ac:dyDescent="0.3">
      <c r="E974" s="8">
        <f t="shared" si="63"/>
        <v>970</v>
      </c>
      <c r="F974" s="8">
        <f t="shared" ca="1" si="60"/>
        <v>0.90661396003417805</v>
      </c>
      <c r="G974" s="8">
        <f t="shared" ca="1" si="61"/>
        <v>2325.472591520368</v>
      </c>
      <c r="H974" s="8">
        <f t="shared" ca="1" si="62"/>
        <v>0.22225677067001509</v>
      </c>
    </row>
    <row r="975" spans="5:8" x14ac:dyDescent="0.3">
      <c r="E975" s="8">
        <f t="shared" si="63"/>
        <v>971</v>
      </c>
      <c r="F975" s="8">
        <f t="shared" ca="1" si="60"/>
        <v>1.1605725949352526</v>
      </c>
      <c r="G975" s="8">
        <f t="shared" ca="1" si="61"/>
        <v>1770.9221673845091</v>
      </c>
      <c r="H975" s="8">
        <f t="shared" ca="1" si="62"/>
        <v>0.16925567880956791</v>
      </c>
    </row>
    <row r="976" spans="5:8" x14ac:dyDescent="0.3">
      <c r="E976" s="8">
        <f t="shared" si="63"/>
        <v>972</v>
      </c>
      <c r="F976" s="8">
        <f t="shared" ca="1" si="60"/>
        <v>1.1706510758460438</v>
      </c>
      <c r="G976" s="8">
        <f t="shared" ca="1" si="61"/>
        <v>1748.9145445056824</v>
      </c>
      <c r="H976" s="8">
        <f t="shared" ca="1" si="62"/>
        <v>0.16715230282955965</v>
      </c>
    </row>
    <row r="977" spans="5:8" x14ac:dyDescent="0.3">
      <c r="E977" s="8">
        <f t="shared" si="63"/>
        <v>973</v>
      </c>
      <c r="F977" s="8">
        <f t="shared" ca="1" si="60"/>
        <v>1.073052802421961</v>
      </c>
      <c r="G977" s="8">
        <f t="shared" ca="1" si="61"/>
        <v>1962.0325743113453</v>
      </c>
      <c r="H977" s="8">
        <f t="shared" ca="1" si="62"/>
        <v>0.18752103357654071</v>
      </c>
    </row>
    <row r="978" spans="5:8" x14ac:dyDescent="0.3">
      <c r="E978" s="8">
        <f t="shared" si="63"/>
        <v>974</v>
      </c>
      <c r="F978" s="8">
        <f t="shared" ca="1" si="60"/>
        <v>1.0194809383634462</v>
      </c>
      <c r="G978" s="8">
        <f t="shared" ca="1" si="61"/>
        <v>2079.0134359661197</v>
      </c>
      <c r="H978" s="8">
        <f t="shared" ca="1" si="62"/>
        <v>0.19870146573316635</v>
      </c>
    </row>
    <row r="979" spans="5:8" x14ac:dyDescent="0.3">
      <c r="E979" s="8">
        <f t="shared" si="63"/>
        <v>975</v>
      </c>
      <c r="F979" s="8">
        <f t="shared" ca="1" si="60"/>
        <v>1.0001191608293343</v>
      </c>
      <c r="G979" s="8">
        <f t="shared" ca="1" si="61"/>
        <v>2121.2922974340449</v>
      </c>
      <c r="H979" s="8">
        <f t="shared" ca="1" si="62"/>
        <v>0.2027422629679867</v>
      </c>
    </row>
    <row r="980" spans="5:8" x14ac:dyDescent="0.3">
      <c r="E980" s="8">
        <f t="shared" si="63"/>
        <v>976</v>
      </c>
      <c r="F980" s="8">
        <f t="shared" ca="1" si="60"/>
        <v>1.3294441045172294</v>
      </c>
      <c r="G980" s="8">
        <f t="shared" ca="1" si="61"/>
        <v>1402.1701172735648</v>
      </c>
      <c r="H980" s="8">
        <f t="shared" ca="1" si="62"/>
        <v>0.13401224479342108</v>
      </c>
    </row>
    <row r="981" spans="5:8" x14ac:dyDescent="0.3">
      <c r="E981" s="8">
        <f t="shared" si="63"/>
        <v>977</v>
      </c>
      <c r="F981" s="8">
        <f t="shared" ca="1" si="60"/>
        <v>1.2551610188029556</v>
      </c>
      <c r="G981" s="8">
        <f t="shared" ca="1" si="61"/>
        <v>1564.376520316396</v>
      </c>
      <c r="H981" s="8">
        <f t="shared" ca="1" si="62"/>
        <v>0.14951510277323865</v>
      </c>
    </row>
    <row r="982" spans="5:8" x14ac:dyDescent="0.3">
      <c r="E982" s="8">
        <f t="shared" si="63"/>
        <v>978</v>
      </c>
      <c r="F982" s="8">
        <f t="shared" ca="1" si="60"/>
        <v>1.2545021313210265</v>
      </c>
      <c r="G982" s="8">
        <f t="shared" ca="1" si="61"/>
        <v>1565.8152834941234</v>
      </c>
      <c r="H982" s="8">
        <f t="shared" ca="1" si="62"/>
        <v>0.14965261239550065</v>
      </c>
    </row>
    <row r="983" spans="5:8" x14ac:dyDescent="0.3">
      <c r="E983" s="8">
        <f t="shared" si="63"/>
        <v>979</v>
      </c>
      <c r="F983" s="8">
        <f t="shared" ca="1" si="60"/>
        <v>1.2603193249353404</v>
      </c>
      <c r="G983" s="8">
        <f t="shared" ca="1" si="61"/>
        <v>1553.1127140880672</v>
      </c>
      <c r="H983" s="8">
        <f t="shared" ca="1" si="62"/>
        <v>0.1484385658117239</v>
      </c>
    </row>
    <row r="984" spans="5:8" x14ac:dyDescent="0.3">
      <c r="E984" s="8">
        <f t="shared" si="63"/>
        <v>980</v>
      </c>
      <c r="F984" s="8">
        <f t="shared" ca="1" si="60"/>
        <v>1.5070232142272637</v>
      </c>
      <c r="G984" s="8">
        <f t="shared" ca="1" si="61"/>
        <v>1014.4039338329911</v>
      </c>
      <c r="H984" s="8">
        <f t="shared" ca="1" si="62"/>
        <v>9.6951537210455047E-2</v>
      </c>
    </row>
    <row r="985" spans="5:8" x14ac:dyDescent="0.3">
      <c r="E985" s="8">
        <f t="shared" si="63"/>
        <v>981</v>
      </c>
      <c r="F985" s="8">
        <f t="shared" ca="1" si="60"/>
        <v>1.3021884441055425</v>
      </c>
      <c r="G985" s="8">
        <f t="shared" ca="1" si="61"/>
        <v>1461.6862587400346</v>
      </c>
      <c r="H985" s="8">
        <f t="shared" ca="1" si="62"/>
        <v>0.13970049304597482</v>
      </c>
    </row>
    <row r="986" spans="5:8" x14ac:dyDescent="0.3">
      <c r="E986" s="8">
        <f t="shared" si="63"/>
        <v>982</v>
      </c>
      <c r="F986" s="8">
        <f t="shared" ca="1" si="60"/>
        <v>0.93670436698522086</v>
      </c>
      <c r="G986" s="8">
        <f t="shared" ca="1" si="61"/>
        <v>2259.7664266418969</v>
      </c>
      <c r="H986" s="8">
        <f t="shared" ca="1" si="62"/>
        <v>0.21597691165458252</v>
      </c>
    </row>
    <row r="987" spans="5:8" x14ac:dyDescent="0.3">
      <c r="E987" s="8">
        <f t="shared" si="63"/>
        <v>983</v>
      </c>
      <c r="F987" s="8">
        <f t="shared" ca="1" si="60"/>
        <v>1.0640169584926629</v>
      </c>
      <c r="G987" s="8">
        <f t="shared" ca="1" si="61"/>
        <v>1981.7634690114589</v>
      </c>
      <c r="H987" s="8">
        <f t="shared" ca="1" si="62"/>
        <v>0.18940681152742606</v>
      </c>
    </row>
    <row r="988" spans="5:8" x14ac:dyDescent="0.3">
      <c r="E988" s="8">
        <f t="shared" si="63"/>
        <v>984</v>
      </c>
      <c r="F988" s="8">
        <f t="shared" ca="1" si="60"/>
        <v>1.076313813430027</v>
      </c>
      <c r="G988" s="8">
        <f t="shared" ca="1" si="61"/>
        <v>1954.9117491488573</v>
      </c>
      <c r="H988" s="8">
        <f t="shared" ca="1" si="62"/>
        <v>0.18684046154533665</v>
      </c>
    </row>
    <row r="989" spans="5:8" x14ac:dyDescent="0.3">
      <c r="E989" s="8">
        <f t="shared" si="63"/>
        <v>985</v>
      </c>
      <c r="F989" s="8">
        <f t="shared" ca="1" si="60"/>
        <v>1.0842353443363126</v>
      </c>
      <c r="G989" s="8">
        <f t="shared" ca="1" si="61"/>
        <v>1937.6140962236191</v>
      </c>
      <c r="H989" s="8">
        <f t="shared" ca="1" si="62"/>
        <v>0.18518724039220291</v>
      </c>
    </row>
    <row r="990" spans="5:8" x14ac:dyDescent="0.3">
      <c r="E990" s="8">
        <f t="shared" si="63"/>
        <v>986</v>
      </c>
      <c r="F990" s="8">
        <f t="shared" ca="1" si="60"/>
        <v>1.084473203527371</v>
      </c>
      <c r="G990" s="8">
        <f t="shared" ca="1" si="61"/>
        <v>1937.0947009475444</v>
      </c>
      <c r="H990" s="8">
        <f t="shared" ca="1" si="62"/>
        <v>0.18513759924950249</v>
      </c>
    </row>
    <row r="991" spans="5:8" x14ac:dyDescent="0.3">
      <c r="E991" s="8">
        <f t="shared" si="63"/>
        <v>987</v>
      </c>
      <c r="F991" s="8">
        <f t="shared" ca="1" si="60"/>
        <v>1.1420922013812036</v>
      </c>
      <c r="G991" s="8">
        <f t="shared" ca="1" si="61"/>
        <v>1811.2764167589692</v>
      </c>
      <c r="H991" s="8">
        <f t="shared" ca="1" si="62"/>
        <v>0.17311253146888742</v>
      </c>
    </row>
    <row r="992" spans="5:8" x14ac:dyDescent="0.3">
      <c r="E992" s="8">
        <f t="shared" si="63"/>
        <v>988</v>
      </c>
      <c r="F992" s="8">
        <f t="shared" ca="1" si="60"/>
        <v>1.2974000930747653</v>
      </c>
      <c r="G992" s="8">
        <f t="shared" ca="1" si="61"/>
        <v>1472.1422217596155</v>
      </c>
      <c r="H992" s="8">
        <f t="shared" ca="1" si="62"/>
        <v>0.14069982048739516</v>
      </c>
    </row>
    <row r="993" spans="5:8" x14ac:dyDescent="0.3">
      <c r="E993" s="8">
        <f t="shared" si="63"/>
        <v>989</v>
      </c>
      <c r="F993" s="8">
        <f t="shared" ca="1" si="60"/>
        <v>1.0455791499862439</v>
      </c>
      <c r="G993" s="8">
        <f t="shared" ca="1" si="61"/>
        <v>2022.0247286112881</v>
      </c>
      <c r="H993" s="8">
        <f t="shared" ca="1" si="62"/>
        <v>0.19325477669992241</v>
      </c>
    </row>
    <row r="994" spans="5:8" x14ac:dyDescent="0.3">
      <c r="E994" s="8">
        <f t="shared" si="63"/>
        <v>990</v>
      </c>
      <c r="F994" s="8">
        <f t="shared" ca="1" si="60"/>
        <v>1.0789013149782418</v>
      </c>
      <c r="G994" s="8">
        <f t="shared" ca="1" si="61"/>
        <v>1949.2616160806365</v>
      </c>
      <c r="H994" s="8">
        <f t="shared" ca="1" si="62"/>
        <v>0.18630045073885468</v>
      </c>
    </row>
    <row r="995" spans="5:8" x14ac:dyDescent="0.3">
      <c r="E995" s="8">
        <f t="shared" si="63"/>
        <v>991</v>
      </c>
      <c r="F995" s="8">
        <f t="shared" ca="1" si="60"/>
        <v>1.1956967646594752</v>
      </c>
      <c r="G995" s="8">
        <f t="shared" ca="1" si="61"/>
        <v>1694.2241522704535</v>
      </c>
      <c r="H995" s="8">
        <f t="shared" ca="1" si="62"/>
        <v>0.16192527499478673</v>
      </c>
    </row>
    <row r="996" spans="5:8" x14ac:dyDescent="0.3">
      <c r="E996" s="8">
        <f t="shared" si="63"/>
        <v>992</v>
      </c>
      <c r="F996" s="8">
        <f t="shared" ca="1" si="60"/>
        <v>1.0010971858674136</v>
      </c>
      <c r="G996" s="8">
        <f t="shared" ca="1" si="61"/>
        <v>2119.1566575102688</v>
      </c>
      <c r="H996" s="8">
        <f t="shared" ca="1" si="62"/>
        <v>0.20253814943231088</v>
      </c>
    </row>
    <row r="997" spans="5:8" x14ac:dyDescent="0.3">
      <c r="E997" s="8">
        <f t="shared" si="63"/>
        <v>993</v>
      </c>
      <c r="F997" s="8">
        <f t="shared" ca="1" si="60"/>
        <v>1.4414695141157072</v>
      </c>
      <c r="G997" s="8">
        <f t="shared" ca="1" si="61"/>
        <v>1157.5486322390886</v>
      </c>
      <c r="H997" s="8">
        <f t="shared" ca="1" si="62"/>
        <v>0.11063257500134652</v>
      </c>
    </row>
    <row r="998" spans="5:8" x14ac:dyDescent="0.3">
      <c r="E998" s="8">
        <f t="shared" si="63"/>
        <v>994</v>
      </c>
      <c r="F998" s="8">
        <f t="shared" ca="1" si="60"/>
        <v>1.2650386651749446</v>
      </c>
      <c r="G998" s="8">
        <f t="shared" ca="1" si="61"/>
        <v>1542.8074447573615</v>
      </c>
      <c r="H998" s="8">
        <f t="shared" ca="1" si="62"/>
        <v>0.14745364090197471</v>
      </c>
    </row>
    <row r="999" spans="5:8" x14ac:dyDescent="0.3">
      <c r="E999" s="8">
        <f t="shared" si="63"/>
        <v>995</v>
      </c>
      <c r="F999" s="8">
        <f t="shared" ca="1" si="60"/>
        <v>1.1348202817306681</v>
      </c>
      <c r="G999" s="8">
        <f t="shared" ca="1" si="61"/>
        <v>1827.1555623058698</v>
      </c>
      <c r="H999" s="8">
        <f t="shared" ca="1" si="62"/>
        <v>0.1746301789454143</v>
      </c>
    </row>
    <row r="1000" spans="5:8" x14ac:dyDescent="0.3">
      <c r="E1000" s="8">
        <f t="shared" si="63"/>
        <v>996</v>
      </c>
      <c r="F1000" s="8">
        <f t="shared" ca="1" si="60"/>
        <v>0.9307381554690336</v>
      </c>
      <c r="G1000" s="8">
        <f t="shared" ca="1" si="61"/>
        <v>2272.7943952639316</v>
      </c>
      <c r="H1000" s="8">
        <f t="shared" ca="1" si="62"/>
        <v>0.21722205823032895</v>
      </c>
    </row>
    <row r="1001" spans="5:8" x14ac:dyDescent="0.3">
      <c r="E1001" s="8">
        <f t="shared" si="63"/>
        <v>997</v>
      </c>
      <c r="F1001" s="8">
        <f t="shared" ca="1" si="60"/>
        <v>1.0865248931244329</v>
      </c>
      <c r="G1001" s="8">
        <f t="shared" ca="1" si="61"/>
        <v>1932.6145802511601</v>
      </c>
      <c r="H1001" s="8">
        <f t="shared" ca="1" si="62"/>
        <v>0.18470941223847465</v>
      </c>
    </row>
    <row r="1002" spans="5:8" x14ac:dyDescent="0.3">
      <c r="E1002" s="8">
        <f t="shared" si="63"/>
        <v>998</v>
      </c>
      <c r="F1002" s="8">
        <f t="shared" ca="1" si="60"/>
        <v>1.2830269891846255</v>
      </c>
      <c r="G1002" s="8">
        <f t="shared" ca="1" si="61"/>
        <v>1503.5276907417219</v>
      </c>
      <c r="H1002" s="8">
        <f t="shared" ca="1" si="62"/>
        <v>0.14369948301077337</v>
      </c>
    </row>
    <row r="1003" spans="5:8" x14ac:dyDescent="0.3">
      <c r="E1003" s="8">
        <f t="shared" si="63"/>
        <v>999</v>
      </c>
      <c r="F1003" s="8">
        <f t="shared" ca="1" si="60"/>
        <v>1.4420772357717446</v>
      </c>
      <c r="G1003" s="8">
        <f t="shared" ca="1" si="61"/>
        <v>1156.221596037924</v>
      </c>
      <c r="H1003" s="8">
        <f t="shared" ca="1" si="62"/>
        <v>0.11050574367178859</v>
      </c>
    </row>
    <row r="1004" spans="5:8" x14ac:dyDescent="0.3">
      <c r="E1004" s="8">
        <f t="shared" si="63"/>
        <v>1000</v>
      </c>
      <c r="F1004" s="8">
        <f t="shared" ca="1" si="60"/>
        <v>1.29117856181998</v>
      </c>
      <c r="G1004" s="8">
        <f t="shared" ca="1" si="61"/>
        <v>1485.727712945846</v>
      </c>
      <c r="H1004" s="8">
        <f t="shared" ca="1" si="62"/>
        <v>0.14199825221694026</v>
      </c>
    </row>
  </sheetData>
  <mergeCells count="2">
    <mergeCell ref="B3:C3"/>
    <mergeCell ref="B5:C5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1E739F7-3701-49C3-92C7-218DC772545F}">
          <x14:formula1>
            <xm:f>Assumptions!$B$4:$B$9</xm:f>
          </x14:formula1>
          <xm:sqref>B3:C3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16748-85D0-4A24-962D-4A0A81EFE80D}">
  <sheetPr codeName="Sheet5"/>
  <dimension ref="B3:G9"/>
  <sheetViews>
    <sheetView showGridLines="0" topLeftCell="B1" workbookViewId="0">
      <selection activeCell="G4" sqref="G4"/>
    </sheetView>
  </sheetViews>
  <sheetFormatPr defaultRowHeight="14.4" x14ac:dyDescent="0.3"/>
  <cols>
    <col min="2" max="2" width="18.21875" bestFit="1" customWidth="1"/>
    <col min="3" max="3" width="15.44140625" bestFit="1" customWidth="1"/>
    <col min="4" max="4" width="11.77734375" bestFit="1" customWidth="1"/>
    <col min="5" max="5" width="15.44140625" bestFit="1" customWidth="1"/>
    <col min="6" max="6" width="14.88671875" bestFit="1" customWidth="1"/>
    <col min="7" max="7" width="19.77734375" bestFit="1" customWidth="1"/>
  </cols>
  <sheetData>
    <row r="3" spans="2:7" x14ac:dyDescent="0.3">
      <c r="B3" s="1" t="s">
        <v>12</v>
      </c>
      <c r="C3" s="1" t="s">
        <v>13</v>
      </c>
      <c r="D3" s="1" t="s">
        <v>4</v>
      </c>
      <c r="E3" s="1" t="s">
        <v>11</v>
      </c>
      <c r="F3" s="1" t="s">
        <v>23</v>
      </c>
      <c r="G3" s="1" t="s">
        <v>10</v>
      </c>
    </row>
    <row r="4" spans="2:7" x14ac:dyDescent="0.3">
      <c r="B4" s="1" t="s">
        <v>18</v>
      </c>
      <c r="C4" s="1">
        <v>0.06</v>
      </c>
      <c r="D4" s="1">
        <f>D6-0.03</f>
        <v>1.1499999999999999</v>
      </c>
      <c r="E4" s="3">
        <v>0.4</v>
      </c>
      <c r="F4" s="3">
        <v>1.1599999999999999</v>
      </c>
      <c r="G4" s="3">
        <v>1.75</v>
      </c>
    </row>
    <row r="5" spans="2:7" x14ac:dyDescent="0.3">
      <c r="B5" s="1" t="s">
        <v>19</v>
      </c>
      <c r="C5" s="1">
        <v>0.1</v>
      </c>
      <c r="D5" s="1">
        <f>D6-0.015</f>
        <v>1.165</v>
      </c>
      <c r="E5" s="3">
        <v>0.6</v>
      </c>
      <c r="F5" s="3">
        <v>1.17</v>
      </c>
      <c r="G5" s="3">
        <v>2</v>
      </c>
    </row>
    <row r="6" spans="2:7" x14ac:dyDescent="0.3">
      <c r="B6" s="1" t="s">
        <v>14</v>
      </c>
      <c r="C6" s="1">
        <v>0.12</v>
      </c>
      <c r="D6" s="1">
        <v>1.18</v>
      </c>
      <c r="E6" s="3">
        <v>0.75</v>
      </c>
      <c r="F6" s="3">
        <v>1.18</v>
      </c>
      <c r="G6" s="3">
        <v>2.25</v>
      </c>
    </row>
    <row r="7" spans="2:7" x14ac:dyDescent="0.3">
      <c r="B7" s="1" t="s">
        <v>16</v>
      </c>
      <c r="C7" s="1">
        <v>0.15</v>
      </c>
      <c r="D7" s="1">
        <f>D6+0.03</f>
        <v>1.21</v>
      </c>
      <c r="E7" s="3">
        <v>0.85</v>
      </c>
      <c r="F7" s="3">
        <v>1.22</v>
      </c>
      <c r="G7" s="3">
        <v>2.6</v>
      </c>
    </row>
    <row r="8" spans="2:7" x14ac:dyDescent="0.3">
      <c r="B8" s="1" t="s">
        <v>15</v>
      </c>
      <c r="C8" s="1">
        <v>0.28000000000000003</v>
      </c>
      <c r="D8" s="1">
        <f>D6+0.05</f>
        <v>1.23</v>
      </c>
      <c r="E8" s="3">
        <v>0.9</v>
      </c>
      <c r="F8" s="3">
        <v>1.25</v>
      </c>
      <c r="G8" s="3">
        <v>3.2</v>
      </c>
    </row>
    <row r="9" spans="2:7" x14ac:dyDescent="0.3">
      <c r="B9" s="1" t="s">
        <v>17</v>
      </c>
      <c r="C9" s="1">
        <v>0.35</v>
      </c>
      <c r="D9" s="1">
        <f>D6+0.08</f>
        <v>1.26</v>
      </c>
      <c r="E9" s="3">
        <v>0.95</v>
      </c>
      <c r="F9" s="3">
        <v>1.3</v>
      </c>
      <c r="G9" s="3">
        <v>3.5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TJX_Terminal</vt:lpstr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 Koranne</dc:creator>
  <cp:lastModifiedBy>Rajas Koranne</cp:lastModifiedBy>
  <dcterms:created xsi:type="dcterms:W3CDTF">2026-02-03T18:50:25Z</dcterms:created>
  <dcterms:modified xsi:type="dcterms:W3CDTF">2026-02-05T04:15:36Z</dcterms:modified>
</cp:coreProperties>
</file>