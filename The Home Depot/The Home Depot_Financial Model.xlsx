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ajas\"/>
    </mc:Choice>
  </mc:AlternateContent>
  <xr:revisionPtr revIDLastSave="0" documentId="13_ncr:1_{242E4D39-479F-4298-982D-F56DF4B6E1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 Summary" sheetId="15" r:id="rId1"/>
    <sheet name="Projections" sheetId="17" r:id="rId2"/>
    <sheet name="Master" sheetId="1" r:id="rId3"/>
    <sheet name="Financials" sheetId="2" r:id="rId4"/>
    <sheet name="DCF" sheetId="3" r:id="rId5"/>
    <sheet name="Rev &amp; Exp" sheetId="4" r:id="rId6"/>
    <sheet name="NWC &amp; Capex" sheetId="5" r:id="rId7"/>
    <sheet name="WACC" sheetId="6" r:id="rId8"/>
    <sheet name="Terminal Value" sheetId="7" r:id="rId9"/>
    <sheet name="Trading Multiples" sheetId="8" r:id="rId10"/>
    <sheet name="EPV" sheetId="9" r:id="rId11"/>
    <sheet name="DDM" sheetId="10" r:id="rId12"/>
    <sheet name="Appendix" sheetId="11" r:id="rId13"/>
  </sheets>
  <definedNames>
    <definedName name="_xlchart.v1.0" hidden="1">'Executive Summary'!$P$10:$P$12</definedName>
    <definedName name="_xlchart.v1.1" hidden="1">'Executive Summary'!$Y$10:$Y$12</definedName>
    <definedName name="_xlcn.WorksheetConnection_HomeDepot_FinancialModel.xlsxTable21" hidden="1">Table2[]</definedName>
  </definedNames>
  <calcPr calcId="191028"/>
  <extLst>
    <ext xmlns:x15="http://schemas.microsoft.com/office/spreadsheetml/2010/11/main" uri="{FCE2AD5D-F65C-4FA6-A056-5C36A1767C68}">
      <x15:dataModel>
        <x15:modelTables>
          <x15:modelTable id="Table2" name="Table2" connection="WorksheetConnection_Home Depot_Financial Model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5" l="1"/>
  <c r="W4" i="15"/>
  <c r="Y41" i="15" l="1"/>
  <c r="U15" i="17" l="1"/>
  <c r="T30" i="17"/>
  <c r="U30" i="17"/>
  <c r="V30" i="17"/>
  <c r="W30" i="17"/>
  <c r="S30" i="17"/>
  <c r="W38" i="17"/>
  <c r="V38" i="17"/>
  <c r="U38" i="17"/>
  <c r="T38" i="17"/>
  <c r="S38" i="17"/>
  <c r="W37" i="17"/>
  <c r="V37" i="17"/>
  <c r="U37" i="17"/>
  <c r="T37" i="17"/>
  <c r="S37" i="17"/>
  <c r="W36" i="17"/>
  <c r="V36" i="17"/>
  <c r="U36" i="17"/>
  <c r="T36" i="17"/>
  <c r="S36" i="17"/>
  <c r="W35" i="17"/>
  <c r="V35" i="17"/>
  <c r="U35" i="17"/>
  <c r="T35" i="17"/>
  <c r="S35" i="17"/>
  <c r="W34" i="17"/>
  <c r="V34" i="17"/>
  <c r="U34" i="17"/>
  <c r="T34" i="17"/>
  <c r="S34" i="17"/>
  <c r="W33" i="17"/>
  <c r="V33" i="17"/>
  <c r="U33" i="17"/>
  <c r="T33" i="17"/>
  <c r="S33" i="17"/>
  <c r="S29" i="17" s="1"/>
  <c r="W29" i="17" l="1"/>
  <c r="W39" i="17"/>
  <c r="V39" i="17"/>
  <c r="T29" i="17"/>
  <c r="U39" i="17"/>
  <c r="V29" i="17"/>
  <c r="T39" i="17"/>
  <c r="U29" i="17"/>
  <c r="S39" i="17"/>
  <c r="Y42" i="15" l="1"/>
  <c r="Y40" i="15"/>
  <c r="Y35" i="15"/>
  <c r="Y34" i="15"/>
  <c r="Y24" i="15"/>
  <c r="X24" i="15"/>
  <c r="W24" i="15"/>
  <c r="V24" i="15"/>
  <c r="U24" i="15"/>
  <c r="Y25" i="15"/>
  <c r="X25" i="15"/>
  <c r="W25" i="15"/>
  <c r="V25" i="15"/>
  <c r="U25" i="15"/>
  <c r="Y22" i="15"/>
  <c r="X22" i="15"/>
  <c r="W22" i="15"/>
  <c r="V22" i="15"/>
  <c r="U22" i="15"/>
  <c r="Y14" i="15"/>
  <c r="X14" i="15"/>
  <c r="W14" i="15"/>
  <c r="V14" i="15"/>
  <c r="U14" i="15"/>
  <c r="Y12" i="15"/>
  <c r="S33" i="15" s="1"/>
  <c r="X12" i="15"/>
  <c r="W12" i="15"/>
  <c r="V12" i="15"/>
  <c r="U12" i="15"/>
  <c r="Y44" i="15" l="1"/>
  <c r="Y37" i="15"/>
  <c r="X26" i="15"/>
  <c r="X16" i="15" s="1"/>
  <c r="X17" i="15" s="1"/>
  <c r="W26" i="15"/>
  <c r="W16" i="15" s="1"/>
  <c r="W17" i="15" s="1"/>
  <c r="V26" i="15"/>
  <c r="V16" i="15" s="1"/>
  <c r="V17" i="15" s="1"/>
  <c r="U26" i="15"/>
  <c r="U16" i="15" s="1"/>
  <c r="U17" i="15" s="1"/>
  <c r="S41" i="15"/>
  <c r="Y26" i="15"/>
  <c r="S34" i="15"/>
  <c r="Y16" i="15"/>
  <c r="Y17" i="15" s="1"/>
  <c r="S44" i="15" l="1"/>
  <c r="B2" i="8" l="1"/>
  <c r="G3" i="8"/>
  <c r="D6" i="8"/>
  <c r="E6" i="8"/>
  <c r="B7" i="8"/>
  <c r="G7" i="8"/>
  <c r="B8" i="8"/>
  <c r="B9" i="8"/>
  <c r="B10" i="8"/>
  <c r="B13" i="8"/>
  <c r="B51" i="8" s="1"/>
  <c r="B15" i="8"/>
  <c r="C15" i="8"/>
  <c r="E15" i="8"/>
  <c r="E53" i="8" s="1"/>
  <c r="F15" i="8"/>
  <c r="G15" i="8"/>
  <c r="B2" i="10"/>
  <c r="I3" i="10"/>
  <c r="F6" i="10"/>
  <c r="G6" i="10"/>
  <c r="B7" i="10"/>
  <c r="F7" i="10"/>
  <c r="G7" i="10"/>
  <c r="I7" i="10"/>
  <c r="B8" i="10"/>
  <c r="F8" i="10"/>
  <c r="G8" i="10"/>
  <c r="B9" i="10"/>
  <c r="B10" i="10"/>
  <c r="B13" i="10"/>
  <c r="F14" i="10"/>
  <c r="G14" i="10"/>
  <c r="B16" i="10"/>
  <c r="F16" i="10"/>
  <c r="G16" i="10"/>
  <c r="B17" i="10"/>
  <c r="F17" i="10"/>
  <c r="G17" i="10"/>
  <c r="B18" i="10"/>
  <c r="F18" i="10"/>
  <c r="G18" i="10"/>
  <c r="B20" i="10"/>
  <c r="F20" i="10"/>
  <c r="G20" i="10"/>
  <c r="B21" i="10"/>
  <c r="F21" i="10"/>
  <c r="G21" i="10"/>
  <c r="B22" i="10"/>
  <c r="B24" i="10"/>
  <c r="F24" i="10"/>
  <c r="G24" i="10" s="1"/>
  <c r="B26" i="10"/>
  <c r="B31" i="10"/>
  <c r="I32" i="10"/>
  <c r="F35" i="10"/>
  <c r="G35" i="10"/>
  <c r="B36" i="10"/>
  <c r="F36" i="10"/>
  <c r="G36" i="10"/>
  <c r="I36" i="10"/>
  <c r="B37" i="10"/>
  <c r="F37" i="10"/>
  <c r="G37" i="10"/>
  <c r="B38" i="10"/>
  <c r="B39" i="10"/>
  <c r="B43" i="10"/>
  <c r="E43" i="10"/>
  <c r="B44" i="10"/>
  <c r="E44" i="10"/>
  <c r="F46" i="10"/>
  <c r="K47" i="10"/>
  <c r="B49" i="10"/>
  <c r="G49" i="10"/>
  <c r="H49" i="10"/>
  <c r="I49" i="10"/>
  <c r="J49" i="10"/>
  <c r="K49" i="10"/>
  <c r="B50" i="10"/>
  <c r="F50" i="10"/>
  <c r="G50" i="10"/>
  <c r="H50" i="10"/>
  <c r="I50" i="10"/>
  <c r="J50" i="10"/>
  <c r="B52" i="10"/>
  <c r="F52" i="10"/>
  <c r="G52" i="10"/>
  <c r="H52" i="10" s="1"/>
  <c r="I52" i="10" s="1"/>
  <c r="J52" i="10" s="1"/>
  <c r="K52" i="10" s="1"/>
  <c r="B2" i="6"/>
  <c r="B4" i="6"/>
  <c r="D4" i="6"/>
  <c r="E4" i="6"/>
  <c r="B6" i="6"/>
  <c r="D6" i="6"/>
  <c r="D11" i="6" s="1"/>
  <c r="E6" i="6"/>
  <c r="E11" i="6" s="1"/>
  <c r="B7" i="6"/>
  <c r="D7" i="6"/>
  <c r="E7" i="6"/>
  <c r="B8" i="6"/>
  <c r="D8" i="6"/>
  <c r="E8" i="6"/>
  <c r="D10" i="6"/>
  <c r="E10" i="6"/>
  <c r="B11" i="6"/>
  <c r="B13" i="6"/>
  <c r="B14" i="6"/>
  <c r="D14" i="6"/>
  <c r="E14" i="6"/>
  <c r="B15" i="6"/>
  <c r="D15" i="6"/>
  <c r="E15" i="6"/>
  <c r="B17" i="6"/>
  <c r="B19" i="6"/>
  <c r="B21" i="6"/>
  <c r="B23" i="6"/>
  <c r="G25" i="6"/>
  <c r="H25" i="6"/>
  <c r="I25" i="6"/>
  <c r="J25" i="6"/>
  <c r="K25" i="6"/>
  <c r="D27" i="6"/>
  <c r="D29" i="6"/>
  <c r="G29" i="6" a="1"/>
  <c r="G29" i="6" s="1"/>
  <c r="D13" i="6" s="1"/>
  <c r="D30" i="6"/>
  <c r="G30" i="6" a="1"/>
  <c r="G30" i="6" s="1"/>
  <c r="E13" i="6" s="1"/>
  <c r="D32" i="6"/>
  <c r="G32" i="6" a="1"/>
  <c r="G32" i="6"/>
  <c r="I67" i="6" s="1"/>
  <c r="B36" i="6"/>
  <c r="C37" i="6"/>
  <c r="G38" i="6"/>
  <c r="G39" i="6"/>
  <c r="H39" i="6"/>
  <c r="I39" i="6"/>
  <c r="J39" i="6"/>
  <c r="K39" i="6"/>
  <c r="D41" i="6"/>
  <c r="D42" i="6"/>
  <c r="D44" i="6"/>
  <c r="H44" i="6"/>
  <c r="I44" i="6"/>
  <c r="J44" i="6"/>
  <c r="K44" i="6"/>
  <c r="D46" i="6"/>
  <c r="G46" i="6"/>
  <c r="D47" i="6"/>
  <c r="C50" i="6"/>
  <c r="D52" i="6"/>
  <c r="D53" i="6"/>
  <c r="D55" i="6"/>
  <c r="G55" i="6"/>
  <c r="D57" i="6"/>
  <c r="D58" i="6"/>
  <c r="D61" i="6"/>
  <c r="G61" i="6"/>
  <c r="J67" i="6"/>
  <c r="J68" i="6"/>
  <c r="I69" i="6"/>
  <c r="J69" i="6"/>
  <c r="I70" i="6"/>
  <c r="J70" i="6"/>
  <c r="J71" i="6"/>
  <c r="J72" i="6"/>
  <c r="J73" i="6"/>
  <c r="G9" i="5"/>
  <c r="H9" i="5" s="1"/>
  <c r="E10" i="5"/>
  <c r="G12" i="5"/>
  <c r="H12" i="5"/>
  <c r="H13" i="5" s="1"/>
  <c r="I12" i="5"/>
  <c r="I13" i="5" s="1"/>
  <c r="J12" i="5"/>
  <c r="J13" i="5" s="1"/>
  <c r="K12" i="5"/>
  <c r="K13" i="5" s="1"/>
  <c r="L12" i="5"/>
  <c r="L13" i="5" s="1"/>
  <c r="M12" i="5"/>
  <c r="M13" i="5" s="1"/>
  <c r="N12" i="5"/>
  <c r="N13" i="5" s="1"/>
  <c r="O12" i="5"/>
  <c r="O13" i="5" s="1"/>
  <c r="P12" i="5"/>
  <c r="P13" i="5" s="1"/>
  <c r="E13" i="5"/>
  <c r="G13" i="5"/>
  <c r="G15" i="5"/>
  <c r="G16" i="5" s="1"/>
  <c r="H15" i="5"/>
  <c r="H16" i="5" s="1"/>
  <c r="I15" i="5"/>
  <c r="I16" i="5" s="1"/>
  <c r="J15" i="5"/>
  <c r="J16" i="5" s="1"/>
  <c r="K15" i="5"/>
  <c r="M15" i="5" s="1"/>
  <c r="L15" i="5"/>
  <c r="E16" i="5"/>
  <c r="E18" i="5"/>
  <c r="G28" i="5"/>
  <c r="H28" i="5"/>
  <c r="I28" i="5"/>
  <c r="J28" i="5"/>
  <c r="K28" i="5"/>
  <c r="L28" i="5"/>
  <c r="M28" i="5"/>
  <c r="N28" i="5"/>
  <c r="O28" i="5"/>
  <c r="P28" i="5"/>
  <c r="G35" i="5"/>
  <c r="H35" i="5"/>
  <c r="I35" i="5"/>
  <c r="J35" i="5"/>
  <c r="K35" i="5"/>
  <c r="G37" i="5"/>
  <c r="G38" i="5" s="1"/>
  <c r="H37" i="5"/>
  <c r="H38" i="5" s="1"/>
  <c r="I37" i="5"/>
  <c r="I38" i="5" s="1"/>
  <c r="J37" i="5"/>
  <c r="J38" i="5" s="1"/>
  <c r="K37" i="5"/>
  <c r="K38" i="5" s="1"/>
  <c r="B2" i="4"/>
  <c r="E4" i="4"/>
  <c r="C5" i="4"/>
  <c r="E5" i="4"/>
  <c r="F5" i="4"/>
  <c r="G5" i="4"/>
  <c r="H5" i="4"/>
  <c r="I5" i="4"/>
  <c r="J5" i="4"/>
  <c r="K5" i="4"/>
  <c r="L5" i="4"/>
  <c r="M5" i="4"/>
  <c r="N5" i="4"/>
  <c r="B7" i="4"/>
  <c r="C7" i="4"/>
  <c r="B8" i="4"/>
  <c r="C8" i="4"/>
  <c r="B11" i="4"/>
  <c r="C11" i="4"/>
  <c r="B12" i="4"/>
  <c r="B14" i="4"/>
  <c r="C14" i="4"/>
  <c r="B15" i="4"/>
  <c r="B17" i="4"/>
  <c r="C17" i="4"/>
  <c r="B18" i="4"/>
  <c r="B20" i="4"/>
  <c r="C20" i="4"/>
  <c r="B21" i="4"/>
  <c r="B23" i="4"/>
  <c r="C23" i="4"/>
  <c r="B24" i="4"/>
  <c r="B26" i="4"/>
  <c r="C26" i="4"/>
  <c r="B27" i="4"/>
  <c r="C27" i="4"/>
  <c r="E27" i="4"/>
  <c r="F27" i="4"/>
  <c r="J27" i="4"/>
  <c r="K27" i="4"/>
  <c r="L27" i="4"/>
  <c r="M27" i="4"/>
  <c r="N27" i="4"/>
  <c r="B29" i="4"/>
  <c r="B30" i="4"/>
  <c r="B2" i="2"/>
  <c r="B4" i="2"/>
  <c r="C4" i="2"/>
  <c r="B7" i="2"/>
  <c r="B8" i="2"/>
  <c r="B9" i="2"/>
  <c r="B10" i="2"/>
  <c r="B11" i="2"/>
  <c r="B12" i="2"/>
  <c r="B13" i="2"/>
  <c r="C13" i="2"/>
  <c r="C22" i="2" s="1"/>
  <c r="C21" i="2" s="1"/>
  <c r="D13" i="2"/>
  <c r="D22" i="2" s="1"/>
  <c r="D21" i="2" s="1"/>
  <c r="E13" i="2"/>
  <c r="E22" i="2" s="1"/>
  <c r="E21" i="2" s="1"/>
  <c r="F13" i="2"/>
  <c r="F22" i="2" s="1"/>
  <c r="F21" i="2" s="1"/>
  <c r="G13" i="2"/>
  <c r="G22" i="2" s="1"/>
  <c r="G21" i="2" s="1"/>
  <c r="B15" i="2"/>
  <c r="C15" i="2"/>
  <c r="D15" i="2"/>
  <c r="E15" i="2"/>
  <c r="F15" i="2"/>
  <c r="G15" i="2"/>
  <c r="B16" i="2"/>
  <c r="B17" i="2"/>
  <c r="B18" i="2"/>
  <c r="B19" i="2"/>
  <c r="B20" i="2"/>
  <c r="B21" i="2"/>
  <c r="B22" i="2"/>
  <c r="B24" i="2"/>
  <c r="B26" i="2"/>
  <c r="B27" i="2"/>
  <c r="B28" i="2"/>
  <c r="B29" i="2"/>
  <c r="B30" i="2"/>
  <c r="B31" i="2"/>
  <c r="C31" i="2"/>
  <c r="C34" i="2" s="1"/>
  <c r="D31" i="2"/>
  <c r="D34" i="2" s="1"/>
  <c r="E31" i="2"/>
  <c r="E34" i="2" s="1"/>
  <c r="F31" i="2"/>
  <c r="G31" i="2"/>
  <c r="B33" i="2"/>
  <c r="B34" i="2"/>
  <c r="F34" i="2"/>
  <c r="G34" i="2"/>
  <c r="B36" i="2"/>
  <c r="B38" i="2"/>
  <c r="B39" i="2"/>
  <c r="B40" i="2"/>
  <c r="B41" i="2"/>
  <c r="B42" i="2"/>
  <c r="C42" i="2"/>
  <c r="D42" i="2"/>
  <c r="E42" i="2"/>
  <c r="F42" i="2"/>
  <c r="G42" i="2"/>
  <c r="B43" i="2"/>
  <c r="B45" i="2"/>
  <c r="B46" i="2"/>
  <c r="C46" i="2"/>
  <c r="D46" i="2"/>
  <c r="E46" i="2"/>
  <c r="F46" i="2"/>
  <c r="G46" i="2"/>
  <c r="B48" i="2"/>
  <c r="C48" i="2"/>
  <c r="D48" i="2"/>
  <c r="E48" i="2"/>
  <c r="F48" i="2" s="1"/>
  <c r="G48" i="2" s="1"/>
  <c r="B49" i="2"/>
  <c r="C49" i="2"/>
  <c r="D49" i="2"/>
  <c r="E49" i="2"/>
  <c r="F49" i="2"/>
  <c r="G49" i="2"/>
  <c r="B50" i="2"/>
  <c r="C50" i="2"/>
  <c r="D50" i="2"/>
  <c r="E50" i="2"/>
  <c r="F50" i="2"/>
  <c r="G50" i="2"/>
  <c r="B52" i="2"/>
  <c r="C52" i="2"/>
  <c r="D52" i="2"/>
  <c r="E52" i="2"/>
  <c r="F52" i="2"/>
  <c r="G52" i="2"/>
  <c r="B56" i="2"/>
  <c r="B58" i="2"/>
  <c r="D39" i="6" s="1"/>
  <c r="C58" i="2"/>
  <c r="C59" i="2"/>
  <c r="D59" i="2"/>
  <c r="E59" i="2"/>
  <c r="F59" i="2"/>
  <c r="G59" i="2"/>
  <c r="B61" i="2"/>
  <c r="B62" i="2"/>
  <c r="C79" i="2" s="1"/>
  <c r="B63" i="2"/>
  <c r="C63" i="2"/>
  <c r="C73" i="2" s="1"/>
  <c r="D63" i="2"/>
  <c r="D73" i="2" s="1"/>
  <c r="E63" i="2"/>
  <c r="E73" i="2" s="1"/>
  <c r="F63" i="2"/>
  <c r="G63" i="2"/>
  <c r="B65" i="2"/>
  <c r="B66" i="2"/>
  <c r="B67" i="2"/>
  <c r="B69" i="2"/>
  <c r="B70" i="2"/>
  <c r="D70" i="2"/>
  <c r="D81" i="2" s="1"/>
  <c r="E70" i="2"/>
  <c r="E81" i="2" s="1"/>
  <c r="F70" i="2"/>
  <c r="F81" i="2" s="1"/>
  <c r="G70" i="2"/>
  <c r="G81" i="2" s="1"/>
  <c r="B72" i="2"/>
  <c r="B73" i="2"/>
  <c r="F73" i="2"/>
  <c r="G73" i="2"/>
  <c r="B75" i="2"/>
  <c r="B76" i="2"/>
  <c r="F76" i="2"/>
  <c r="F83" i="2" s="1"/>
  <c r="G76" i="2"/>
  <c r="G83" i="2" s="1"/>
  <c r="H77" i="2"/>
  <c r="B78" i="2"/>
  <c r="C78" i="2"/>
  <c r="D78" i="2"/>
  <c r="E78" i="2"/>
  <c r="F78" i="2"/>
  <c r="G78" i="2"/>
  <c r="B79" i="2"/>
  <c r="D79" i="2"/>
  <c r="E79" i="2"/>
  <c r="F79" i="2"/>
  <c r="G79" i="2"/>
  <c r="B80" i="2"/>
  <c r="D80" i="2"/>
  <c r="E80" i="2"/>
  <c r="F80" i="2"/>
  <c r="G80" i="2"/>
  <c r="B81" i="2"/>
  <c r="B82" i="2"/>
  <c r="C82" i="2"/>
  <c r="D82" i="2"/>
  <c r="E82" i="2"/>
  <c r="F82" i="2"/>
  <c r="G82" i="2"/>
  <c r="H82" i="2"/>
  <c r="B83" i="2"/>
  <c r="B84" i="2"/>
  <c r="F84" i="2"/>
  <c r="G84" i="2"/>
  <c r="B87" i="2"/>
  <c r="B89" i="2"/>
  <c r="B115" i="2" s="1"/>
  <c r="C89" i="2"/>
  <c r="B92" i="2"/>
  <c r="B93" i="2"/>
  <c r="B94" i="2"/>
  <c r="C94" i="2"/>
  <c r="D94" i="2"/>
  <c r="E94" i="2"/>
  <c r="E107" i="2" s="1"/>
  <c r="F94" i="2"/>
  <c r="F107" i="2" s="1"/>
  <c r="G94" i="2"/>
  <c r="G107" i="2" s="1"/>
  <c r="B96" i="2"/>
  <c r="B97" i="2"/>
  <c r="B98" i="2"/>
  <c r="B99" i="2"/>
  <c r="C99" i="2"/>
  <c r="C109" i="2" s="1"/>
  <c r="D99" i="2"/>
  <c r="D109" i="2" s="1"/>
  <c r="E99" i="2"/>
  <c r="E102" i="2" s="1"/>
  <c r="E105" i="2" s="1"/>
  <c r="E108" i="2" s="1"/>
  <c r="F99" i="2"/>
  <c r="F102" i="2" s="1"/>
  <c r="F105" i="2" s="1"/>
  <c r="F108" i="2" s="1"/>
  <c r="G99" i="2"/>
  <c r="G102" i="2" s="1"/>
  <c r="G105" i="2" s="1"/>
  <c r="G108" i="2" s="1"/>
  <c r="B101" i="2"/>
  <c r="B102" i="2"/>
  <c r="H106" i="2"/>
  <c r="B107" i="2"/>
  <c r="C107" i="2"/>
  <c r="D107" i="2"/>
  <c r="B108" i="2"/>
  <c r="B109" i="2"/>
  <c r="E109" i="2"/>
  <c r="F109" i="2"/>
  <c r="G109" i="2"/>
  <c r="B113" i="2"/>
  <c r="C115" i="2"/>
  <c r="C116" i="2"/>
  <c r="D116" i="2"/>
  <c r="E116" i="2"/>
  <c r="F116" i="2"/>
  <c r="G116" i="2"/>
  <c r="B118" i="2"/>
  <c r="B119" i="2"/>
  <c r="B120" i="2"/>
  <c r="B121" i="2"/>
  <c r="B122" i="2"/>
  <c r="B123" i="2"/>
  <c r="B124" i="2"/>
  <c r="B125" i="2"/>
  <c r="B126" i="2"/>
  <c r="B127" i="2"/>
  <c r="C127" i="2"/>
  <c r="D127" i="2"/>
  <c r="E127" i="2"/>
  <c r="F127" i="2"/>
  <c r="G127" i="2"/>
  <c r="B129" i="2"/>
  <c r="B130" i="2"/>
  <c r="B131" i="2"/>
  <c r="B132" i="2"/>
  <c r="B133" i="2"/>
  <c r="B134" i="2"/>
  <c r="B135" i="2"/>
  <c r="B136" i="2"/>
  <c r="B137" i="2"/>
  <c r="B138" i="2"/>
  <c r="C138" i="2"/>
  <c r="D138" i="2"/>
  <c r="E138" i="2"/>
  <c r="F138" i="2"/>
  <c r="G138" i="2"/>
  <c r="B140" i="2"/>
  <c r="B141" i="2"/>
  <c r="B142" i="2"/>
  <c r="B143" i="2"/>
  <c r="B144" i="2"/>
  <c r="B145" i="2"/>
  <c r="B146" i="2"/>
  <c r="B148" i="2"/>
  <c r="C148" i="2"/>
  <c r="D148" i="2"/>
  <c r="E148" i="2"/>
  <c r="F148" i="2"/>
  <c r="G148" i="2"/>
  <c r="H5" i="11"/>
  <c r="F47" i="10" s="1"/>
  <c r="G47" i="10" s="1"/>
  <c r="H47" i="10" s="1"/>
  <c r="I47" i="10" s="1"/>
  <c r="J47" i="10" s="1"/>
  <c r="H11" i="11"/>
  <c r="B25" i="10" s="1"/>
  <c r="F67" i="8" a="1"/>
  <c r="F67" i="8" s="1"/>
  <c r="E45" i="8" s="1"/>
  <c r="G67" i="8" a="1"/>
  <c r="G67" i="8" s="1"/>
  <c r="G29" i="8" a="1"/>
  <c r="G29" i="8" s="1"/>
  <c r="E8" i="8" s="1"/>
  <c r="F29" i="8" a="1"/>
  <c r="F29" i="8" s="1"/>
  <c r="E7" i="8" s="1"/>
  <c r="O55" i="8" a="1"/>
  <c r="O55" i="8" s="1"/>
  <c r="N55" i="8" a="1"/>
  <c r="N55" i="8" s="1"/>
  <c r="L55" i="8" a="1"/>
  <c r="L55" i="8" s="1"/>
  <c r="K55" i="8" a="1"/>
  <c r="K55" i="8" s="1"/>
  <c r="O17" i="8" a="1"/>
  <c r="O17" i="8" s="1"/>
  <c r="N17" i="8" a="1"/>
  <c r="N17" i="8" s="1"/>
  <c r="L17" i="8" a="1"/>
  <c r="L17" i="8" s="1"/>
  <c r="D8" i="8" s="1"/>
  <c r="K17" i="8" a="1"/>
  <c r="K17" i="8" s="1"/>
  <c r="D7" i="8" s="1"/>
  <c r="B29" i="8"/>
  <c r="B30" i="8"/>
  <c r="B31" i="8"/>
  <c r="B33" i="8"/>
  <c r="F33" i="8"/>
  <c r="G33" i="8" s="1"/>
  <c r="B35" i="8"/>
  <c r="B40" i="8"/>
  <c r="G41" i="8"/>
  <c r="D44" i="8"/>
  <c r="E44" i="8"/>
  <c r="B45" i="8"/>
  <c r="G45" i="8"/>
  <c r="B46" i="8"/>
  <c r="B47" i="8"/>
  <c r="B48" i="8"/>
  <c r="F52" i="8"/>
  <c r="G52" i="8"/>
  <c r="B53" i="8"/>
  <c r="C53" i="8"/>
  <c r="F53" i="8"/>
  <c r="G53" i="8"/>
  <c r="B67" i="8"/>
  <c r="B68" i="8"/>
  <c r="B69" i="8"/>
  <c r="B71" i="8"/>
  <c r="F71" i="8"/>
  <c r="G71" i="8" s="1"/>
  <c r="B72" i="8"/>
  <c r="B74" i="8"/>
  <c r="B76" i="8"/>
  <c r="F49" i="10" l="1"/>
  <c r="E38" i="5"/>
  <c r="J31" i="5" s="1"/>
  <c r="J30" i="5" s="1"/>
  <c r="E37" i="5"/>
  <c r="B4" i="4"/>
  <c r="G22" i="10"/>
  <c r="G25" i="10" s="1"/>
  <c r="G26" i="10" s="1"/>
  <c r="F9" i="10" s="1"/>
  <c r="B46" i="10"/>
  <c r="F22" i="10"/>
  <c r="F25" i="10" s="1"/>
  <c r="F26" i="10" s="1"/>
  <c r="G9" i="10" s="1"/>
  <c r="E17" i="6"/>
  <c r="D17" i="6"/>
  <c r="D19" i="6" s="1"/>
  <c r="I27" i="4"/>
  <c r="I68" i="6"/>
  <c r="H27" i="4"/>
  <c r="G27" i="4"/>
  <c r="H10" i="5"/>
  <c r="H18" i="5"/>
  <c r="O15" i="5"/>
  <c r="O16" i="5" s="1"/>
  <c r="M16" i="5"/>
  <c r="L16" i="5"/>
  <c r="I9" i="5"/>
  <c r="J9" i="5" s="1"/>
  <c r="G10" i="5"/>
  <c r="G18" i="5" s="1"/>
  <c r="G19" i="5" s="1"/>
  <c r="K16" i="5"/>
  <c r="N15" i="5"/>
  <c r="N16" i="5" s="1"/>
  <c r="C21" i="4"/>
  <c r="C12" i="4"/>
  <c r="E7" i="4"/>
  <c r="C29" i="4"/>
  <c r="C30" i="4" s="1"/>
  <c r="C18" i="4"/>
  <c r="C15" i="4"/>
  <c r="C24" i="4"/>
  <c r="D84" i="2"/>
  <c r="D76" i="2"/>
  <c r="D83" i="2" s="1"/>
  <c r="H109" i="2"/>
  <c r="E84" i="2"/>
  <c r="E76" i="2"/>
  <c r="E83" i="2" s="1"/>
  <c r="C76" i="2"/>
  <c r="C83" i="2" s="1"/>
  <c r="H83" i="2" s="1"/>
  <c r="C84" i="2"/>
  <c r="H84" i="2" s="1"/>
  <c r="D102" i="2"/>
  <c r="D105" i="2" s="1"/>
  <c r="D108" i="2" s="1"/>
  <c r="C102" i="2"/>
  <c r="C105" i="2" s="1"/>
  <c r="C108" i="2" s="1"/>
  <c r="H108" i="2" s="1"/>
  <c r="C80" i="2"/>
  <c r="H80" i="2" s="1"/>
  <c r="C70" i="2"/>
  <c r="C81" i="2" s="1"/>
  <c r="H81" i="2" s="1"/>
  <c r="B34" i="8"/>
  <c r="B75" i="8"/>
  <c r="F74" i="8"/>
  <c r="G74" i="8" s="1"/>
  <c r="E46" i="8"/>
  <c r="F31" i="8"/>
  <c r="F34" i="8" s="1"/>
  <c r="F35" i="8" s="1"/>
  <c r="F69" i="8"/>
  <c r="F72" i="8" s="1"/>
  <c r="I23" i="8"/>
  <c r="I64" i="8"/>
  <c r="D45" i="8"/>
  <c r="K56" i="8"/>
  <c r="I62" i="8"/>
  <c r="I60" i="8"/>
  <c r="I59" i="8"/>
  <c r="I57" i="8"/>
  <c r="N56" i="8"/>
  <c r="I56" i="8"/>
  <c r="I55" i="8"/>
  <c r="O53" i="8"/>
  <c r="N53" i="8"/>
  <c r="L53" i="8"/>
  <c r="K53" i="8"/>
  <c r="O52" i="8"/>
  <c r="N52" i="8"/>
  <c r="L52" i="8"/>
  <c r="K52" i="8"/>
  <c r="N51" i="8"/>
  <c r="K51" i="8"/>
  <c r="I50" i="8"/>
  <c r="I21" i="8"/>
  <c r="I19" i="8"/>
  <c r="N18" i="8"/>
  <c r="K18" i="8"/>
  <c r="I18" i="8"/>
  <c r="I17" i="8"/>
  <c r="O15" i="8"/>
  <c r="N15" i="8"/>
  <c r="L15" i="8"/>
  <c r="K15" i="8"/>
  <c r="N14" i="8"/>
  <c r="K14" i="8"/>
  <c r="I12" i="8"/>
  <c r="X46" i="2"/>
  <c r="X43" i="2"/>
  <c r="X42" i="2"/>
  <c r="X36" i="2"/>
  <c r="X34" i="2"/>
  <c r="X33" i="2"/>
  <c r="X24" i="2"/>
  <c r="X22" i="2"/>
  <c r="X21" i="2"/>
  <c r="H31" i="5" l="1"/>
  <c r="H30" i="5" s="1"/>
  <c r="O31" i="5"/>
  <c r="O30" i="5" s="1"/>
  <c r="F10" i="10"/>
  <c r="K31" i="5"/>
  <c r="K30" i="5" s="1"/>
  <c r="I31" i="5"/>
  <c r="I30" i="5" s="1"/>
  <c r="N31" i="5"/>
  <c r="N30" i="5" s="1"/>
  <c r="M31" i="5"/>
  <c r="M30" i="5" s="1"/>
  <c r="L31" i="5"/>
  <c r="L30" i="5" s="1"/>
  <c r="G31" i="5"/>
  <c r="G30" i="5" s="1"/>
  <c r="P31" i="5"/>
  <c r="P30" i="5" s="1"/>
  <c r="G10" i="10"/>
  <c r="I4" i="10" s="1"/>
  <c r="I10" i="10"/>
  <c r="J10" i="5"/>
  <c r="J18" i="5" s="1"/>
  <c r="P15" i="5"/>
  <c r="P16" i="5" s="1"/>
  <c r="I10" i="5"/>
  <c r="I18" i="5" s="1"/>
  <c r="I19" i="5" s="1"/>
  <c r="H19" i="5"/>
  <c r="K9" i="5"/>
  <c r="E24" i="4"/>
  <c r="E23" i="4" s="1"/>
  <c r="F24" i="4"/>
  <c r="G24" i="4"/>
  <c r="H24" i="4"/>
  <c r="I24" i="4"/>
  <c r="J24" i="4"/>
  <c r="K24" i="4"/>
  <c r="L24" i="4"/>
  <c r="M24" i="4"/>
  <c r="N24" i="4"/>
  <c r="M15" i="4"/>
  <c r="N15" i="4"/>
  <c r="E15" i="4"/>
  <c r="E14" i="4" s="1"/>
  <c r="F15" i="4"/>
  <c r="I15" i="4"/>
  <c r="G15" i="4"/>
  <c r="J15" i="4"/>
  <c r="K15" i="4"/>
  <c r="L15" i="4"/>
  <c r="H15" i="4"/>
  <c r="E18" i="4"/>
  <c r="E17" i="4" s="1"/>
  <c r="F18" i="4"/>
  <c r="G18" i="4"/>
  <c r="H18" i="4"/>
  <c r="I18" i="4"/>
  <c r="J18" i="4"/>
  <c r="K18" i="4"/>
  <c r="L18" i="4"/>
  <c r="M18" i="4"/>
  <c r="N18" i="4"/>
  <c r="F7" i="4"/>
  <c r="E11" i="4"/>
  <c r="E26" i="4" s="1"/>
  <c r="E29" i="4" s="1"/>
  <c r="E30" i="4" s="1"/>
  <c r="M21" i="4"/>
  <c r="N21" i="4"/>
  <c r="E21" i="4"/>
  <c r="E20" i="4" s="1"/>
  <c r="F21" i="4"/>
  <c r="K21" i="4"/>
  <c r="L21" i="4"/>
  <c r="G21" i="4"/>
  <c r="H21" i="4"/>
  <c r="I21" i="4"/>
  <c r="J21" i="4"/>
  <c r="E8" i="7"/>
  <c r="F75" i="8"/>
  <c r="F76" i="8" s="1"/>
  <c r="D46" i="8"/>
  <c r="N59" i="8"/>
  <c r="K59" i="8"/>
  <c r="K21" i="8"/>
  <c r="D87" i="10"/>
  <c r="D77" i="10"/>
  <c r="I63" i="8"/>
  <c r="L59" i="8"/>
  <c r="I22" i="8"/>
  <c r="N62" i="8"/>
  <c r="O21" i="8"/>
  <c r="K62" i="8"/>
  <c r="K19" i="8"/>
  <c r="N57" i="8"/>
  <c r="N19" i="8"/>
  <c r="O62" i="8"/>
  <c r="K57" i="8"/>
  <c r="L21" i="8"/>
  <c r="L62" i="8"/>
  <c r="N21" i="8"/>
  <c r="O59" i="8"/>
  <c r="K10" i="5" l="1"/>
  <c r="K18" i="5" s="1"/>
  <c r="K19" i="5" s="1"/>
  <c r="L9" i="5"/>
  <c r="J19" i="5"/>
  <c r="F17" i="4"/>
  <c r="G23" i="4"/>
  <c r="F23" i="4"/>
  <c r="G7" i="4"/>
  <c r="F11" i="4"/>
  <c r="F14" i="4"/>
  <c r="F20" i="4"/>
  <c r="F8" i="7"/>
  <c r="K22" i="8"/>
  <c r="K23" i="8" s="1"/>
  <c r="N60" i="8"/>
  <c r="N63" i="8" s="1"/>
  <c r="N64" i="8" s="1"/>
  <c r="K60" i="8"/>
  <c r="K63" i="8" s="1"/>
  <c r="K64" i="8" s="1"/>
  <c r="N22" i="8"/>
  <c r="N23" i="8" s="1"/>
  <c r="L10" i="5" l="1"/>
  <c r="L18" i="5" s="1"/>
  <c r="L19" i="5" s="1"/>
  <c r="M9" i="5"/>
  <c r="F26" i="4"/>
  <c r="F29" i="4" s="1"/>
  <c r="F30" i="4" s="1"/>
  <c r="G11" i="4"/>
  <c r="H7" i="4"/>
  <c r="G20" i="4"/>
  <c r="G8" i="7" s="1"/>
  <c r="G14" i="4"/>
  <c r="G17" i="4"/>
  <c r="G30" i="8"/>
  <c r="G31" i="8" s="1"/>
  <c r="G34" i="8" s="1"/>
  <c r="G35" i="8" s="1"/>
  <c r="E9" i="8" s="1"/>
  <c r="D19" i="7"/>
  <c r="G10" i="8" l="1"/>
  <c r="E10" i="8"/>
  <c r="G4" i="8" s="1"/>
  <c r="O9" i="5"/>
  <c r="O10" i="5" s="1"/>
  <c r="O18" i="5" s="1"/>
  <c r="O19" i="5" s="1"/>
  <c r="N9" i="5"/>
  <c r="N10" i="5" s="1"/>
  <c r="N18" i="5" s="1"/>
  <c r="N19" i="5" s="1"/>
  <c r="M10" i="5"/>
  <c r="M18" i="5" s="1"/>
  <c r="M19" i="5" s="1"/>
  <c r="G26" i="4"/>
  <c r="G29" i="4" s="1"/>
  <c r="G30" i="4" s="1"/>
  <c r="H11" i="4"/>
  <c r="I7" i="4"/>
  <c r="H23" i="4"/>
  <c r="H17" i="4"/>
  <c r="H20" i="4"/>
  <c r="H8" i="7" s="1"/>
  <c r="H14" i="4"/>
  <c r="P9" i="5" l="1"/>
  <c r="P10" i="5" s="1"/>
  <c r="P18" i="5" s="1"/>
  <c r="P19" i="5" s="1"/>
  <c r="H26" i="4"/>
  <c r="H29" i="4" s="1"/>
  <c r="I11" i="4"/>
  <c r="I26" i="4" s="1"/>
  <c r="J7" i="4"/>
  <c r="I23" i="4"/>
  <c r="I20" i="4"/>
  <c r="I8" i="7" s="1"/>
  <c r="I14" i="4"/>
  <c r="I29" i="4" s="1"/>
  <c r="I30" i="4" s="1"/>
  <c r="I17" i="4"/>
  <c r="L18" i="8"/>
  <c r="L19" i="8" s="1"/>
  <c r="L22" i="8" s="1"/>
  <c r="O18" i="8"/>
  <c r="O19" i="8" s="1"/>
  <c r="O22" i="8" s="1"/>
  <c r="O23" i="8" l="1"/>
  <c r="W16" i="17"/>
  <c r="L23" i="8"/>
  <c r="U16" i="17"/>
  <c r="D10" i="8"/>
  <c r="D9" i="8"/>
  <c r="H30" i="4"/>
  <c r="J11" i="4"/>
  <c r="J26" i="4" s="1"/>
  <c r="K7" i="4"/>
  <c r="J20" i="4"/>
  <c r="J17" i="4"/>
  <c r="J23" i="4"/>
  <c r="J14" i="4"/>
  <c r="J29" i="4" s="1"/>
  <c r="J30" i="4" s="1"/>
  <c r="V16" i="17" l="1"/>
  <c r="K11" i="4"/>
  <c r="K26" i="4" s="1"/>
  <c r="L7" i="4"/>
  <c r="K14" i="4"/>
  <c r="K20" i="4"/>
  <c r="K23" i="4"/>
  <c r="K17" i="4"/>
  <c r="B64" i="10"/>
  <c r="D88" i="10"/>
  <c r="D78" i="10"/>
  <c r="B60" i="9"/>
  <c r="G7" i="9"/>
  <c r="C64" i="7"/>
  <c r="C51" i="7"/>
  <c r="B35" i="7"/>
  <c r="H7" i="3"/>
  <c r="O15" i="11"/>
  <c r="D86" i="10"/>
  <c r="D84" i="10"/>
  <c r="D82" i="10"/>
  <c r="D81" i="10"/>
  <c r="B81" i="10"/>
  <c r="D76" i="10"/>
  <c r="D74" i="10"/>
  <c r="D72" i="10"/>
  <c r="D71" i="10"/>
  <c r="B71" i="10"/>
  <c r="F68" i="10"/>
  <c r="B67" i="10"/>
  <c r="B62" i="10"/>
  <c r="B61" i="10"/>
  <c r="B59" i="10"/>
  <c r="B58" i="10"/>
  <c r="B56" i="10"/>
  <c r="B55" i="10"/>
  <c r="B53" i="10"/>
  <c r="K69" i="10"/>
  <c r="C29" i="7"/>
  <c r="D54" i="9" s="1"/>
  <c r="E54" i="9" s="1"/>
  <c r="F22" i="7"/>
  <c r="G22" i="7" s="1"/>
  <c r="H22" i="7" s="1"/>
  <c r="I22" i="7" s="1"/>
  <c r="J22" i="7" s="1"/>
  <c r="K22" i="7" s="1"/>
  <c r="L22" i="7" s="1"/>
  <c r="M22" i="7" s="1"/>
  <c r="N22" i="7" s="1"/>
  <c r="E22" i="7"/>
  <c r="X55" i="3"/>
  <c r="B8" i="3"/>
  <c r="I40" i="9"/>
  <c r="H40" i="9"/>
  <c r="G40" i="9"/>
  <c r="F40" i="9"/>
  <c r="E40" i="9"/>
  <c r="I25" i="9"/>
  <c r="H25" i="9"/>
  <c r="G25" i="9"/>
  <c r="F25" i="9"/>
  <c r="E25" i="9"/>
  <c r="I26" i="9"/>
  <c r="G26" i="9"/>
  <c r="F26" i="9"/>
  <c r="E26" i="9"/>
  <c r="I17" i="9"/>
  <c r="H17" i="9"/>
  <c r="G17" i="9"/>
  <c r="E17" i="9"/>
  <c r="B14" i="9"/>
  <c r="K9" i="1"/>
  <c r="K8" i="1"/>
  <c r="L7" i="1"/>
  <c r="K7" i="1"/>
  <c r="K6" i="1"/>
  <c r="N5" i="1"/>
  <c r="M5" i="1"/>
  <c r="K5" i="1"/>
  <c r="K4" i="1"/>
  <c r="K3" i="1"/>
  <c r="K29" i="4" l="1"/>
  <c r="K30" i="4" s="1"/>
  <c r="L11" i="4"/>
  <c r="L26" i="4" s="1"/>
  <c r="M7" i="4"/>
  <c r="L23" i="4"/>
  <c r="L14" i="4"/>
  <c r="L29" i="4" s="1"/>
  <c r="L30" i="4" s="1"/>
  <c r="L17" i="4"/>
  <c r="L20" i="4"/>
  <c r="O22" i="7"/>
  <c r="D18" i="9"/>
  <c r="F27" i="9"/>
  <c r="E27" i="9"/>
  <c r="E28" i="9" s="1"/>
  <c r="I27" i="9"/>
  <c r="I28" i="9" s="1"/>
  <c r="C26" i="5"/>
  <c r="C47" i="5" s="1"/>
  <c r="O17" i="7"/>
  <c r="D43" i="7"/>
  <c r="D56" i="7"/>
  <c r="H15" i="9"/>
  <c r="E72" i="10"/>
  <c r="E56" i="10"/>
  <c r="D42" i="7"/>
  <c r="D20" i="7"/>
  <c r="E8" i="3"/>
  <c r="F8" i="3"/>
  <c r="E15" i="9"/>
  <c r="I15" i="9"/>
  <c r="C50" i="5"/>
  <c r="C51" i="5" s="1"/>
  <c r="C52" i="5" s="1"/>
  <c r="C53" i="5" s="1"/>
  <c r="C54" i="5" s="1"/>
  <c r="C55" i="5" s="1"/>
  <c r="F20" i="9"/>
  <c r="G15" i="9"/>
  <c r="F17" i="9"/>
  <c r="H26" i="9"/>
  <c r="H27" i="9" s="1"/>
  <c r="H28" i="9" s="1"/>
  <c r="F33" i="9"/>
  <c r="E62" i="10"/>
  <c r="D57" i="9"/>
  <c r="E57" i="9" s="1"/>
  <c r="C32" i="7"/>
  <c r="E82" i="10"/>
  <c r="D55" i="7"/>
  <c r="F15" i="9"/>
  <c r="B4" i="7"/>
  <c r="C5" i="5"/>
  <c r="G27" i="9"/>
  <c r="G58" i="10"/>
  <c r="H58" i="10" s="1"/>
  <c r="I58" i="10" s="1"/>
  <c r="J58" i="10" s="1"/>
  <c r="K58" i="10" s="1"/>
  <c r="F58" i="10"/>
  <c r="M11" i="4" l="1"/>
  <c r="N7" i="4"/>
  <c r="M20" i="4"/>
  <c r="M14" i="4"/>
  <c r="M26" i="4" s="1"/>
  <c r="M23" i="4"/>
  <c r="M17" i="4"/>
  <c r="F28" i="9"/>
  <c r="E71" i="10"/>
  <c r="D51" i="9"/>
  <c r="F69" i="10"/>
  <c r="D30" i="9"/>
  <c r="G28" i="9"/>
  <c r="E7" i="5"/>
  <c r="C56" i="5"/>
  <c r="H20" i="9"/>
  <c r="E81" i="10"/>
  <c r="E55" i="10"/>
  <c r="G20" i="9"/>
  <c r="B63" i="10"/>
  <c r="B59" i="9"/>
  <c r="C63" i="7"/>
  <c r="C50" i="7"/>
  <c r="B34" i="7"/>
  <c r="I20" i="9"/>
  <c r="D15" i="5"/>
  <c r="N26" i="4" l="1"/>
  <c r="N11" i="4"/>
  <c r="N14" i="4"/>
  <c r="N29" i="4" s="1"/>
  <c r="N30" i="4" s="1"/>
  <c r="N20" i="4"/>
  <c r="N17" i="4"/>
  <c r="N23" i="4"/>
  <c r="M29" i="4"/>
  <c r="M30" i="4" s="1"/>
  <c r="G12" i="7"/>
  <c r="F12" i="7"/>
  <c r="E12" i="7"/>
  <c r="D41" i="7"/>
  <c r="E20" i="9"/>
  <c r="H33" i="9"/>
  <c r="G33" i="9"/>
  <c r="E5" i="7"/>
  <c r="E39" i="7" s="1"/>
  <c r="G7" i="5"/>
  <c r="C57" i="5"/>
  <c r="E7" i="7"/>
  <c r="D21" i="9"/>
  <c r="D23" i="9" s="1"/>
  <c r="D31" i="9" s="1"/>
  <c r="D36" i="9" s="1"/>
  <c r="E51" i="9"/>
  <c r="D7" i="9"/>
  <c r="D54" i="7"/>
  <c r="E7" i="3"/>
  <c r="G69" i="10"/>
  <c r="G48" i="5" l="1"/>
  <c r="I33" i="9"/>
  <c r="E33" i="9"/>
  <c r="G53" i="10"/>
  <c r="F7" i="7"/>
  <c r="F5" i="7"/>
  <c r="F39" i="7" s="1"/>
  <c r="H7" i="5"/>
  <c r="D12" i="5"/>
  <c r="H69" i="10"/>
  <c r="F53" i="10"/>
  <c r="E7" i="9"/>
  <c r="F7" i="3"/>
  <c r="C58" i="5"/>
  <c r="D9" i="5"/>
  <c r="H48" i="5" l="1"/>
  <c r="E39" i="9"/>
  <c r="E41" i="9" s="1"/>
  <c r="G51" i="5"/>
  <c r="G52" i="5"/>
  <c r="G57" i="5"/>
  <c r="G54" i="5"/>
  <c r="G53" i="5"/>
  <c r="G50" i="5"/>
  <c r="G55" i="5"/>
  <c r="G56" i="5"/>
  <c r="G58" i="5"/>
  <c r="G7" i="7"/>
  <c r="H12" i="7"/>
  <c r="F84" i="10"/>
  <c r="F74" i="10"/>
  <c r="F59" i="10"/>
  <c r="C59" i="5"/>
  <c r="I69" i="10"/>
  <c r="J69" i="10"/>
  <c r="G5" i="7"/>
  <c r="G39" i="7" s="1"/>
  <c r="I7" i="5"/>
  <c r="G74" i="10"/>
  <c r="G59" i="10"/>
  <c r="G84" i="10"/>
  <c r="H53" i="10"/>
  <c r="I48" i="5" l="1"/>
  <c r="F39" i="9"/>
  <c r="F41" i="9" s="1"/>
  <c r="H54" i="5"/>
  <c r="H55" i="5"/>
  <c r="H58" i="5"/>
  <c r="H50" i="5"/>
  <c r="H51" i="5"/>
  <c r="H56" i="5"/>
  <c r="H53" i="5"/>
  <c r="H52" i="5"/>
  <c r="H57" i="5"/>
  <c r="I12" i="7"/>
  <c r="J53" i="10"/>
  <c r="H74" i="10"/>
  <c r="H59" i="10"/>
  <c r="H84" i="10"/>
  <c r="C60" i="5"/>
  <c r="H7" i="7"/>
  <c r="J8" i="7"/>
  <c r="H5" i="7"/>
  <c r="H39" i="7" s="1"/>
  <c r="J7" i="5"/>
  <c r="E14" i="7"/>
  <c r="J48" i="5" l="1"/>
  <c r="G39" i="9"/>
  <c r="G41" i="9" s="1"/>
  <c r="I57" i="5"/>
  <c r="I53" i="5"/>
  <c r="I56" i="5"/>
  <c r="I52" i="5"/>
  <c r="I55" i="5"/>
  <c r="I51" i="5"/>
  <c r="I58" i="5"/>
  <c r="I54" i="5"/>
  <c r="I50" i="5"/>
  <c r="F14" i="7"/>
  <c r="I7" i="7"/>
  <c r="G14" i="7"/>
  <c r="H14" i="7"/>
  <c r="K8" i="7"/>
  <c r="C61" i="5"/>
  <c r="G60" i="5"/>
  <c r="I5" i="7"/>
  <c r="I39" i="7" s="1"/>
  <c r="K7" i="5"/>
  <c r="J12" i="7"/>
  <c r="I53" i="10"/>
  <c r="K53" i="10"/>
  <c r="J84" i="10"/>
  <c r="J74" i="10"/>
  <c r="J59" i="10"/>
  <c r="K48" i="5" l="1"/>
  <c r="H39" i="9"/>
  <c r="H41" i="9" s="1"/>
  <c r="J57" i="5"/>
  <c r="J56" i="5"/>
  <c r="J55" i="5"/>
  <c r="J52" i="5"/>
  <c r="J51" i="5"/>
  <c r="J54" i="5"/>
  <c r="J58" i="5"/>
  <c r="J53" i="5"/>
  <c r="J50" i="5"/>
  <c r="L8" i="7"/>
  <c r="I84" i="10"/>
  <c r="I74" i="10"/>
  <c r="I59" i="10"/>
  <c r="K12" i="7"/>
  <c r="K74" i="10"/>
  <c r="K59" i="10"/>
  <c r="K84" i="10"/>
  <c r="I14" i="7"/>
  <c r="J5" i="7"/>
  <c r="J39" i="7" s="1"/>
  <c r="L7" i="5"/>
  <c r="C62" i="5"/>
  <c r="G61" i="5"/>
  <c r="H61" i="5"/>
  <c r="I39" i="9" l="1"/>
  <c r="I41" i="9" s="1"/>
  <c r="D42" i="9" s="1"/>
  <c r="D44" i="9" s="1"/>
  <c r="K58" i="5"/>
  <c r="K56" i="5"/>
  <c r="K53" i="5"/>
  <c r="K57" i="5"/>
  <c r="K52" i="5"/>
  <c r="K54" i="5"/>
  <c r="K55" i="5"/>
  <c r="K50" i="5"/>
  <c r="K51" i="5"/>
  <c r="L48" i="5"/>
  <c r="E86" i="10"/>
  <c r="E87" i="10" s="1"/>
  <c r="K5" i="7"/>
  <c r="K39" i="7" s="1"/>
  <c r="M7" i="5"/>
  <c r="J14" i="7"/>
  <c r="J7" i="7"/>
  <c r="L12" i="7"/>
  <c r="E61" i="10"/>
  <c r="E63" i="10" s="1"/>
  <c r="E64" i="10" s="1"/>
  <c r="G38" i="10" s="1"/>
  <c r="M8" i="7"/>
  <c r="C63" i="5"/>
  <c r="G62" i="5"/>
  <c r="H62" i="5"/>
  <c r="I62" i="5"/>
  <c r="E76" i="10"/>
  <c r="E77" i="10" s="1"/>
  <c r="E78" i="10" l="1"/>
  <c r="U18" i="17"/>
  <c r="E88" i="10"/>
  <c r="W18" i="17"/>
  <c r="F38" i="10"/>
  <c r="F39" i="10"/>
  <c r="G39" i="10"/>
  <c r="I33" i="10" s="1"/>
  <c r="I39" i="10"/>
  <c r="M13" i="7"/>
  <c r="L13" i="7"/>
  <c r="E13" i="7"/>
  <c r="G13" i="7"/>
  <c r="I13" i="7"/>
  <c r="F13" i="7"/>
  <c r="N13" i="7"/>
  <c r="H13" i="7"/>
  <c r="J13" i="7"/>
  <c r="K13" i="7"/>
  <c r="D8" i="9"/>
  <c r="E8" i="9" s="1"/>
  <c r="D50" i="9"/>
  <c r="D53" i="9" s="1"/>
  <c r="D56" i="9" s="1"/>
  <c r="D59" i="9" s="1"/>
  <c r="E50" i="9"/>
  <c r="E53" i="9" s="1"/>
  <c r="E56" i="9" s="1"/>
  <c r="E59" i="9" s="1"/>
  <c r="L58" i="5"/>
  <c r="L50" i="5"/>
  <c r="L55" i="5"/>
  <c r="L56" i="5"/>
  <c r="L57" i="5"/>
  <c r="L51" i="5"/>
  <c r="L52" i="5"/>
  <c r="L53" i="5"/>
  <c r="L54" i="5"/>
  <c r="M48" i="5"/>
  <c r="M12" i="7"/>
  <c r="K7" i="7"/>
  <c r="K14" i="7"/>
  <c r="C64" i="5"/>
  <c r="G63" i="5"/>
  <c r="H63" i="5"/>
  <c r="I63" i="5"/>
  <c r="J63" i="5"/>
  <c r="N8" i="7"/>
  <c r="O8" i="7" s="1"/>
  <c r="L5" i="7"/>
  <c r="L39" i="7" s="1"/>
  <c r="N7" i="5"/>
  <c r="V18" i="17" l="1"/>
  <c r="E60" i="9"/>
  <c r="W17" i="17"/>
  <c r="D60" i="9"/>
  <c r="U17" i="17"/>
  <c r="O13" i="7"/>
  <c r="D9" i="9"/>
  <c r="D10" i="9"/>
  <c r="M58" i="5"/>
  <c r="M53" i="5"/>
  <c r="M57" i="5"/>
  <c r="M56" i="5"/>
  <c r="M52" i="5"/>
  <c r="M55" i="5"/>
  <c r="M51" i="5"/>
  <c r="M59" i="5"/>
  <c r="M54" i="5"/>
  <c r="M50" i="5"/>
  <c r="N48" i="5"/>
  <c r="N12" i="7"/>
  <c r="O12" i="7" s="1"/>
  <c r="M7" i="7"/>
  <c r="C65" i="5"/>
  <c r="G64" i="5"/>
  <c r="H64" i="5"/>
  <c r="I64" i="5"/>
  <c r="J64" i="5"/>
  <c r="K64" i="5"/>
  <c r="L7" i="7"/>
  <c r="L14" i="7"/>
  <c r="M5" i="7"/>
  <c r="M39" i="7" s="1"/>
  <c r="O7" i="5"/>
  <c r="E9" i="9" l="1"/>
  <c r="G10" i="9" s="1"/>
  <c r="V17" i="17"/>
  <c r="N58" i="5"/>
  <c r="N59" i="5"/>
  <c r="N51" i="5"/>
  <c r="N52" i="5"/>
  <c r="O48" i="5"/>
  <c r="N53" i="5"/>
  <c r="N56" i="5"/>
  <c r="N55" i="5"/>
  <c r="N50" i="5"/>
  <c r="N57" i="5"/>
  <c r="N60" i="5"/>
  <c r="N54" i="5"/>
  <c r="N14" i="7"/>
  <c r="N7" i="7"/>
  <c r="O7" i="7" s="1"/>
  <c r="N5" i="7"/>
  <c r="N39" i="7" s="1"/>
  <c r="P7" i="5"/>
  <c r="M14" i="7"/>
  <c r="O14" i="7" s="1"/>
  <c r="C66" i="5"/>
  <c r="G65" i="5"/>
  <c r="H65" i="5"/>
  <c r="I65" i="5"/>
  <c r="J65" i="5"/>
  <c r="K65" i="5"/>
  <c r="L65" i="5"/>
  <c r="E10" i="9" l="1"/>
  <c r="G4" i="9" s="1"/>
  <c r="O59" i="5"/>
  <c r="O55" i="5"/>
  <c r="O54" i="5"/>
  <c r="O58" i="5"/>
  <c r="O51" i="5"/>
  <c r="O50" i="5"/>
  <c r="O61" i="5"/>
  <c r="O57" i="5"/>
  <c r="O53" i="5"/>
  <c r="O60" i="5"/>
  <c r="O56" i="5"/>
  <c r="O52" i="5"/>
  <c r="L59" i="5"/>
  <c r="O63" i="5"/>
  <c r="C67" i="5"/>
  <c r="G66" i="5"/>
  <c r="H66" i="5"/>
  <c r="I66" i="5"/>
  <c r="J66" i="5"/>
  <c r="K66" i="5"/>
  <c r="L66" i="5"/>
  <c r="M66" i="5"/>
  <c r="M63" i="5"/>
  <c r="K59" i="5" l="1"/>
  <c r="N66" i="5"/>
  <c r="K61" i="5"/>
  <c r="L63" i="5"/>
  <c r="G59" i="5"/>
  <c r="L61" i="5"/>
  <c r="J60" i="5"/>
  <c r="N65" i="5"/>
  <c r="L64" i="5"/>
  <c r="L62" i="5"/>
  <c r="H60" i="5"/>
  <c r="N61" i="5"/>
  <c r="N64" i="5"/>
  <c r="M64" i="5"/>
  <c r="I61" i="5"/>
  <c r="H59" i="5"/>
  <c r="M65" i="5"/>
  <c r="N62" i="5"/>
  <c r="K63" i="5"/>
  <c r="J62" i="5"/>
  <c r="K62" i="5"/>
  <c r="J59" i="5"/>
  <c r="I60" i="5"/>
  <c r="P48" i="5"/>
  <c r="P58" i="5" s="1"/>
  <c r="X58" i="5" s="1"/>
  <c r="O65" i="5"/>
  <c r="M60" i="5"/>
  <c r="O62" i="5"/>
  <c r="N63" i="5"/>
  <c r="M62" i="5"/>
  <c r="M61" i="5"/>
  <c r="L60" i="5"/>
  <c r="K60" i="5"/>
  <c r="J61" i="5"/>
  <c r="I59" i="5"/>
  <c r="O66" i="5"/>
  <c r="O64" i="5"/>
  <c r="C68" i="5"/>
  <c r="G67" i="5"/>
  <c r="H67" i="5"/>
  <c r="I67" i="5"/>
  <c r="J67" i="5"/>
  <c r="K67" i="5"/>
  <c r="L67" i="5"/>
  <c r="M67" i="5"/>
  <c r="N67" i="5"/>
  <c r="O67" i="5"/>
  <c r="P59" i="5" l="1"/>
  <c r="X59" i="5" s="1"/>
  <c r="P54" i="5"/>
  <c r="X54" i="5" s="1"/>
  <c r="P57" i="5"/>
  <c r="X57" i="5" s="1"/>
  <c r="P67" i="5"/>
  <c r="X67" i="5" s="1"/>
  <c r="P62" i="5"/>
  <c r="X62" i="5" s="1"/>
  <c r="P51" i="5"/>
  <c r="X51" i="5" s="1"/>
  <c r="P52" i="5"/>
  <c r="X52" i="5" s="1"/>
  <c r="P60" i="5"/>
  <c r="X60" i="5" s="1"/>
  <c r="P61" i="5"/>
  <c r="X61" i="5" s="1"/>
  <c r="P66" i="5"/>
  <c r="X66" i="5" s="1"/>
  <c r="P55" i="5"/>
  <c r="X55" i="5" s="1"/>
  <c r="P63" i="5"/>
  <c r="X63" i="5" s="1"/>
  <c r="P64" i="5"/>
  <c r="X64" i="5" s="1"/>
  <c r="P65" i="5"/>
  <c r="X65" i="5" s="1"/>
  <c r="P53" i="5"/>
  <c r="X53" i="5" s="1"/>
  <c r="P56" i="5"/>
  <c r="X56" i="5" s="1"/>
  <c r="P50" i="5"/>
  <c r="X50" i="5" s="1"/>
  <c r="P68" i="5"/>
  <c r="C69" i="5"/>
  <c r="G68" i="5"/>
  <c r="H68" i="5"/>
  <c r="I68" i="5"/>
  <c r="J68" i="5"/>
  <c r="K68" i="5"/>
  <c r="L68" i="5"/>
  <c r="M68" i="5"/>
  <c r="N68" i="5"/>
  <c r="O68" i="5"/>
  <c r="X68" i="5" l="1"/>
  <c r="C70" i="5"/>
  <c r="G69" i="5"/>
  <c r="X69" i="5" s="1"/>
  <c r="H69" i="5"/>
  <c r="I69" i="5"/>
  <c r="J69" i="5"/>
  <c r="K69" i="5"/>
  <c r="L69" i="5"/>
  <c r="M69" i="5"/>
  <c r="N69" i="5"/>
  <c r="O69" i="5"/>
  <c r="P69" i="5"/>
  <c r="C71" i="5" l="1"/>
  <c r="G70" i="5"/>
  <c r="X70" i="5" s="1"/>
  <c r="H70" i="5"/>
  <c r="I70" i="5"/>
  <c r="J70" i="5"/>
  <c r="K70" i="5"/>
  <c r="L70" i="5"/>
  <c r="M70" i="5"/>
  <c r="N70" i="5"/>
  <c r="O70" i="5"/>
  <c r="P70" i="5"/>
  <c r="C72" i="5" l="1"/>
  <c r="G71" i="5"/>
  <c r="X71" i="5" s="1"/>
  <c r="H71" i="5"/>
  <c r="I71" i="5"/>
  <c r="J71" i="5"/>
  <c r="K71" i="5"/>
  <c r="L71" i="5"/>
  <c r="M71" i="5"/>
  <c r="N71" i="5"/>
  <c r="O71" i="5"/>
  <c r="P71" i="5"/>
  <c r="C73" i="5" l="1"/>
  <c r="G72" i="5"/>
  <c r="X72" i="5" s="1"/>
  <c r="H72" i="5"/>
  <c r="I72" i="5"/>
  <c r="J72" i="5"/>
  <c r="K72" i="5"/>
  <c r="L72" i="5"/>
  <c r="M72" i="5"/>
  <c r="N72" i="5"/>
  <c r="O72" i="5"/>
  <c r="P72" i="5"/>
  <c r="C74" i="5" l="1"/>
  <c r="G73" i="5"/>
  <c r="X73" i="5" s="1"/>
  <c r="H73" i="5"/>
  <c r="I73" i="5"/>
  <c r="J73" i="5"/>
  <c r="K73" i="5"/>
  <c r="L73" i="5"/>
  <c r="M73" i="5"/>
  <c r="N73" i="5"/>
  <c r="O73" i="5"/>
  <c r="P73" i="5"/>
  <c r="C75" i="5" l="1"/>
  <c r="G74" i="5"/>
  <c r="H74" i="5"/>
  <c r="I74" i="5"/>
  <c r="J74" i="5"/>
  <c r="K74" i="5"/>
  <c r="L74" i="5"/>
  <c r="M74" i="5"/>
  <c r="N74" i="5"/>
  <c r="O74" i="5"/>
  <c r="X74" i="5" s="1"/>
  <c r="P74" i="5"/>
  <c r="C76" i="5" l="1"/>
  <c r="G75" i="5"/>
  <c r="X75" i="5" s="1"/>
  <c r="H75" i="5"/>
  <c r="I75" i="5"/>
  <c r="J75" i="5"/>
  <c r="K75" i="5"/>
  <c r="L75" i="5"/>
  <c r="M75" i="5"/>
  <c r="N75" i="5"/>
  <c r="O75" i="5"/>
  <c r="P75" i="5"/>
  <c r="C77" i="5" l="1"/>
  <c r="G76" i="5"/>
  <c r="X76" i="5" s="1"/>
  <c r="H76" i="5"/>
  <c r="I76" i="5"/>
  <c r="J76" i="5"/>
  <c r="K76" i="5"/>
  <c r="L76" i="5"/>
  <c r="M76" i="5"/>
  <c r="N76" i="5"/>
  <c r="O76" i="5"/>
  <c r="P76" i="5"/>
  <c r="C78" i="5" l="1"/>
  <c r="X77" i="5"/>
  <c r="G77" i="5"/>
  <c r="H77" i="5"/>
  <c r="I77" i="5"/>
  <c r="J77" i="5"/>
  <c r="K77" i="5"/>
  <c r="L77" i="5"/>
  <c r="M77" i="5"/>
  <c r="N77" i="5"/>
  <c r="O77" i="5"/>
  <c r="P77" i="5"/>
  <c r="G78" i="5" l="1"/>
  <c r="G80" i="5" s="1"/>
  <c r="E9" i="7" s="1"/>
  <c r="E10" i="7" s="1"/>
  <c r="G68" i="8" s="1"/>
  <c r="G69" i="8" s="1"/>
  <c r="G72" i="8" s="1"/>
  <c r="G75" i="8" s="1"/>
  <c r="G76" i="8" s="1"/>
  <c r="E47" i="8" s="1"/>
  <c r="H78" i="5"/>
  <c r="H80" i="5" s="1"/>
  <c r="F9" i="7" s="1"/>
  <c r="F10" i="7" s="1"/>
  <c r="F15" i="7" s="1"/>
  <c r="I78" i="5"/>
  <c r="I80" i="5" s="1"/>
  <c r="G9" i="7" s="1"/>
  <c r="J78" i="5"/>
  <c r="J80" i="5" s="1"/>
  <c r="H9" i="7" s="1"/>
  <c r="H10" i="7" s="1"/>
  <c r="H15" i="7" s="1"/>
  <c r="K78" i="5"/>
  <c r="K80" i="5" s="1"/>
  <c r="I9" i="7" s="1"/>
  <c r="I10" i="7" s="1"/>
  <c r="I15" i="7" s="1"/>
  <c r="L78" i="5"/>
  <c r="L80" i="5" s="1"/>
  <c r="J9" i="7" s="1"/>
  <c r="J10" i="7" s="1"/>
  <c r="J15" i="7" s="1"/>
  <c r="M78" i="5"/>
  <c r="M80" i="5" s="1"/>
  <c r="K9" i="7" s="1"/>
  <c r="K10" i="7" s="1"/>
  <c r="K15" i="7" s="1"/>
  <c r="N78" i="5"/>
  <c r="N80" i="5" s="1"/>
  <c r="L9" i="7" s="1"/>
  <c r="L10" i="7" s="1"/>
  <c r="L15" i="7" s="1"/>
  <c r="O78" i="5"/>
  <c r="O80" i="5" s="1"/>
  <c r="M9" i="7" s="1"/>
  <c r="M10" i="7" s="1"/>
  <c r="M15" i="7" s="1"/>
  <c r="P78" i="5"/>
  <c r="P80" i="5" s="1"/>
  <c r="N9" i="7" s="1"/>
  <c r="N10" i="7" s="1"/>
  <c r="N15" i="7" s="1"/>
  <c r="E48" i="8" l="1"/>
  <c r="G42" i="8" s="1"/>
  <c r="G48" i="8"/>
  <c r="O56" i="8"/>
  <c r="O57" i="8" s="1"/>
  <c r="O60" i="8" s="1"/>
  <c r="O63" i="8" s="1"/>
  <c r="O64" i="8" s="1"/>
  <c r="L56" i="8"/>
  <c r="L57" i="8" s="1"/>
  <c r="L60" i="8" s="1"/>
  <c r="L63" i="8" s="1"/>
  <c r="L64" i="8" s="1"/>
  <c r="X78" i="5"/>
  <c r="K59" i="7"/>
  <c r="K23" i="7"/>
  <c r="K46" i="7"/>
  <c r="O9" i="7"/>
  <c r="O10" i="7" s="1"/>
  <c r="O15" i="7" s="1"/>
  <c r="G10" i="7"/>
  <c r="G15" i="7" s="1"/>
  <c r="J59" i="7"/>
  <c r="J46" i="7"/>
  <c r="J23" i="7"/>
  <c r="F59" i="7"/>
  <c r="F46" i="7"/>
  <c r="F23" i="7"/>
  <c r="N59" i="7"/>
  <c r="N46" i="7"/>
  <c r="N23" i="7"/>
  <c r="I46" i="7"/>
  <c r="I59" i="7"/>
  <c r="I23" i="7"/>
  <c r="E15" i="7"/>
  <c r="M59" i="7"/>
  <c r="M46" i="7"/>
  <c r="M23" i="7"/>
  <c r="L59" i="7"/>
  <c r="L46" i="7"/>
  <c r="L23" i="7"/>
  <c r="H46" i="7"/>
  <c r="H59" i="7"/>
  <c r="H23" i="7"/>
  <c r="D48" i="8" l="1"/>
  <c r="D47" i="8"/>
  <c r="E59" i="7"/>
  <c r="E46" i="7"/>
  <c r="E23" i="7"/>
  <c r="O18" i="7"/>
  <c r="O23" i="7" s="1"/>
  <c r="C27" i="7" s="1"/>
  <c r="O57" i="7"/>
  <c r="O59" i="7" s="1"/>
  <c r="O44" i="7"/>
  <c r="O46" i="7" s="1"/>
  <c r="G59" i="7"/>
  <c r="G23" i="7"/>
  <c r="G46" i="7"/>
  <c r="C25" i="7" l="1"/>
  <c r="D27" i="7" s="1"/>
  <c r="D48" i="7"/>
  <c r="D49" i="7" s="1"/>
  <c r="D50" i="7" s="1"/>
  <c r="D61" i="7"/>
  <c r="D62" i="7" s="1"/>
  <c r="D63" i="7" s="1"/>
  <c r="D64" i="7" l="1"/>
  <c r="W15" i="17"/>
  <c r="D51" i="7"/>
  <c r="C31" i="7"/>
  <c r="C34" i="7" s="1"/>
  <c r="C35" i="7" s="1"/>
  <c r="F9" i="3" s="1"/>
  <c r="H10" i="3" s="1"/>
  <c r="C26" i="7"/>
  <c r="D26" i="7" s="1"/>
  <c r="E9" i="3" l="1"/>
  <c r="E10" i="3"/>
  <c r="V15" i="17"/>
  <c r="F10" i="3"/>
  <c r="H4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91A217-C474-4FC8-A749-C7DABB81DC1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958B6ED-B521-47B4-9EF7-E992D0A64D7B}" name="WorksheetConnection_Home Depot_Financial Model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HomeDepot_FinancialModel.xlsxTable2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<sst xmlns="http://schemas.openxmlformats.org/spreadsheetml/2006/main" count="357" uniqueCount="251">
  <si>
    <t>AAPL</t>
  </si>
  <si>
    <t>Price:</t>
  </si>
  <si>
    <t>USD</t>
  </si>
  <si>
    <t>Average volume:</t>
  </si>
  <si>
    <t>Operating country:</t>
  </si>
  <si>
    <t>United States</t>
  </si>
  <si>
    <t>Industry:</t>
  </si>
  <si>
    <t>Reporting currency:</t>
  </si>
  <si>
    <t>Number of outstanding shares</t>
  </si>
  <si>
    <t>millions</t>
  </si>
  <si>
    <t>Low quartile</t>
  </si>
  <si>
    <t>Used in sensitivity analysis</t>
  </si>
  <si>
    <t>High quartile</t>
  </si>
  <si>
    <t>Low</t>
  </si>
  <si>
    <t>High</t>
  </si>
  <si>
    <t>Long-term growth rate</t>
  </si>
  <si>
    <t>No</t>
  </si>
  <si>
    <t>Dec-2016</t>
  </si>
  <si>
    <t>Dec-2017</t>
  </si>
  <si>
    <t>Dec-2018</t>
  </si>
  <si>
    <t>Dec-2019</t>
  </si>
  <si>
    <t>Dec-2020</t>
  </si>
  <si>
    <t>Discounted Cash Flow</t>
  </si>
  <si>
    <t>5Y</t>
  </si>
  <si>
    <t>Growth Exit</t>
  </si>
  <si>
    <t>Upside</t>
  </si>
  <si>
    <t>Range</t>
  </si>
  <si>
    <t>Selected</t>
  </si>
  <si>
    <t>Stock Price</t>
  </si>
  <si>
    <t>WACC / Discount Rate</t>
  </si>
  <si>
    <t>Fair Price</t>
  </si>
  <si>
    <t>Change in Working Capital Forecast</t>
  </si>
  <si>
    <t>Projections</t>
  </si>
  <si>
    <t>Historical Avg</t>
  </si>
  <si>
    <t>Days receivables</t>
  </si>
  <si>
    <t>Trade receivables</t>
  </si>
  <si>
    <t>Days payables</t>
  </si>
  <si>
    <t>Trade payables</t>
  </si>
  <si>
    <t>Days inventory</t>
  </si>
  <si>
    <t>Inventory</t>
  </si>
  <si>
    <t>Net working capital</t>
  </si>
  <si>
    <t>Change in NWC</t>
  </si>
  <si>
    <t>Capital Expenditure Plan</t>
  </si>
  <si>
    <t>Capex</t>
  </si>
  <si>
    <t>% of Revenue</t>
  </si>
  <si>
    <t>Historical</t>
  </si>
  <si>
    <t>5y Avg</t>
  </si>
  <si>
    <t/>
  </si>
  <si>
    <t>Depreciation &amp; Amortization Schedule</t>
  </si>
  <si>
    <t>Average useful life (years):</t>
  </si>
  <si>
    <t>For CAPEX in</t>
  </si>
  <si>
    <t>Total depreciation &amp; amortization</t>
  </si>
  <si>
    <t>Additional risk adjustments</t>
  </si>
  <si>
    <t>Enterprise/Equity Value Calculations</t>
  </si>
  <si>
    <t>Terminal</t>
  </si>
  <si>
    <t>Profit before tax</t>
  </si>
  <si>
    <t>(-) Net interest income/expense</t>
  </si>
  <si>
    <t>(+) Depreciation &amp; Armortization</t>
  </si>
  <si>
    <t>EBITDA</t>
  </si>
  <si>
    <t>(-) Tax</t>
  </si>
  <si>
    <t>(-): Capex</t>
  </si>
  <si>
    <t>(-): Change in NWC</t>
  </si>
  <si>
    <t>Free Cash Flow (FCF)</t>
  </si>
  <si>
    <t>Peers' EBITDA Multiples</t>
  </si>
  <si>
    <t>Terminal value</t>
  </si>
  <si>
    <t>WACC / Discount rate</t>
  </si>
  <si>
    <t>Timing of FCF (mid year)</t>
  </si>
  <si>
    <t>Present value of FCF</t>
  </si>
  <si>
    <t>Enterprise value</t>
  </si>
  <si>
    <t>Projection period</t>
  </si>
  <si>
    <t>(-) Current net debt</t>
  </si>
  <si>
    <t>Equity value</t>
  </si>
  <si>
    <t>(/) Outstanding shares</t>
  </si>
  <si>
    <t>Sensitivity Analysis</t>
  </si>
  <si>
    <t>WACC</t>
  </si>
  <si>
    <t>EBITDA Multiples</t>
  </si>
  <si>
    <t>Earnings Power Value</t>
  </si>
  <si>
    <t>Normalized Earnings</t>
  </si>
  <si>
    <t>Revenue</t>
  </si>
  <si>
    <t>Sustainable revenue</t>
  </si>
  <si>
    <t>Gross margin</t>
  </si>
  <si>
    <t>Sustainable gross margin</t>
  </si>
  <si>
    <t>Sustainable gross profit</t>
  </si>
  <si>
    <t>Research &amp; Development</t>
  </si>
  <si>
    <t>Selling, G&amp;A expense</t>
  </si>
  <si>
    <t>Total operating expenses</t>
  </si>
  <si>
    <t>(-) Maintenance operating expenses</t>
  </si>
  <si>
    <t>Normalized EBIT</t>
  </si>
  <si>
    <t>Tax rate</t>
  </si>
  <si>
    <t>Selected tax rate</t>
  </si>
  <si>
    <t>After-tax Normalized EBIT</t>
  </si>
  <si>
    <t>Depreciation &amp; Armortization</t>
  </si>
  <si>
    <t>Difference</t>
  </si>
  <si>
    <t>(-) 5y Average Difference</t>
  </si>
  <si>
    <t>(/) WACC</t>
  </si>
  <si>
    <t>Enterprise Value</t>
  </si>
  <si>
    <t>(-) Net debt</t>
  </si>
  <si>
    <t>Equity Value</t>
  </si>
  <si>
    <t>Appendix</t>
  </si>
  <si>
    <t>Year</t>
  </si>
  <si>
    <t>Historical Capex</t>
  </si>
  <si>
    <t>Most current reporting period</t>
  </si>
  <si>
    <t>Most current fiscal year end</t>
  </si>
  <si>
    <t>Number of months difference between 2 periods</t>
  </si>
  <si>
    <t>(12 means they are the same period)</t>
  </si>
  <si>
    <t>Is a financial institution?</t>
  </si>
  <si>
    <t>no</t>
  </si>
  <si>
    <t>Current net debt</t>
  </si>
  <si>
    <t>Is reporting currency same as trading currency?</t>
  </si>
  <si>
    <t>Exchange rate (USD/USD):</t>
  </si>
  <si>
    <t>Company History</t>
  </si>
  <si>
    <t>AA</t>
  </si>
  <si>
    <t>10.2x</t>
  </si>
  <si>
    <t>Update date: 2026-Jan-16</t>
  </si>
  <si>
    <t>30.2x</t>
  </si>
  <si>
    <t>15.7x</t>
  </si>
  <si>
    <t>HD</t>
  </si>
  <si>
    <t>Home Depot Inc</t>
  </si>
  <si>
    <t>Specialty Retail</t>
  </si>
  <si>
    <t>2025-11-02</t>
  </si>
  <si>
    <t>2025-02-02</t>
  </si>
  <si>
    <t>Feb-2021</t>
  </si>
  <si>
    <t>Feb-2022</t>
  </si>
  <si>
    <t>Feb-2023</t>
  </si>
  <si>
    <t>Feb-2024</t>
  </si>
  <si>
    <t>Feb-2025</t>
  </si>
  <si>
    <t>25.9x</t>
  </si>
  <si>
    <t>21.9x</t>
  </si>
  <si>
    <t>AN</t>
  </si>
  <si>
    <t>AutoNation Inc</t>
  </si>
  <si>
    <t>11.8x</t>
  </si>
  <si>
    <t>10.9x</t>
  </si>
  <si>
    <t>AZO</t>
  </si>
  <si>
    <t>Autozone Inc</t>
  </si>
  <si>
    <t>23.4x</t>
  </si>
  <si>
    <t>20.5x</t>
  </si>
  <si>
    <t>BBY</t>
  </si>
  <si>
    <t>Best Buy Co Inc</t>
  </si>
  <si>
    <t>22.2x</t>
  </si>
  <si>
    <t>14.3x</t>
  </si>
  <si>
    <t>FND</t>
  </si>
  <si>
    <t>Floor &amp; Decor Holdings Inc</t>
  </si>
  <si>
    <t>37.5x</t>
  </si>
  <si>
    <t>31.1x</t>
  </si>
  <si>
    <t>KMX</t>
  </si>
  <si>
    <t>Carmax Inc</t>
  </si>
  <si>
    <t>15.6x</t>
  </si>
  <si>
    <t>8.5x</t>
  </si>
  <si>
    <t>LOW</t>
  </si>
  <si>
    <t>Lowe's Companies Inc</t>
  </si>
  <si>
    <t>22.9x</t>
  </si>
  <si>
    <t>22.3x</t>
  </si>
  <si>
    <t>PAG</t>
  </si>
  <si>
    <t>Penske Automotive Group Inc</t>
  </si>
  <si>
    <t>11.5x</t>
  </si>
  <si>
    <t>11.6x</t>
  </si>
  <si>
    <t>ROST</t>
  </si>
  <si>
    <t>Ross Stores Inc</t>
  </si>
  <si>
    <t>25.6x</t>
  </si>
  <si>
    <t>TJX</t>
  </si>
  <si>
    <t>TJX Companies Inc</t>
  </si>
  <si>
    <t>33.9x</t>
  </si>
  <si>
    <t>26.2x</t>
  </si>
  <si>
    <t>16.5x</t>
  </si>
  <si>
    <t>15.4x</t>
  </si>
  <si>
    <t>10.1x</t>
  </si>
  <si>
    <t>5.6x</t>
  </si>
  <si>
    <t>7.1x</t>
  </si>
  <si>
    <t>15.9x</t>
  </si>
  <si>
    <t>GPS</t>
  </si>
  <si>
    <t>Gap Inc</t>
  </si>
  <si>
    <t>3.6x</t>
  </si>
  <si>
    <t>6.9x</t>
  </si>
  <si>
    <t>50.7x</t>
  </si>
  <si>
    <t>23.3x</t>
  </si>
  <si>
    <t>15.8x</t>
  </si>
  <si>
    <t>ODP</t>
  </si>
  <si>
    <t>ODP Corp</t>
  </si>
  <si>
    <t>3.3x</t>
  </si>
  <si>
    <t>3.4x</t>
  </si>
  <si>
    <t>21.7x</t>
  </si>
  <si>
    <t>16.9x</t>
  </si>
  <si>
    <t>TTSH</t>
  </si>
  <si>
    <t>Tile Shop Holdings Inc</t>
  </si>
  <si>
    <t>7.5x</t>
  </si>
  <si>
    <t>N/A</t>
  </si>
  <si>
    <t>Historic Business Performance</t>
  </si>
  <si>
    <t>All figures in USD thousands unless stated</t>
  </si>
  <si>
    <t>COGS</t>
  </si>
  <si>
    <t>Profit Margin ($)</t>
  </si>
  <si>
    <t>Profit Margin (%)</t>
  </si>
  <si>
    <t>Expenses</t>
  </si>
  <si>
    <t>Interest</t>
  </si>
  <si>
    <t>Total</t>
  </si>
  <si>
    <t>Assets</t>
  </si>
  <si>
    <t>Current Assets</t>
  </si>
  <si>
    <t>Non-current Assets</t>
  </si>
  <si>
    <t>Total Assets</t>
  </si>
  <si>
    <t>Liabilities</t>
  </si>
  <si>
    <t>Current Liabilities</t>
  </si>
  <si>
    <t>Long-term Liabilities</t>
  </si>
  <si>
    <t>Total Expenses</t>
  </si>
  <si>
    <t>Shareholders' Equity</t>
  </si>
  <si>
    <t>Liabilities &amp; Shareholders' Equity</t>
  </si>
  <si>
    <t>Net Operating Profit</t>
  </si>
  <si>
    <t>US Revenue</t>
  </si>
  <si>
    <t>Non-US</t>
  </si>
  <si>
    <t>Selling, G&amp;A expenses</t>
  </si>
  <si>
    <t>-</t>
  </si>
  <si>
    <t>Other Expenses</t>
  </si>
  <si>
    <t>Total Revenue</t>
  </si>
  <si>
    <t>Date</t>
  </si>
  <si>
    <t>The Home Depot</t>
  </si>
  <si>
    <t>S&amp;P 500</t>
  </si>
  <si>
    <t>Stock Price Data</t>
  </si>
  <si>
    <t>Projected Business Performance</t>
  </si>
  <si>
    <t>Data: Company Overview</t>
  </si>
  <si>
    <t xml:space="preserve">Company Name: </t>
  </si>
  <si>
    <t xml:space="preserve">Recommendation: </t>
  </si>
  <si>
    <t xml:space="preserve">Target Price: </t>
  </si>
  <si>
    <t xml:space="preserve">Data: Football Field Chart </t>
  </si>
  <si>
    <t>Delta</t>
  </si>
  <si>
    <t>Valuation Summary: Football Field Chart</t>
  </si>
  <si>
    <t>Data: Financial</t>
  </si>
  <si>
    <t>All figures in USD millions unless stated</t>
  </si>
  <si>
    <t>Revenue Growth (%)</t>
  </si>
  <si>
    <t>EBITDA Growth (%)</t>
  </si>
  <si>
    <t>FCFF</t>
  </si>
  <si>
    <t>Net Income</t>
  </si>
  <si>
    <t xml:space="preserve">FCFF is Free Cash Flow to Firm. </t>
  </si>
  <si>
    <t>Valuation Method</t>
  </si>
  <si>
    <t>Dividend Discount Model</t>
  </si>
  <si>
    <t>Trading Multiples</t>
  </si>
  <si>
    <t>Revenue &amp; Expenses</t>
  </si>
  <si>
    <t>Cost of Goods Sold</t>
  </si>
  <si>
    <t>SG&amp;A</t>
  </si>
  <si>
    <t>Net Interest Income/Expenses</t>
  </si>
  <si>
    <t>Other Income/Expenses</t>
  </si>
  <si>
    <t>Tax Expenses</t>
  </si>
  <si>
    <t>EBITDA is Earnings Before Interest, Taxes, Depreciation &amp; Amortization.</t>
  </si>
  <si>
    <t>HOLD</t>
  </si>
  <si>
    <t>The Home Depot: Company Overview</t>
  </si>
  <si>
    <r>
      <rPr>
        <b/>
        <sz val="10"/>
        <color rgb="FF000000"/>
        <rFont val="Arial"/>
        <family val="2"/>
        <scheme val="minor"/>
      </rPr>
      <t>P&amp;L Summary</t>
    </r>
    <r>
      <rPr>
        <sz val="10"/>
        <color rgb="FF000000"/>
        <rFont val="Arial"/>
        <family val="2"/>
        <scheme val="minor"/>
      </rPr>
      <t xml:space="preserve"> </t>
    </r>
    <r>
      <rPr>
        <i/>
        <sz val="10"/>
        <color rgb="FF000000"/>
        <rFont val="Arial"/>
        <family val="2"/>
        <scheme val="minor"/>
      </rPr>
      <t>(2025)</t>
    </r>
  </si>
  <si>
    <r>
      <rPr>
        <b/>
        <sz val="10"/>
        <color rgb="FF000000"/>
        <rFont val="Arial"/>
        <family val="2"/>
        <scheme val="minor"/>
      </rPr>
      <t>Balance Sheet Summary</t>
    </r>
    <r>
      <rPr>
        <sz val="10"/>
        <color rgb="FF000000"/>
        <rFont val="Arial"/>
        <family val="2"/>
        <scheme val="minor"/>
      </rPr>
      <t xml:space="preserve"> </t>
    </r>
    <r>
      <rPr>
        <i/>
        <sz val="10"/>
        <color rgb="FF000000"/>
        <rFont val="Arial"/>
        <family val="2"/>
        <scheme val="minor"/>
      </rPr>
      <t>(2025)</t>
    </r>
  </si>
  <si>
    <r>
      <t xml:space="preserve">Geographic Revenue </t>
    </r>
    <r>
      <rPr>
        <i/>
        <sz val="11"/>
        <color theme="0"/>
        <rFont val="Arial"/>
        <family val="2"/>
        <scheme val="minor"/>
      </rPr>
      <t>($ Milliions)</t>
    </r>
  </si>
  <si>
    <r>
      <rPr>
        <b/>
        <sz val="12"/>
        <color theme="0"/>
        <rFont val="Arial"/>
        <family val="2"/>
        <scheme val="minor"/>
      </rPr>
      <t>Financial Data</t>
    </r>
    <r>
      <rPr>
        <sz val="12"/>
        <color theme="0"/>
        <rFont val="Arial"/>
        <family val="2"/>
        <scheme val="minor"/>
      </rPr>
      <t xml:space="preserve"> </t>
    </r>
    <r>
      <rPr>
        <i/>
        <sz val="12"/>
        <color theme="0"/>
        <rFont val="Arial"/>
        <family val="2"/>
        <scheme val="minor"/>
      </rPr>
      <t>(Multi-Year)</t>
    </r>
  </si>
  <si>
    <r>
      <t xml:space="preserve">Profit Margin </t>
    </r>
    <r>
      <rPr>
        <b/>
        <i/>
        <sz val="11"/>
        <color theme="0"/>
        <rFont val="Arial"/>
        <family val="2"/>
        <scheme val="minor"/>
      </rPr>
      <t>(Multi-Year)</t>
    </r>
  </si>
  <si>
    <r>
      <rPr>
        <b/>
        <sz val="11"/>
        <color theme="0"/>
        <rFont val="Arial"/>
        <family val="2"/>
        <scheme val="minor"/>
      </rPr>
      <t>Cumulative Revenue</t>
    </r>
    <r>
      <rPr>
        <sz val="11"/>
        <color theme="0"/>
        <rFont val="Arial"/>
        <family val="2"/>
        <scheme val="minor"/>
      </rPr>
      <t xml:space="preserve"> </t>
    </r>
    <r>
      <rPr>
        <i/>
        <sz val="11"/>
        <color theme="0"/>
        <rFont val="Arial"/>
        <family val="2"/>
        <scheme val="minor"/>
      </rPr>
      <t>(2025)</t>
    </r>
  </si>
  <si>
    <r>
      <t>Stock Chart (</t>
    </r>
    <r>
      <rPr>
        <b/>
        <i/>
        <sz val="11"/>
        <color theme="0"/>
        <rFont val="Arial"/>
        <family val="2"/>
      </rPr>
      <t>Trailing 52-Week)</t>
    </r>
  </si>
  <si>
    <r>
      <rPr>
        <b/>
        <sz val="11"/>
        <color theme="0"/>
        <rFont val="Arial"/>
        <family val="2"/>
      </rPr>
      <t xml:space="preserve">Other Financial Metrics </t>
    </r>
    <r>
      <rPr>
        <i/>
        <sz val="11"/>
        <color theme="0"/>
        <rFont val="Arial"/>
        <family val="2"/>
      </rPr>
      <t>($ Millions)</t>
    </r>
  </si>
  <si>
    <r>
      <rPr>
        <b/>
        <sz val="11"/>
        <color theme="0"/>
        <rFont val="Arial"/>
        <family val="2"/>
      </rPr>
      <t xml:space="preserve">Total Revenue </t>
    </r>
    <r>
      <rPr>
        <i/>
        <sz val="11"/>
        <color theme="0"/>
        <rFont val="Arial"/>
        <family val="2"/>
      </rPr>
      <t>($ Millions)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</si>
</sst>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;\(#,##0.0\);&quot;-&quot;"/>
    <numFmt numFmtId="165" formatCode="#,##0;\(#,##0\);&quot;-&quot;"/>
    <numFmt numFmtId="166" formatCode="0.0%"/>
    <numFmt numFmtId="167" formatCode="#,##0.00;\(#,##0.00\);&quot;-&quot;"/>
    <numFmt numFmtId="168" formatCode="0.000%"/>
    <numFmt numFmtId="169" formatCode="#,##0;\(#,##0\);&quot;&quot;"/>
    <numFmt numFmtId="170" formatCode="#,##0.00;\(#,##0.00\);&quot;&quot;"/>
    <numFmt numFmtId="171" formatCode="#,##0.000;\(#,##0.000\);&quot;-&quot;"/>
    <numFmt numFmtId="172" formatCode="0.0000"/>
    <numFmt numFmtId="173" formatCode="0&quot;A&quot;"/>
    <numFmt numFmtId="174" formatCode="&quot;Year &quot;0_);&quot;Year &quot;\-0_)"/>
    <numFmt numFmtId="175" formatCode="_(#,##0_);\(#,##0\);_(&quot;–&quot;_);_(@_)"/>
    <numFmt numFmtId="176" formatCode="_(#,##0%_);\(#,##0%\);_(&quot;–&quot;_);_(@_)"/>
    <numFmt numFmtId="177" formatCode="_(#,##0.0%_);\(#,##0.0%\);_(&quot;–&quot;_);_(@_)"/>
    <numFmt numFmtId="179" formatCode="_(* #,##0_);_(* \(#,##0\);_(* &quot;-&quot;??_);_(@_)"/>
    <numFmt numFmtId="180" formatCode="@\⁽\¹\⁾"/>
    <numFmt numFmtId="181" formatCode="@\⁽\²\⁾"/>
    <numFmt numFmtId="182" formatCode="&quot;$&quot;#,##0.00"/>
  </numFmts>
  <fonts count="124">
    <font>
      <sz val="10"/>
      <color rgb="FF000000"/>
      <name val="Arial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0"/>
      <color rgb="FFFFFFFF"/>
      <name val="Arial"/>
      <family val="2"/>
    </font>
    <font>
      <b/>
      <sz val="14"/>
      <color rgb="FFEA8436"/>
      <name val="Arial"/>
      <family val="2"/>
    </font>
    <font>
      <b/>
      <sz val="14"/>
      <color rgb="FFFFFFFF"/>
      <name val="Arial"/>
      <family val="2"/>
    </font>
    <font>
      <sz val="14"/>
      <color rgb="FF00000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i/>
      <sz val="14"/>
      <color rgb="FFBFBFBF"/>
      <name val="Arial"/>
      <family val="2"/>
    </font>
    <font>
      <i/>
      <sz val="14"/>
      <color rgb="FF000000"/>
      <name val="Arial"/>
      <family val="2"/>
    </font>
    <font>
      <b/>
      <sz val="14"/>
      <color rgb="FF373545"/>
      <name val="Arial"/>
      <family val="2"/>
    </font>
    <font>
      <i/>
      <sz val="14"/>
      <color theme="1"/>
      <name val="Arial"/>
      <family val="2"/>
    </font>
    <font>
      <sz val="14"/>
      <color rgb="FFFFFFFF"/>
      <name val="Arial"/>
      <family val="2"/>
    </font>
    <font>
      <b/>
      <sz val="14"/>
      <color rgb="FF000000"/>
      <name val="Arial"/>
      <family val="2"/>
    </font>
    <font>
      <i/>
      <sz val="14"/>
      <color rgb="FFFF0000"/>
      <name val="Arial"/>
      <family val="2"/>
    </font>
    <font>
      <b/>
      <i/>
      <sz val="14"/>
      <color rgb="FFFF6669"/>
      <name val="Arial"/>
      <family val="2"/>
    </font>
    <font>
      <sz val="14"/>
      <color rgb="FFFF6669"/>
      <name val="Arial"/>
      <family val="2"/>
    </font>
    <font>
      <sz val="14"/>
      <color rgb="FF000000"/>
      <name val="Monospace"/>
    </font>
    <font>
      <sz val="14"/>
      <color theme="1"/>
      <name val="&quot;Work Sans&quot;"/>
    </font>
    <font>
      <sz val="14"/>
      <color rgb="FFEA8436"/>
      <name val="Arial"/>
      <family val="2"/>
    </font>
    <font>
      <b/>
      <sz val="14"/>
      <color rgb="FF000000"/>
      <name val="Circular"/>
    </font>
    <font>
      <sz val="14"/>
      <color rgb="FF000000"/>
      <name val="Inconsolata"/>
    </font>
    <font>
      <i/>
      <sz val="14"/>
      <color rgb="FF000000"/>
      <name val="Circular"/>
    </font>
    <font>
      <sz val="14"/>
      <color rgb="FF000000"/>
      <name val="Circular"/>
    </font>
    <font>
      <b/>
      <sz val="14"/>
      <color rgb="FFFF9900"/>
      <name val="Arial"/>
      <family val="2"/>
    </font>
    <font>
      <sz val="16"/>
      <color rgb="FF000000"/>
      <name val="Arial"/>
      <family val="2"/>
    </font>
    <font>
      <sz val="16"/>
      <color theme="1"/>
      <name val="Arial"/>
      <family val="2"/>
    </font>
    <font>
      <b/>
      <sz val="16"/>
      <color rgb="FF00B3E3"/>
      <name val="Arial"/>
      <family val="2"/>
    </font>
    <font>
      <b/>
      <sz val="16"/>
      <color rgb="FFEA8436"/>
      <name val="Arial"/>
      <family val="2"/>
    </font>
    <font>
      <b/>
      <sz val="16"/>
      <color rgb="FFFFFFFF"/>
      <name val="Arial"/>
      <family val="2"/>
    </font>
    <font>
      <i/>
      <sz val="16"/>
      <color theme="1"/>
      <name val="Arial"/>
      <family val="2"/>
    </font>
    <font>
      <sz val="16"/>
      <color rgb="FFEA8436"/>
      <name val="Arial"/>
      <family val="2"/>
    </font>
    <font>
      <b/>
      <sz val="36"/>
      <color rgb="FF000000"/>
      <name val="Arial"/>
      <family val="2"/>
    </font>
    <font>
      <b/>
      <sz val="22"/>
      <color theme="1"/>
      <name val="Arial"/>
      <family val="2"/>
    </font>
    <font>
      <i/>
      <sz val="12"/>
      <color theme="1"/>
      <name val="Arial"/>
      <family val="2"/>
    </font>
    <font>
      <b/>
      <sz val="14"/>
      <color rgb="FFEA8436"/>
      <name val="Circular"/>
    </font>
    <font>
      <sz val="14"/>
      <color rgb="FFFF9900"/>
      <name val="Arial"/>
      <family val="2"/>
    </font>
    <font>
      <sz val="14"/>
      <color rgb="FFFF7F50"/>
      <name val="Circular"/>
    </font>
    <font>
      <u/>
      <sz val="14"/>
      <color rgb="FF0000FF"/>
      <name val="Arial"/>
      <family val="2"/>
    </font>
    <font>
      <sz val="14"/>
      <color rgb="FFA9A9A9"/>
      <name val="Arial"/>
      <family val="2"/>
    </font>
    <font>
      <u/>
      <sz val="14"/>
      <color theme="1"/>
      <name val="Arial"/>
      <family val="2"/>
    </font>
    <font>
      <b/>
      <sz val="16"/>
      <color rgb="FFFF9900"/>
      <name val="Arial"/>
      <family val="2"/>
    </font>
    <font>
      <i/>
      <sz val="13"/>
      <color rgb="FF000000"/>
      <name val="Arial"/>
      <family val="2"/>
    </font>
    <font>
      <sz val="13"/>
      <color rgb="FF000000"/>
      <name val="Arial"/>
      <family val="2"/>
    </font>
    <font>
      <i/>
      <sz val="14"/>
      <color rgb="FFFFFFFF"/>
      <name val="Arial"/>
      <family val="2"/>
    </font>
    <font>
      <b/>
      <sz val="18"/>
      <color rgb="FF00B3E3"/>
      <name val="Arial"/>
      <family val="2"/>
    </font>
    <font>
      <b/>
      <sz val="15"/>
      <color rgb="FFEA8436"/>
      <name val="Arial"/>
      <family val="2"/>
    </font>
    <font>
      <sz val="15"/>
      <color rgb="FF000000"/>
      <name val="Arial"/>
      <family val="2"/>
    </font>
    <font>
      <sz val="16"/>
      <color rgb="FF000000"/>
      <name val="Arial"/>
      <family val="2"/>
    </font>
    <font>
      <sz val="14"/>
      <color rgb="FF000000"/>
      <name val="Arial"/>
      <family val="2"/>
    </font>
    <font>
      <b/>
      <sz val="18"/>
      <color rgb="FFEA8436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i/>
      <u/>
      <sz val="13"/>
      <color theme="1"/>
      <name val="Arial"/>
      <family val="2"/>
    </font>
    <font>
      <sz val="14"/>
      <color rgb="FFFFFFFF"/>
      <name val="Arial"/>
      <family val="2"/>
    </font>
    <font>
      <sz val="14"/>
      <color rgb="FFEA8436"/>
      <name val="Arial"/>
      <family val="2"/>
    </font>
    <font>
      <i/>
      <sz val="14"/>
      <color rgb="FF000000"/>
      <name val="Arial"/>
      <family val="2"/>
    </font>
    <font>
      <b/>
      <sz val="16"/>
      <color rgb="FFFF9900"/>
      <name val="Arial"/>
      <family val="2"/>
    </font>
    <font>
      <i/>
      <sz val="13"/>
      <color rgb="FF000000"/>
      <name val="Arial"/>
      <family val="2"/>
    </font>
    <font>
      <b/>
      <sz val="14"/>
      <color rgb="FFFFFFFF"/>
      <name val="Arial"/>
      <family val="2"/>
    </font>
    <font>
      <sz val="14"/>
      <name val="Arial"/>
      <family val="2"/>
    </font>
    <font>
      <b/>
      <sz val="14"/>
      <color rgb="FF000000"/>
      <name val="Arial"/>
      <family val="2"/>
    </font>
    <font>
      <b/>
      <sz val="14"/>
      <color rgb="FFEA8436"/>
      <name val="Arial"/>
      <family val="2"/>
    </font>
    <font>
      <b/>
      <sz val="16"/>
      <color rgb="FFEA8436"/>
      <name val="Arial"/>
      <family val="2"/>
    </font>
    <font>
      <i/>
      <u/>
      <sz val="14"/>
      <color theme="1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b/>
      <sz val="10"/>
      <color rgb="FF000000"/>
      <name val="Open Sans"/>
      <family val="2"/>
    </font>
    <font>
      <sz val="10"/>
      <color rgb="FF3271D2"/>
      <name val="Open Sans"/>
      <family val="2"/>
    </font>
    <font>
      <sz val="10"/>
      <name val="Open Sans"/>
      <family val="2"/>
    </font>
    <font>
      <sz val="10"/>
      <color rgb="FF000000"/>
      <name val="Arial"/>
      <family val="2"/>
    </font>
    <font>
      <sz val="10"/>
      <name val="Arial"/>
      <family val="2"/>
    </font>
    <font>
      <i/>
      <sz val="10"/>
      <color theme="1"/>
      <name val="Open Sans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sz val="14"/>
      <color theme="0"/>
      <name val="Arial Narrow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i/>
      <sz val="9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FF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color theme="0"/>
      <name val="Arial"/>
      <family val="2"/>
      <scheme val="minor"/>
    </font>
    <font>
      <sz val="9"/>
      <color theme="0"/>
      <name val="Arial"/>
      <family val="2"/>
      <scheme val="minor"/>
    </font>
    <font>
      <b/>
      <sz val="9"/>
      <color rgb="FF3271D2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9"/>
      <color rgb="FF0000FF"/>
      <name val="Arial"/>
      <family val="2"/>
      <scheme val="minor"/>
    </font>
    <font>
      <sz val="9"/>
      <name val="Arial"/>
      <family val="2"/>
      <scheme val="minor"/>
    </font>
    <font>
      <sz val="9"/>
      <color rgb="FF3271D2"/>
      <name val="Arial"/>
      <family val="2"/>
      <scheme val="minor"/>
    </font>
    <font>
      <b/>
      <sz val="10"/>
      <color theme="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3271D2"/>
      <name val="Arial"/>
      <family val="2"/>
    </font>
    <font>
      <i/>
      <sz val="10"/>
      <color theme="1"/>
      <name val="Arial"/>
      <family val="2"/>
    </font>
    <font>
      <sz val="10"/>
      <color theme="1" tint="0.499984740745262"/>
      <name val="Arial"/>
      <family val="2"/>
    </font>
    <font>
      <i/>
      <sz val="10"/>
      <name val="Arial"/>
      <family val="2"/>
    </font>
    <font>
      <b/>
      <sz val="12"/>
      <color theme="0"/>
      <name val="Arial"/>
      <family val="2"/>
      <scheme val="minor"/>
    </font>
    <font>
      <i/>
      <sz val="11"/>
      <color theme="0"/>
      <name val="Arial"/>
      <family val="2"/>
      <scheme val="minor"/>
    </font>
    <font>
      <b/>
      <i/>
      <sz val="11"/>
      <color theme="0"/>
      <name val="Arial"/>
      <family val="2"/>
      <scheme val="minor"/>
    </font>
    <font>
      <i/>
      <sz val="12"/>
      <color theme="0"/>
      <name val="Arial"/>
      <family val="2"/>
      <scheme val="minor"/>
    </font>
    <font>
      <sz val="12"/>
      <color theme="0"/>
      <name val="Arial"/>
      <family val="2"/>
      <scheme val="minor"/>
    </font>
    <font>
      <i/>
      <sz val="10"/>
      <name val="Arial"/>
      <family val="2"/>
      <scheme val="minor"/>
    </font>
    <font>
      <b/>
      <sz val="11"/>
      <color rgb="FF000000"/>
      <name val="Arial"/>
      <family val="2"/>
      <scheme val="major"/>
    </font>
    <font>
      <sz val="11"/>
      <color theme="0"/>
      <name val="Arial"/>
      <family val="2"/>
      <scheme val="major"/>
    </font>
    <font>
      <sz val="11"/>
      <color theme="1"/>
      <name val="Arial"/>
      <family val="2"/>
      <scheme val="major"/>
    </font>
    <font>
      <sz val="11"/>
      <color rgb="FF000000"/>
      <name val="Arial"/>
      <family val="2"/>
      <scheme val="major"/>
    </font>
    <font>
      <b/>
      <sz val="11"/>
      <color theme="0"/>
      <name val="Arial"/>
      <family val="2"/>
      <scheme val="major"/>
    </font>
    <font>
      <b/>
      <i/>
      <sz val="11"/>
      <color theme="0"/>
      <name val="Arial"/>
      <family val="2"/>
    </font>
    <font>
      <sz val="11"/>
      <color theme="0"/>
      <name val="Arial"/>
      <family val="2"/>
    </font>
    <font>
      <i/>
      <sz val="11"/>
      <color theme="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EA874"/>
        <bgColor rgb="FFEEA874"/>
      </patternFill>
    </fill>
    <fill>
      <patternFill patternType="solid">
        <fgColor rgb="FF1DB954"/>
        <bgColor rgb="FF1DB954"/>
      </patternFill>
    </fill>
    <fill>
      <patternFill patternType="solid">
        <fgColor rgb="FFEA8436"/>
        <bgColor rgb="FFEA8436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EA8436"/>
        <bgColor rgb="FF000000"/>
      </patternFill>
    </fill>
    <fill>
      <patternFill patternType="solid">
        <fgColor rgb="FFEA8436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A8436"/>
        <bgColor rgb="FFFFFF00"/>
      </patternFill>
    </fill>
    <fill>
      <patternFill patternType="solid">
        <fgColor rgb="FFEA8436"/>
        <bgColor rgb="FFFFFFFF"/>
      </patternFill>
    </fill>
    <fill>
      <patternFill patternType="solid">
        <fgColor rgb="FFEA8436"/>
        <bgColor rgb="FF00B3E3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rgb="FFFFFFFF"/>
      </patternFill>
    </fill>
  </fills>
  <borders count="44">
    <border>
      <left/>
      <right/>
      <top/>
      <bottom/>
      <diagonal/>
    </border>
    <border>
      <left/>
      <right/>
      <top/>
      <bottom style="medium">
        <color rgb="FFEA8436"/>
      </bottom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 style="medium">
        <color rgb="FFFF99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EA8436"/>
      </bottom>
      <diagonal/>
    </border>
    <border>
      <left/>
      <right/>
      <top style="thin">
        <color rgb="FF000000"/>
      </top>
      <bottom style="medium">
        <color rgb="FFEA843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EA8436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FF99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/>
      <bottom style="medium">
        <color rgb="FFEA8436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/>
      <bottom style="medium">
        <color rgb="FFEA8436"/>
      </bottom>
      <diagonal/>
    </border>
    <border>
      <left/>
      <right style="dotted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EA8436"/>
      </left>
      <right style="medium">
        <color rgb="FFEA8436"/>
      </right>
      <top style="medium">
        <color rgb="FFEA8436"/>
      </top>
      <bottom style="medium">
        <color rgb="FFEA8436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9" fontId="69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43" fontId="75" fillId="0" borderId="0" applyFont="0" applyFill="0" applyBorder="0" applyAlignment="0" applyProtection="0"/>
    <xf numFmtId="0" fontId="76" fillId="0" borderId="0">
      <alignment vertical="center"/>
    </xf>
  </cellStyleXfs>
  <cellXfs count="672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0" fontId="5" fillId="0" borderId="0" xfId="0" applyFont="1"/>
    <xf numFmtId="0" fontId="2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165" fontId="8" fillId="0" borderId="0" xfId="0" applyNumberFormat="1" applyFont="1" applyAlignment="1">
      <alignment horizontal="right"/>
    </xf>
    <xf numFmtId="0" fontId="8" fillId="0" borderId="2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11" fillId="2" borderId="0" xfId="0" applyFont="1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13" fillId="2" borderId="0" xfId="0" applyFont="1" applyFill="1" applyAlignment="1">
      <alignment horizontal="right"/>
    </xf>
    <xf numFmtId="0" fontId="13" fillId="2" borderId="0" xfId="0" applyFont="1" applyFill="1" applyAlignment="1">
      <alignment horizontal="left"/>
    </xf>
    <xf numFmtId="49" fontId="13" fillId="2" borderId="0" xfId="0" applyNumberFormat="1" applyFont="1" applyFill="1" applyAlignment="1">
      <alignment horizontal="right"/>
    </xf>
    <xf numFmtId="0" fontId="8" fillId="2" borderId="0" xfId="0" applyFont="1" applyFill="1"/>
    <xf numFmtId="0" fontId="7" fillId="2" borderId="0" xfId="0" applyFont="1" applyFill="1" applyAlignment="1">
      <alignment horizontal="left" vertical="top"/>
    </xf>
    <xf numFmtId="0" fontId="14" fillId="0" borderId="0" xfId="0" applyFont="1"/>
    <xf numFmtId="0" fontId="15" fillId="0" borderId="0" xfId="0" applyFont="1"/>
    <xf numFmtId="0" fontId="9" fillId="2" borderId="11" xfId="0" applyFont="1" applyFill="1" applyBorder="1" applyAlignment="1">
      <alignment horizontal="left"/>
    </xf>
    <xf numFmtId="0" fontId="8" fillId="0" borderId="0" xfId="0" applyFont="1" applyAlignment="1">
      <alignment vertical="top"/>
    </xf>
    <xf numFmtId="0" fontId="9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16" fillId="2" borderId="12" xfId="0" applyFont="1" applyFill="1" applyBorder="1"/>
    <xf numFmtId="165" fontId="12" fillId="4" borderId="0" xfId="0" applyNumberFormat="1" applyFont="1" applyFill="1" applyAlignment="1">
      <alignment horizontal="right"/>
    </xf>
    <xf numFmtId="0" fontId="20" fillId="2" borderId="0" xfId="0" applyFont="1" applyFill="1" applyAlignment="1">
      <alignment horizontal="left" wrapText="1"/>
    </xf>
    <xf numFmtId="0" fontId="16" fillId="0" borderId="0" xfId="0" applyFont="1" applyAlignment="1">
      <alignment horizontal="center"/>
    </xf>
    <xf numFmtId="2" fontId="12" fillId="4" borderId="0" xfId="0" applyNumberFormat="1" applyFont="1" applyFill="1" applyAlignment="1">
      <alignment horizontal="right"/>
    </xf>
    <xf numFmtId="9" fontId="12" fillId="4" borderId="0" xfId="0" applyNumberFormat="1" applyFont="1" applyFill="1" applyAlignment="1">
      <alignment horizontal="right"/>
    </xf>
    <xf numFmtId="10" fontId="12" fillId="4" borderId="0" xfId="0" applyNumberFormat="1" applyFont="1" applyFill="1" applyAlignment="1">
      <alignment horizontal="right"/>
    </xf>
    <xf numFmtId="0" fontId="9" fillId="0" borderId="10" xfId="0" applyFont="1" applyBorder="1"/>
    <xf numFmtId="165" fontId="9" fillId="0" borderId="10" xfId="0" applyNumberFormat="1" applyFont="1" applyBorder="1"/>
    <xf numFmtId="165" fontId="8" fillId="0" borderId="0" xfId="0" applyNumberFormat="1" applyFont="1"/>
    <xf numFmtId="165" fontId="11" fillId="2" borderId="0" xfId="0" applyNumberFormat="1" applyFont="1" applyFill="1" applyAlignment="1">
      <alignment horizontal="left" vertical="top"/>
    </xf>
    <xf numFmtId="10" fontId="12" fillId="0" borderId="0" xfId="0" applyNumberFormat="1" applyFont="1" applyAlignment="1">
      <alignment horizontal="right"/>
    </xf>
    <xf numFmtId="4" fontId="8" fillId="0" borderId="0" xfId="0" applyNumberFormat="1" applyFont="1" applyAlignment="1">
      <alignment horizontal="right"/>
    </xf>
    <xf numFmtId="0" fontId="9" fillId="0" borderId="12" xfId="0" applyFont="1" applyBorder="1"/>
    <xf numFmtId="165" fontId="9" fillId="0" borderId="12" xfId="0" applyNumberFormat="1" applyFont="1" applyBorder="1"/>
    <xf numFmtId="4" fontId="21" fillId="2" borderId="0" xfId="0" applyNumberFormat="1" applyFont="1" applyFill="1" applyAlignment="1">
      <alignment horizontal="right"/>
    </xf>
    <xf numFmtId="4" fontId="8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8" fillId="3" borderId="13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5" borderId="0" xfId="0" applyFont="1" applyFill="1" applyAlignment="1">
      <alignment horizontal="right"/>
    </xf>
    <xf numFmtId="166" fontId="8" fillId="0" borderId="0" xfId="0" applyNumberFormat="1" applyFont="1" applyAlignment="1">
      <alignment horizontal="right"/>
    </xf>
    <xf numFmtId="166" fontId="9" fillId="5" borderId="0" xfId="0" applyNumberFormat="1" applyFont="1" applyFill="1" applyAlignment="1">
      <alignment horizontal="right"/>
    </xf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0" fontId="15" fillId="4" borderId="0" xfId="0" applyFont="1" applyFill="1" applyAlignment="1">
      <alignment horizontal="right"/>
    </xf>
    <xf numFmtId="10" fontId="8" fillId="0" borderId="0" xfId="0" applyNumberFormat="1" applyFont="1" applyAlignment="1">
      <alignment horizontal="right"/>
    </xf>
    <xf numFmtId="0" fontId="22" fillId="0" borderId="0" xfId="0" applyFont="1"/>
    <xf numFmtId="167" fontId="22" fillId="2" borderId="0" xfId="0" applyNumberFormat="1" applyFont="1" applyFill="1" applyAlignment="1">
      <alignment horizontal="right"/>
    </xf>
    <xf numFmtId="166" fontId="22" fillId="0" borderId="0" xfId="0" applyNumberFormat="1" applyFont="1" applyAlignment="1">
      <alignment horizontal="right"/>
    </xf>
    <xf numFmtId="0" fontId="8" fillId="0" borderId="1" xfId="0" applyFont="1" applyBorder="1"/>
    <xf numFmtId="0" fontId="23" fillId="2" borderId="0" xfId="0" applyFont="1" applyFill="1" applyAlignment="1">
      <alignment horizontal="right" vertical="top"/>
    </xf>
    <xf numFmtId="0" fontId="24" fillId="2" borderId="0" xfId="0" applyFont="1" applyFill="1"/>
    <xf numFmtId="0" fontId="25" fillId="2" borderId="0" xfId="0" applyFont="1" applyFill="1" applyAlignment="1">
      <alignment horizontal="left" vertical="top"/>
    </xf>
    <xf numFmtId="0" fontId="26" fillId="2" borderId="0" xfId="0" applyFont="1" applyFill="1" applyAlignment="1">
      <alignment horizontal="right" vertical="top"/>
    </xf>
    <xf numFmtId="0" fontId="13" fillId="2" borderId="1" xfId="0" applyFont="1" applyFill="1" applyBorder="1" applyAlignment="1">
      <alignment horizontal="right"/>
    </xf>
    <xf numFmtId="0" fontId="7" fillId="2" borderId="0" xfId="0" applyFont="1" applyFill="1" applyAlignment="1">
      <alignment horizontal="center" vertical="top"/>
    </xf>
    <xf numFmtId="165" fontId="7" fillId="2" borderId="0" xfId="0" applyNumberFormat="1" applyFont="1" applyFill="1" applyAlignment="1">
      <alignment horizontal="right" vertical="top"/>
    </xf>
    <xf numFmtId="165" fontId="7" fillId="0" borderId="0" xfId="0" applyNumberFormat="1" applyFont="1" applyAlignment="1">
      <alignment horizontal="right" vertical="top"/>
    </xf>
    <xf numFmtId="0" fontId="16" fillId="2" borderId="10" xfId="0" applyFont="1" applyFill="1" applyBorder="1" applyAlignment="1">
      <alignment horizontal="left" vertical="top"/>
    </xf>
    <xf numFmtId="165" fontId="16" fillId="2" borderId="10" xfId="0" applyNumberFormat="1" applyFont="1" applyFill="1" applyBorder="1" applyAlignment="1">
      <alignment horizontal="right" vertical="top"/>
    </xf>
    <xf numFmtId="0" fontId="16" fillId="2" borderId="0" xfId="0" applyFont="1" applyFill="1" applyAlignment="1">
      <alignment horizontal="left" vertical="top"/>
    </xf>
    <xf numFmtId="10" fontId="16" fillId="2" borderId="20" xfId="0" applyNumberFormat="1" applyFont="1" applyFill="1" applyBorder="1" applyAlignment="1">
      <alignment horizontal="right" vertical="top"/>
    </xf>
    <xf numFmtId="171" fontId="7" fillId="2" borderId="0" xfId="0" applyNumberFormat="1" applyFont="1" applyFill="1" applyAlignment="1">
      <alignment horizontal="right" vertical="top"/>
    </xf>
    <xf numFmtId="167" fontId="7" fillId="2" borderId="0" xfId="0" applyNumberFormat="1" applyFont="1" applyFill="1" applyAlignment="1">
      <alignment horizontal="right" vertical="top"/>
    </xf>
    <xf numFmtId="165" fontId="5" fillId="2" borderId="0" xfId="0" applyNumberFormat="1" applyFont="1" applyFill="1" applyAlignment="1">
      <alignment horizontal="right" vertical="top"/>
    </xf>
    <xf numFmtId="165" fontId="7" fillId="2" borderId="20" xfId="0" applyNumberFormat="1" applyFont="1" applyFill="1" applyBorder="1" applyAlignment="1">
      <alignment horizontal="right" vertical="top"/>
    </xf>
    <xf numFmtId="166" fontId="12" fillId="2" borderId="20" xfId="0" applyNumberFormat="1" applyFont="1" applyFill="1" applyBorder="1" applyAlignment="1">
      <alignment horizontal="right" vertical="top"/>
    </xf>
    <xf numFmtId="165" fontId="5" fillId="2" borderId="10" xfId="0" applyNumberFormat="1" applyFont="1" applyFill="1" applyBorder="1" applyAlignment="1">
      <alignment horizontal="right" vertical="top"/>
    </xf>
    <xf numFmtId="167" fontId="16" fillId="2" borderId="10" xfId="0" applyNumberFormat="1" applyFont="1" applyFill="1" applyBorder="1" applyAlignment="1">
      <alignment horizontal="right" vertical="top"/>
    </xf>
    <xf numFmtId="0" fontId="16" fillId="2" borderId="0" xfId="0" applyFont="1" applyFill="1"/>
    <xf numFmtId="167" fontId="5" fillId="2" borderId="0" xfId="0" applyNumberFormat="1" applyFont="1" applyFill="1" applyAlignment="1">
      <alignment horizontal="right" vertical="top"/>
    </xf>
    <xf numFmtId="0" fontId="27" fillId="0" borderId="3" xfId="0" applyFont="1" applyBorder="1"/>
    <xf numFmtId="0" fontId="8" fillId="0" borderId="5" xfId="0" applyFont="1" applyBorder="1"/>
    <xf numFmtId="0" fontId="8" fillId="0" borderId="21" xfId="0" applyFont="1" applyBorder="1"/>
    <xf numFmtId="0" fontId="5" fillId="2" borderId="22" xfId="0" applyFont="1" applyFill="1" applyBorder="1" applyAlignment="1">
      <alignment horizontal="center" vertical="top"/>
    </xf>
    <xf numFmtId="0" fontId="16" fillId="2" borderId="1" xfId="0" applyFont="1" applyFill="1" applyBorder="1" applyAlignment="1">
      <alignment horizontal="right"/>
    </xf>
    <xf numFmtId="0" fontId="7" fillId="0" borderId="0" xfId="0" applyFont="1" applyAlignment="1">
      <alignment horizontal="left" vertical="top"/>
    </xf>
    <xf numFmtId="10" fontId="8" fillId="0" borderId="20" xfId="0" applyNumberFormat="1" applyFont="1" applyBorder="1" applyAlignment="1">
      <alignment horizontal="right"/>
    </xf>
    <xf numFmtId="166" fontId="8" fillId="0" borderId="20" xfId="0" applyNumberFormat="1" applyFont="1" applyBorder="1" applyAlignment="1">
      <alignment horizontal="right"/>
    </xf>
    <xf numFmtId="0" fontId="8" fillId="0" borderId="20" xfId="0" applyFont="1" applyBorder="1" applyAlignment="1">
      <alignment horizontal="right"/>
    </xf>
    <xf numFmtId="0" fontId="7" fillId="0" borderId="2" xfId="0" applyFont="1" applyBorder="1" applyAlignment="1">
      <alignment horizontal="left" vertical="top"/>
    </xf>
    <xf numFmtId="165" fontId="7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left" vertical="top"/>
    </xf>
    <xf numFmtId="165" fontId="5" fillId="0" borderId="0" xfId="0" applyNumberFormat="1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0" fontId="16" fillId="0" borderId="0" xfId="0" applyFont="1"/>
    <xf numFmtId="0" fontId="9" fillId="0" borderId="25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165" fontId="8" fillId="0" borderId="1" xfId="0" applyNumberFormat="1" applyFont="1" applyBorder="1"/>
    <xf numFmtId="0" fontId="9" fillId="0" borderId="21" xfId="0" applyFont="1" applyBorder="1" applyAlignment="1">
      <alignment horizontal="center" vertical="center"/>
    </xf>
    <xf numFmtId="0" fontId="8" fillId="0" borderId="22" xfId="0" applyFont="1" applyBorder="1"/>
    <xf numFmtId="0" fontId="8" fillId="0" borderId="6" xfId="0" applyFont="1" applyBorder="1"/>
    <xf numFmtId="0" fontId="8" fillId="0" borderId="8" xfId="0" applyFont="1" applyBorder="1"/>
    <xf numFmtId="0" fontId="3" fillId="0" borderId="0" xfId="0" applyFont="1"/>
    <xf numFmtId="0" fontId="28" fillId="0" borderId="0" xfId="0" applyFont="1"/>
    <xf numFmtId="0" fontId="29" fillId="0" borderId="0" xfId="0" applyFont="1" applyAlignment="1">
      <alignment horizontal="right"/>
    </xf>
    <xf numFmtId="0" fontId="30" fillId="0" borderId="0" xfId="0" applyFont="1"/>
    <xf numFmtId="0" fontId="29" fillId="0" borderId="0" xfId="0" applyFont="1"/>
    <xf numFmtId="0" fontId="29" fillId="0" borderId="0" xfId="0" applyFont="1" applyAlignment="1">
      <alignment horizontal="center"/>
    </xf>
    <xf numFmtId="0" fontId="32" fillId="0" borderId="0" xfId="0" applyFont="1"/>
    <xf numFmtId="0" fontId="31" fillId="0" borderId="0" xfId="0" applyFont="1"/>
    <xf numFmtId="165" fontId="29" fillId="0" borderId="0" xfId="0" applyNumberFormat="1" applyFont="1" applyAlignment="1">
      <alignment horizontal="right"/>
    </xf>
    <xf numFmtId="0" fontId="29" fillId="0" borderId="2" xfId="0" applyFont="1" applyBorder="1" applyAlignment="1">
      <alignment horizontal="right"/>
    </xf>
    <xf numFmtId="0" fontId="34" fillId="0" borderId="0" xfId="0" applyFont="1"/>
    <xf numFmtId="164" fontId="31" fillId="2" borderId="0" xfId="0" applyNumberFormat="1" applyFont="1" applyFill="1" applyAlignment="1">
      <alignment horizontal="left"/>
    </xf>
    <xf numFmtId="0" fontId="32" fillId="0" borderId="0" xfId="0" applyFont="1" applyAlignment="1">
      <alignment horizontal="center" vertical="center"/>
    </xf>
    <xf numFmtId="0" fontId="33" fillId="0" borderId="0" xfId="0" applyFont="1"/>
    <xf numFmtId="0" fontId="29" fillId="0" borderId="27" xfId="0" applyFont="1" applyBorder="1" applyAlignment="1">
      <alignment horizontal="right"/>
    </xf>
    <xf numFmtId="0" fontId="29" fillId="0" borderId="27" xfId="0" applyFont="1" applyBorder="1"/>
    <xf numFmtId="0" fontId="35" fillId="0" borderId="28" xfId="0" applyFont="1" applyBorder="1" applyAlignment="1">
      <alignment horizontal="center" vertical="center"/>
    </xf>
    <xf numFmtId="0" fontId="36" fillId="0" borderId="27" xfId="0" applyFont="1" applyBorder="1" applyAlignment="1">
      <alignment vertical="center"/>
    </xf>
    <xf numFmtId="0" fontId="37" fillId="0" borderId="0" xfId="0" applyFont="1"/>
    <xf numFmtId="0" fontId="38" fillId="2" borderId="0" xfId="0" applyFont="1" applyFill="1" applyAlignment="1">
      <alignment horizontal="center" vertical="top"/>
    </xf>
    <xf numFmtId="0" fontId="26" fillId="2" borderId="1" xfId="0" applyFont="1" applyFill="1" applyBorder="1" applyAlignment="1">
      <alignment horizontal="left" vertical="top"/>
    </xf>
    <xf numFmtId="0" fontId="13" fillId="2" borderId="14" xfId="0" applyFont="1" applyFill="1" applyBorder="1" applyAlignment="1">
      <alignment horizontal="right"/>
    </xf>
    <xf numFmtId="0" fontId="7" fillId="2" borderId="0" xfId="0" applyFont="1" applyFill="1" applyAlignment="1">
      <alignment horizontal="right"/>
    </xf>
    <xf numFmtId="0" fontId="7" fillId="2" borderId="15" xfId="0" applyFont="1" applyFill="1" applyBorder="1" applyAlignment="1">
      <alignment horizontal="right"/>
    </xf>
    <xf numFmtId="165" fontId="16" fillId="2" borderId="0" xfId="0" applyNumberFormat="1" applyFont="1" applyFill="1" applyAlignment="1">
      <alignment horizontal="right" vertical="top"/>
    </xf>
    <xf numFmtId="165" fontId="16" fillId="2" borderId="15" xfId="0" applyNumberFormat="1" applyFont="1" applyFill="1" applyBorder="1" applyAlignment="1">
      <alignment horizontal="right" vertical="top"/>
    </xf>
    <xf numFmtId="9" fontId="12" fillId="2" borderId="0" xfId="0" applyNumberFormat="1" applyFont="1" applyFill="1" applyAlignment="1">
      <alignment horizontal="right" vertical="top"/>
    </xf>
    <xf numFmtId="9" fontId="12" fillId="2" borderId="15" xfId="0" applyNumberFormat="1" applyFont="1" applyFill="1" applyBorder="1" applyAlignment="1">
      <alignment horizontal="right" vertical="top"/>
    </xf>
    <xf numFmtId="9" fontId="12" fillId="3" borderId="0" xfId="0" applyNumberFormat="1" applyFont="1" applyFill="1" applyAlignment="1">
      <alignment horizontal="right" vertical="top"/>
    </xf>
    <xf numFmtId="3" fontId="7" fillId="2" borderId="0" xfId="0" applyNumberFormat="1" applyFont="1" applyFill="1" applyAlignment="1">
      <alignment horizontal="right" vertical="top"/>
    </xf>
    <xf numFmtId="3" fontId="7" fillId="2" borderId="15" xfId="0" applyNumberFormat="1" applyFont="1" applyFill="1" applyBorder="1" applyAlignment="1">
      <alignment horizontal="right" vertical="top"/>
    </xf>
    <xf numFmtId="165" fontId="7" fillId="2" borderId="15" xfId="0" applyNumberFormat="1" applyFont="1" applyFill="1" applyBorder="1" applyAlignment="1">
      <alignment horizontal="right" vertical="top"/>
    </xf>
    <xf numFmtId="166" fontId="12" fillId="2" borderId="0" xfId="0" applyNumberFormat="1" applyFont="1" applyFill="1" applyAlignment="1">
      <alignment horizontal="right" vertical="top"/>
    </xf>
    <xf numFmtId="166" fontId="12" fillId="3" borderId="0" xfId="0" applyNumberFormat="1" applyFont="1" applyFill="1" applyAlignment="1">
      <alignment horizontal="right" vertical="top"/>
    </xf>
    <xf numFmtId="165" fontId="16" fillId="2" borderId="16" xfId="0" applyNumberFormat="1" applyFont="1" applyFill="1" applyBorder="1" applyAlignment="1">
      <alignment horizontal="right" vertical="top"/>
    </xf>
    <xf numFmtId="0" fontId="12" fillId="2" borderId="1" xfId="0" applyFont="1" applyFill="1" applyBorder="1" applyAlignment="1">
      <alignment horizontal="left" vertical="top"/>
    </xf>
    <xf numFmtId="9" fontId="12" fillId="2" borderId="1" xfId="0" applyNumberFormat="1" applyFont="1" applyFill="1" applyBorder="1" applyAlignment="1">
      <alignment horizontal="right" vertical="top"/>
    </xf>
    <xf numFmtId="9" fontId="12" fillId="2" borderId="14" xfId="0" applyNumberFormat="1" applyFont="1" applyFill="1" applyBorder="1" applyAlignment="1">
      <alignment horizontal="right" vertical="top"/>
    </xf>
    <xf numFmtId="168" fontId="12" fillId="0" borderId="0" xfId="0" applyNumberFormat="1" applyFont="1" applyAlignment="1">
      <alignment horizontal="right" vertical="top"/>
    </xf>
    <xf numFmtId="9" fontId="12" fillId="7" borderId="0" xfId="0" applyNumberFormat="1" applyFont="1" applyFill="1" applyAlignment="1">
      <alignment horizontal="right" vertical="top"/>
    </xf>
    <xf numFmtId="0" fontId="31" fillId="2" borderId="0" xfId="0" applyFont="1" applyFill="1" applyAlignment="1">
      <alignment horizontal="left"/>
    </xf>
    <xf numFmtId="0" fontId="15" fillId="2" borderId="0" xfId="0" applyFont="1" applyFill="1"/>
    <xf numFmtId="0" fontId="7" fillId="2" borderId="0" xfId="0" applyFont="1" applyFill="1" applyAlignment="1">
      <alignment horizontal="left"/>
    </xf>
    <xf numFmtId="0" fontId="38" fillId="2" borderId="0" xfId="0" applyFont="1" applyFill="1" applyAlignment="1">
      <alignment horizontal="left"/>
    </xf>
    <xf numFmtId="0" fontId="12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right" vertical="top"/>
    </xf>
    <xf numFmtId="0" fontId="16" fillId="2" borderId="0" xfId="0" applyFont="1" applyFill="1" applyAlignment="1">
      <alignment horizontal="right" vertical="top"/>
    </xf>
    <xf numFmtId="0" fontId="16" fillId="2" borderId="1" xfId="0" applyFont="1" applyFill="1" applyBorder="1" applyAlignment="1">
      <alignment horizontal="right" vertical="top"/>
    </xf>
    <xf numFmtId="49" fontId="13" fillId="2" borderId="1" xfId="0" applyNumberFormat="1" applyFont="1" applyFill="1" applyBorder="1" applyAlignment="1">
      <alignment horizontal="right"/>
    </xf>
    <xf numFmtId="0" fontId="16" fillId="2" borderId="14" xfId="0" applyFont="1" applyFill="1" applyBorder="1" applyAlignment="1">
      <alignment horizontal="right" vertical="top"/>
    </xf>
    <xf numFmtId="1" fontId="7" fillId="2" borderId="0" xfId="0" applyNumberFormat="1" applyFont="1" applyFill="1" applyAlignment="1">
      <alignment horizontal="right" vertical="top"/>
    </xf>
    <xf numFmtId="0" fontId="12" fillId="2" borderId="15" xfId="0" applyFont="1" applyFill="1" applyBorder="1" applyAlignment="1">
      <alignment horizontal="right" vertical="top"/>
    </xf>
    <xf numFmtId="165" fontId="12" fillId="3" borderId="0" xfId="0" applyNumberFormat="1" applyFont="1" applyFill="1" applyAlignment="1">
      <alignment horizontal="right" vertical="top"/>
    </xf>
    <xf numFmtId="0" fontId="7" fillId="2" borderId="10" xfId="0" applyFont="1" applyFill="1" applyBorder="1" applyAlignment="1">
      <alignment horizontal="left" vertical="top"/>
    </xf>
    <xf numFmtId="0" fontId="7" fillId="2" borderId="10" xfId="0" applyFont="1" applyFill="1" applyBorder="1" applyAlignment="1">
      <alignment horizontal="right" vertical="top"/>
    </xf>
    <xf numFmtId="165" fontId="7" fillId="2" borderId="10" xfId="0" applyNumberFormat="1" applyFont="1" applyFill="1" applyBorder="1" applyAlignment="1">
      <alignment horizontal="right" vertical="top"/>
    </xf>
    <xf numFmtId="3" fontId="7" fillId="2" borderId="16" xfId="0" applyNumberFormat="1" applyFont="1" applyFill="1" applyBorder="1" applyAlignment="1">
      <alignment horizontal="right" vertical="top"/>
    </xf>
    <xf numFmtId="0" fontId="39" fillId="2" borderId="0" xfId="0" applyFont="1" applyFill="1" applyAlignment="1">
      <alignment horizontal="left" vertical="top"/>
    </xf>
    <xf numFmtId="0" fontId="16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right" vertical="top"/>
    </xf>
    <xf numFmtId="3" fontId="7" fillId="2" borderId="14" xfId="0" applyNumberFormat="1" applyFont="1" applyFill="1" applyBorder="1" applyAlignment="1">
      <alignment horizontal="right" vertical="top"/>
    </xf>
    <xf numFmtId="165" fontId="16" fillId="2" borderId="1" xfId="0" applyNumberFormat="1" applyFont="1" applyFill="1" applyBorder="1" applyAlignment="1">
      <alignment horizontal="right" vertical="top"/>
    </xf>
    <xf numFmtId="0" fontId="9" fillId="4" borderId="0" xfId="0" applyFont="1" applyFill="1"/>
    <xf numFmtId="0" fontId="8" fillId="4" borderId="0" xfId="0" applyFont="1" applyFill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7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right" vertical="top"/>
    </xf>
    <xf numFmtId="3" fontId="12" fillId="2" borderId="0" xfId="0" applyNumberFormat="1" applyFont="1" applyFill="1" applyAlignment="1">
      <alignment horizontal="right" vertical="top"/>
    </xf>
    <xf numFmtId="0" fontId="8" fillId="0" borderId="14" xfId="0" applyFont="1" applyBorder="1"/>
    <xf numFmtId="0" fontId="8" fillId="0" borderId="15" xfId="0" applyFont="1" applyBorder="1"/>
    <xf numFmtId="165" fontId="12" fillId="2" borderId="0" xfId="0" applyNumberFormat="1" applyFont="1" applyFill="1" applyAlignment="1">
      <alignment horizontal="right" vertical="top"/>
    </xf>
    <xf numFmtId="0" fontId="40" fillId="2" borderId="0" xfId="0" applyFont="1" applyFill="1" applyAlignment="1">
      <alignment horizontal="left"/>
    </xf>
    <xf numFmtId="0" fontId="12" fillId="2" borderId="0" xfId="0" applyFont="1" applyFill="1" applyAlignment="1">
      <alignment horizontal="right"/>
    </xf>
    <xf numFmtId="0" fontId="7" fillId="0" borderId="17" xfId="0" applyFont="1" applyBorder="1" applyAlignment="1">
      <alignment horizontal="left" vertical="top"/>
    </xf>
    <xf numFmtId="0" fontId="8" fillId="0" borderId="17" xfId="0" applyFont="1" applyBorder="1"/>
    <xf numFmtId="169" fontId="7" fillId="0" borderId="17" xfId="0" applyNumberFormat="1" applyFont="1" applyBorder="1" applyAlignment="1">
      <alignment horizontal="right" vertical="top"/>
    </xf>
    <xf numFmtId="169" fontId="7" fillId="0" borderId="0" xfId="0" applyNumberFormat="1" applyFont="1"/>
    <xf numFmtId="165" fontId="15" fillId="0" borderId="0" xfId="0" applyNumberFormat="1" applyFont="1"/>
    <xf numFmtId="0" fontId="7" fillId="0" borderId="18" xfId="0" applyFont="1" applyBorder="1" applyAlignment="1">
      <alignment horizontal="left" vertical="top"/>
    </xf>
    <xf numFmtId="0" fontId="8" fillId="0" borderId="18" xfId="0" applyFont="1" applyBorder="1"/>
    <xf numFmtId="0" fontId="7" fillId="0" borderId="0" xfId="0" applyFont="1" applyAlignment="1">
      <alignment horizontal="center" vertical="top"/>
    </xf>
    <xf numFmtId="0" fontId="8" fillId="0" borderId="18" xfId="0" applyFont="1" applyBorder="1" applyAlignment="1">
      <alignment horizontal="left"/>
    </xf>
    <xf numFmtId="0" fontId="7" fillId="0" borderId="18" xfId="0" applyFont="1" applyBorder="1" applyAlignment="1">
      <alignment horizontal="right"/>
    </xf>
    <xf numFmtId="0" fontId="8" fillId="0" borderId="18" xfId="0" applyFont="1" applyBorder="1" applyAlignment="1">
      <alignment horizontal="right"/>
    </xf>
    <xf numFmtId="169" fontId="7" fillId="0" borderId="0" xfId="0" applyNumberFormat="1" applyFont="1" applyAlignment="1">
      <alignment horizontal="right" vertical="top"/>
    </xf>
    <xf numFmtId="0" fontId="9" fillId="0" borderId="12" xfId="0" applyFont="1" applyBorder="1" applyAlignment="1">
      <alignment horizontal="right"/>
    </xf>
    <xf numFmtId="165" fontId="9" fillId="0" borderId="12" xfId="0" applyNumberFormat="1" applyFont="1" applyBorder="1" applyAlignment="1">
      <alignment horizontal="right"/>
    </xf>
    <xf numFmtId="0" fontId="23" fillId="2" borderId="0" xfId="0" applyFont="1" applyFill="1" applyAlignment="1">
      <alignment horizontal="left" vertical="top"/>
    </xf>
    <xf numFmtId="0" fontId="16" fillId="2" borderId="19" xfId="0" applyFont="1" applyFill="1" applyBorder="1" applyAlignment="1">
      <alignment horizontal="left" vertical="top"/>
    </xf>
    <xf numFmtId="0" fontId="16" fillId="2" borderId="19" xfId="0" applyFont="1" applyFill="1" applyBorder="1" applyAlignment="1">
      <alignment horizontal="right" vertical="top"/>
    </xf>
    <xf numFmtId="10" fontId="7" fillId="2" borderId="0" xfId="0" applyNumberFormat="1" applyFont="1" applyFill="1" applyAlignment="1">
      <alignment horizontal="right" vertical="top"/>
    </xf>
    <xf numFmtId="0" fontId="41" fillId="0" borderId="0" xfId="0" applyFont="1"/>
    <xf numFmtId="10" fontId="7" fillId="2" borderId="10" xfId="0" applyNumberFormat="1" applyFont="1" applyFill="1" applyBorder="1" applyAlignment="1">
      <alignment horizontal="right" vertical="top"/>
    </xf>
    <xf numFmtId="4" fontId="7" fillId="2" borderId="0" xfId="0" applyNumberFormat="1" applyFont="1" applyFill="1" applyAlignment="1">
      <alignment horizontal="right" vertical="top"/>
    </xf>
    <xf numFmtId="0" fontId="42" fillId="2" borderId="0" xfId="0" applyFont="1" applyFill="1" applyAlignment="1">
      <alignment horizontal="center" vertical="top"/>
    </xf>
    <xf numFmtId="10" fontId="5" fillId="2" borderId="19" xfId="0" applyNumberFormat="1" applyFont="1" applyFill="1" applyBorder="1" applyAlignment="1">
      <alignment horizontal="right" vertical="top"/>
    </xf>
    <xf numFmtId="0" fontId="8" fillId="2" borderId="19" xfId="0" applyFont="1" applyFill="1" applyBorder="1"/>
    <xf numFmtId="0" fontId="15" fillId="6" borderId="0" xfId="0" applyFont="1" applyFill="1"/>
    <xf numFmtId="10" fontId="16" fillId="2" borderId="0" xfId="0" applyNumberFormat="1" applyFont="1" applyFill="1" applyAlignment="1">
      <alignment horizontal="right" vertical="top"/>
    </xf>
    <xf numFmtId="10" fontId="5" fillId="0" borderId="10" xfId="0" applyNumberFormat="1" applyFont="1" applyBorder="1"/>
    <xf numFmtId="0" fontId="43" fillId="0" borderId="0" xfId="0" applyFont="1"/>
    <xf numFmtId="10" fontId="16" fillId="2" borderId="12" xfId="0" applyNumberFormat="1" applyFont="1" applyFill="1" applyBorder="1"/>
    <xf numFmtId="10" fontId="16" fillId="0" borderId="0" xfId="0" applyNumberFormat="1" applyFont="1"/>
    <xf numFmtId="10" fontId="9" fillId="0" borderId="10" xfId="0" applyNumberFormat="1" applyFont="1" applyBorder="1"/>
    <xf numFmtId="10" fontId="8" fillId="0" borderId="0" xfId="0" applyNumberFormat="1" applyFont="1"/>
    <xf numFmtId="0" fontId="8" fillId="0" borderId="10" xfId="0" applyFont="1" applyBorder="1"/>
    <xf numFmtId="0" fontId="16" fillId="0" borderId="10" xfId="0" applyFont="1" applyBorder="1"/>
    <xf numFmtId="10" fontId="16" fillId="0" borderId="10" xfId="0" applyNumberFormat="1" applyFont="1" applyBorder="1"/>
    <xf numFmtId="10" fontId="5" fillId="0" borderId="0" xfId="0" applyNumberFormat="1" applyFont="1"/>
    <xf numFmtId="10" fontId="14" fillId="0" borderId="0" xfId="0" applyNumberFormat="1" applyFont="1"/>
    <xf numFmtId="2" fontId="8" fillId="0" borderId="0" xfId="0" applyNumberFormat="1" applyFont="1"/>
    <xf numFmtId="170" fontId="8" fillId="0" borderId="0" xfId="0" applyNumberFormat="1" applyFont="1"/>
    <xf numFmtId="167" fontId="8" fillId="0" borderId="0" xfId="0" applyNumberFormat="1" applyFont="1"/>
    <xf numFmtId="0" fontId="15" fillId="6" borderId="0" xfId="0" applyFont="1" applyFill="1" applyAlignment="1">
      <alignment vertical="center"/>
    </xf>
    <xf numFmtId="0" fontId="32" fillId="6" borderId="0" xfId="0" applyFont="1" applyFill="1" applyAlignment="1">
      <alignment vertical="center"/>
    </xf>
    <xf numFmtId="0" fontId="44" fillId="0" borderId="3" xfId="0" applyFont="1" applyBorder="1"/>
    <xf numFmtId="0" fontId="7" fillId="2" borderId="0" xfId="0" applyFont="1" applyFill="1" applyAlignment="1">
      <alignment vertical="center"/>
    </xf>
    <xf numFmtId="0" fontId="16" fillId="2" borderId="12" xfId="0" applyFont="1" applyFill="1" applyBorder="1" applyAlignment="1">
      <alignment horizontal="left" vertical="center"/>
    </xf>
    <xf numFmtId="0" fontId="16" fillId="2" borderId="12" xfId="0" applyFont="1" applyFill="1" applyBorder="1" applyAlignment="1">
      <alignment horizontal="center" vertical="center"/>
    </xf>
    <xf numFmtId="165" fontId="16" fillId="2" borderId="12" xfId="0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165" fontId="7" fillId="2" borderId="0" xfId="0" applyNumberFormat="1" applyFont="1" applyFill="1" applyAlignment="1">
      <alignment horizontal="right" vertical="center"/>
    </xf>
    <xf numFmtId="0" fontId="16" fillId="2" borderId="10" xfId="0" applyFont="1" applyFill="1" applyBorder="1" applyAlignment="1">
      <alignment horizontal="left" vertical="center"/>
    </xf>
    <xf numFmtId="0" fontId="16" fillId="2" borderId="10" xfId="0" applyFont="1" applyFill="1" applyBorder="1" applyAlignment="1">
      <alignment horizontal="center" vertical="center"/>
    </xf>
    <xf numFmtId="165" fontId="16" fillId="2" borderId="10" xfId="0" applyNumberFormat="1" applyFont="1" applyFill="1" applyBorder="1" applyAlignment="1">
      <alignment horizontal="right" vertical="center"/>
    </xf>
    <xf numFmtId="0" fontId="45" fillId="2" borderId="0" xfId="0" applyFont="1" applyFill="1" applyAlignment="1">
      <alignment horizontal="left" vertical="center"/>
    </xf>
    <xf numFmtId="0" fontId="45" fillId="2" borderId="0" xfId="0" applyFont="1" applyFill="1" applyAlignment="1">
      <alignment horizontal="left"/>
    </xf>
    <xf numFmtId="165" fontId="7" fillId="0" borderId="0" xfId="0" applyNumberFormat="1" applyFont="1" applyAlignment="1">
      <alignment horizontal="right" vertical="center"/>
    </xf>
    <xf numFmtId="164" fontId="22" fillId="2" borderId="0" xfId="0" applyNumberFormat="1" applyFont="1" applyFill="1" applyAlignment="1">
      <alignment horizontal="right"/>
    </xf>
    <xf numFmtId="167" fontId="9" fillId="0" borderId="10" xfId="0" applyNumberFormat="1" applyFont="1" applyBorder="1" applyAlignment="1">
      <alignment horizontal="right"/>
    </xf>
    <xf numFmtId="0" fontId="23" fillId="2" borderId="0" xfId="0" applyFont="1" applyFill="1" applyAlignment="1">
      <alignment horizontal="center" vertical="top"/>
    </xf>
    <xf numFmtId="0" fontId="26" fillId="2" borderId="0" xfId="0" applyFont="1" applyFill="1" applyAlignment="1">
      <alignment horizontal="center" vertical="top"/>
    </xf>
    <xf numFmtId="165" fontId="7" fillId="2" borderId="0" xfId="0" applyNumberFormat="1" applyFont="1" applyFill="1" applyAlignment="1">
      <alignment horizontal="right"/>
    </xf>
    <xf numFmtId="10" fontId="12" fillId="2" borderId="0" xfId="0" applyNumberFormat="1" applyFont="1" applyFill="1" applyAlignment="1">
      <alignment horizontal="right" vertical="top"/>
    </xf>
    <xf numFmtId="10" fontId="7" fillId="2" borderId="0" xfId="0" applyNumberFormat="1" applyFont="1" applyFill="1" applyAlignment="1">
      <alignment horizontal="right"/>
    </xf>
    <xf numFmtId="10" fontId="12" fillId="2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center" vertical="top"/>
    </xf>
    <xf numFmtId="164" fontId="22" fillId="2" borderId="0" xfId="0" applyNumberFormat="1" applyFont="1" applyFill="1"/>
    <xf numFmtId="0" fontId="12" fillId="0" borderId="0" xfId="0" applyFont="1" applyAlignment="1">
      <alignment horizontal="left" vertical="top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16" fillId="0" borderId="1" xfId="0" applyFont="1" applyBorder="1" applyAlignment="1">
      <alignment horizontal="right" vertical="top"/>
    </xf>
    <xf numFmtId="0" fontId="16" fillId="0" borderId="10" xfId="0" applyFont="1" applyBorder="1" applyAlignment="1">
      <alignment horizontal="left" vertical="top"/>
    </xf>
    <xf numFmtId="0" fontId="8" fillId="0" borderId="10" xfId="0" applyFont="1" applyBorder="1" applyAlignment="1">
      <alignment horizontal="right"/>
    </xf>
    <xf numFmtId="165" fontId="16" fillId="0" borderId="10" xfId="0" applyNumberFormat="1" applyFont="1" applyBorder="1" applyAlignment="1">
      <alignment horizontal="right" vertical="top"/>
    </xf>
    <xf numFmtId="10" fontId="7" fillId="0" borderId="0" xfId="0" applyNumberFormat="1" applyFont="1" applyAlignment="1">
      <alignment horizontal="right" vertical="top"/>
    </xf>
    <xf numFmtId="0" fontId="9" fillId="0" borderId="10" xfId="0" applyFont="1" applyBorder="1" applyAlignment="1">
      <alignment horizontal="right"/>
    </xf>
    <xf numFmtId="165" fontId="7" fillId="0" borderId="0" xfId="0" applyNumberFormat="1" applyFont="1" applyAlignment="1">
      <alignment horizontal="right"/>
    </xf>
    <xf numFmtId="167" fontId="16" fillId="0" borderId="10" xfId="0" applyNumberFormat="1" applyFont="1" applyBorder="1" applyAlignment="1">
      <alignment horizontal="right" vertical="top"/>
    </xf>
    <xf numFmtId="0" fontId="8" fillId="4" borderId="0" xfId="0" applyFont="1" applyFill="1" applyAlignment="1">
      <alignment horizontal="right"/>
    </xf>
    <xf numFmtId="10" fontId="16" fillId="0" borderId="0" xfId="0" applyNumberFormat="1" applyFont="1" applyAlignment="1">
      <alignment horizontal="center" vertical="top"/>
    </xf>
    <xf numFmtId="10" fontId="7" fillId="0" borderId="20" xfId="0" applyNumberFormat="1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9" fontId="7" fillId="0" borderId="0" xfId="0" applyNumberFormat="1" applyFont="1" applyAlignment="1">
      <alignment horizontal="right" vertical="top"/>
    </xf>
    <xf numFmtId="0" fontId="16" fillId="0" borderId="10" xfId="0" applyFont="1" applyBorder="1" applyAlignment="1">
      <alignment horizontal="right" vertical="top"/>
    </xf>
    <xf numFmtId="10" fontId="16" fillId="0" borderId="20" xfId="0" applyNumberFormat="1" applyFont="1" applyBorder="1" applyAlignment="1">
      <alignment horizontal="right" vertical="top"/>
    </xf>
    <xf numFmtId="167" fontId="7" fillId="0" borderId="0" xfId="0" applyNumberFormat="1" applyFont="1" applyAlignment="1">
      <alignment horizontal="right" vertical="top"/>
    </xf>
    <xf numFmtId="0" fontId="16" fillId="0" borderId="12" xfId="0" applyFont="1" applyBorder="1" applyAlignment="1">
      <alignment horizontal="left" vertical="top"/>
    </xf>
    <xf numFmtId="0" fontId="16" fillId="0" borderId="12" xfId="0" applyFont="1" applyBorder="1" applyAlignment="1">
      <alignment horizontal="right" vertical="top"/>
    </xf>
    <xf numFmtId="165" fontId="16" fillId="0" borderId="12" xfId="0" applyNumberFormat="1" applyFont="1" applyBorder="1" applyAlignment="1">
      <alignment horizontal="right" vertical="top"/>
    </xf>
    <xf numFmtId="165" fontId="7" fillId="0" borderId="0" xfId="0" applyNumberFormat="1" applyFont="1"/>
    <xf numFmtId="0" fontId="15" fillId="0" borderId="22" xfId="0" applyFont="1" applyBorder="1"/>
    <xf numFmtId="0" fontId="15" fillId="0" borderId="8" xfId="0" applyFont="1" applyBorder="1"/>
    <xf numFmtId="0" fontId="8" fillId="0" borderId="0" xfId="0" applyFont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165" fontId="7" fillId="2" borderId="1" xfId="0" applyNumberFormat="1" applyFont="1" applyFill="1" applyBorder="1" applyAlignment="1">
      <alignment horizontal="right" vertical="center"/>
    </xf>
    <xf numFmtId="0" fontId="45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right"/>
    </xf>
    <xf numFmtId="0" fontId="48" fillId="0" borderId="0" xfId="0" applyFont="1" applyAlignment="1">
      <alignment horizontal="left"/>
    </xf>
    <xf numFmtId="0" fontId="28" fillId="0" borderId="1" xfId="0" applyFont="1" applyBorder="1"/>
    <xf numFmtId="0" fontId="29" fillId="0" borderId="1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5" fillId="2" borderId="0" xfId="0" applyFont="1" applyFill="1"/>
    <xf numFmtId="0" fontId="31" fillId="2" borderId="0" xfId="0" applyFont="1" applyFill="1"/>
    <xf numFmtId="0" fontId="7" fillId="2" borderId="9" xfId="0" applyFont="1" applyFill="1" applyBorder="1"/>
    <xf numFmtId="165" fontId="8" fillId="2" borderId="0" xfId="0" applyNumberFormat="1" applyFont="1" applyFill="1"/>
    <xf numFmtId="0" fontId="9" fillId="2" borderId="10" xfId="0" applyFont="1" applyFill="1" applyBorder="1"/>
    <xf numFmtId="165" fontId="9" fillId="2" borderId="10" xfId="0" applyNumberFormat="1" applyFont="1" applyFill="1" applyBorder="1"/>
    <xf numFmtId="0" fontId="9" fillId="2" borderId="0" xfId="0" applyFont="1" applyFill="1"/>
    <xf numFmtId="0" fontId="11" fillId="2" borderId="0" xfId="0" applyFont="1" applyFill="1"/>
    <xf numFmtId="165" fontId="11" fillId="2" borderId="0" xfId="0" applyNumberFormat="1" applyFont="1" applyFill="1"/>
    <xf numFmtId="165" fontId="9" fillId="2" borderId="11" xfId="0" applyNumberFormat="1" applyFont="1" applyFill="1" applyBorder="1"/>
    <xf numFmtId="3" fontId="9" fillId="2" borderId="10" xfId="0" applyNumberFormat="1" applyFont="1" applyFill="1" applyBorder="1"/>
    <xf numFmtId="0" fontId="17" fillId="2" borderId="0" xfId="0" applyFont="1" applyFill="1"/>
    <xf numFmtId="165" fontId="16" fillId="2" borderId="12" xfId="0" applyNumberFormat="1" applyFont="1" applyFill="1" applyBorder="1"/>
    <xf numFmtId="0" fontId="12" fillId="4" borderId="0" xfId="0" applyFont="1" applyFill="1"/>
    <xf numFmtId="0" fontId="18" fillId="2" borderId="0" xfId="0" applyFont="1" applyFill="1"/>
    <xf numFmtId="165" fontId="19" fillId="2" borderId="0" xfId="0" applyNumberFormat="1" applyFont="1" applyFill="1"/>
    <xf numFmtId="0" fontId="16" fillId="2" borderId="10" xfId="0" applyFont="1" applyFill="1" applyBorder="1"/>
    <xf numFmtId="165" fontId="16" fillId="2" borderId="10" xfId="0" applyNumberFormat="1" applyFont="1" applyFill="1" applyBorder="1"/>
    <xf numFmtId="0" fontId="12" fillId="2" borderId="3" xfId="0" applyFont="1" applyFill="1" applyBorder="1"/>
    <xf numFmtId="165" fontId="14" fillId="2" borderId="4" xfId="0" applyNumberFormat="1" applyFont="1" applyFill="1" applyBorder="1"/>
    <xf numFmtId="165" fontId="14" fillId="2" borderId="5" xfId="0" applyNumberFormat="1" applyFont="1" applyFill="1" applyBorder="1"/>
    <xf numFmtId="0" fontId="12" fillId="2" borderId="6" xfId="0" applyFont="1" applyFill="1" applyBorder="1"/>
    <xf numFmtId="165" fontId="14" fillId="2" borderId="7" xfId="0" applyNumberFormat="1" applyFont="1" applyFill="1" applyBorder="1"/>
    <xf numFmtId="165" fontId="14" fillId="2" borderId="8" xfId="0" applyNumberFormat="1" applyFont="1" applyFill="1" applyBorder="1"/>
    <xf numFmtId="165" fontId="6" fillId="0" borderId="0" xfId="0" applyNumberFormat="1" applyFont="1"/>
    <xf numFmtId="165" fontId="16" fillId="2" borderId="1" xfId="0" applyNumberFormat="1" applyFont="1" applyFill="1" applyBorder="1" applyAlignment="1">
      <alignment horizontal="right"/>
    </xf>
    <xf numFmtId="165" fontId="13" fillId="2" borderId="1" xfId="0" applyNumberFormat="1" applyFont="1" applyFill="1" applyBorder="1" applyAlignment="1">
      <alignment horizontal="right"/>
    </xf>
    <xf numFmtId="0" fontId="8" fillId="0" borderId="4" xfId="0" applyFont="1" applyBorder="1"/>
    <xf numFmtId="0" fontId="8" fillId="0" borderId="7" xfId="0" applyFont="1" applyBorder="1"/>
    <xf numFmtId="0" fontId="7" fillId="2" borderId="0" xfId="0" applyFont="1" applyFill="1"/>
    <xf numFmtId="0" fontId="51" fillId="0" borderId="0" xfId="0" applyFont="1"/>
    <xf numFmtId="0" fontId="8" fillId="0" borderId="4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52" fillId="0" borderId="0" xfId="0" applyFont="1"/>
    <xf numFmtId="0" fontId="53" fillId="0" borderId="0" xfId="0" applyFont="1"/>
    <xf numFmtId="0" fontId="54" fillId="0" borderId="0" xfId="0" applyFont="1" applyAlignment="1">
      <alignment horizontal="right"/>
    </xf>
    <xf numFmtId="0" fontId="54" fillId="0" borderId="0" xfId="0" applyFont="1" applyAlignment="1">
      <alignment horizontal="center"/>
    </xf>
    <xf numFmtId="0" fontId="54" fillId="0" borderId="0" xfId="0" applyFont="1"/>
    <xf numFmtId="0" fontId="55" fillId="5" borderId="0" xfId="0" applyFont="1" applyFill="1" applyAlignment="1">
      <alignment horizontal="right"/>
    </xf>
    <xf numFmtId="0" fontId="56" fillId="0" borderId="0" xfId="0" applyFont="1"/>
    <xf numFmtId="166" fontId="55" fillId="5" borderId="0" xfId="0" applyNumberFormat="1" applyFont="1" applyFill="1" applyAlignment="1">
      <alignment horizontal="right"/>
    </xf>
    <xf numFmtId="0" fontId="52" fillId="2" borderId="0" xfId="0" applyFont="1" applyFill="1"/>
    <xf numFmtId="0" fontId="55" fillId="0" borderId="1" xfId="0" applyFont="1" applyBorder="1"/>
    <xf numFmtId="0" fontId="55" fillId="0" borderId="1" xfId="0" applyFont="1" applyBorder="1" applyAlignment="1">
      <alignment horizontal="right"/>
    </xf>
    <xf numFmtId="0" fontId="57" fillId="4" borderId="0" xfId="0" applyFont="1" applyFill="1" applyAlignment="1">
      <alignment horizontal="right"/>
    </xf>
    <xf numFmtId="0" fontId="52" fillId="2" borderId="10" xfId="0" applyFont="1" applyFill="1" applyBorder="1" applyAlignment="1">
      <alignment horizontal="right" vertical="top"/>
    </xf>
    <xf numFmtId="10" fontId="54" fillId="0" borderId="0" xfId="0" applyNumberFormat="1" applyFont="1" applyAlignment="1">
      <alignment horizontal="right"/>
    </xf>
    <xf numFmtId="0" fontId="58" fillId="0" borderId="0" xfId="0" applyFont="1"/>
    <xf numFmtId="164" fontId="58" fillId="2" borderId="0" xfId="0" applyNumberFormat="1" applyFont="1" applyFill="1" applyAlignment="1">
      <alignment horizontal="right"/>
    </xf>
    <xf numFmtId="166" fontId="58" fillId="0" borderId="0" xfId="0" applyNumberFormat="1" applyFont="1" applyAlignment="1">
      <alignment horizontal="right"/>
    </xf>
    <xf numFmtId="172" fontId="52" fillId="0" borderId="0" xfId="0" applyNumberFormat="1" applyFont="1"/>
    <xf numFmtId="0" fontId="59" fillId="2" borderId="0" xfId="0" applyFont="1" applyFill="1" applyAlignment="1">
      <alignment horizontal="left" vertical="top"/>
    </xf>
    <xf numFmtId="0" fontId="60" fillId="0" borderId="3" xfId="0" applyFont="1" applyBorder="1"/>
    <xf numFmtId="0" fontId="54" fillId="0" borderId="4" xfId="0" applyFont="1" applyBorder="1"/>
    <xf numFmtId="0" fontId="54" fillId="0" borderId="5" xfId="0" applyFont="1" applyBorder="1"/>
    <xf numFmtId="0" fontId="61" fillId="2" borderId="0" xfId="0" applyFont="1" applyFill="1" applyAlignment="1">
      <alignment horizontal="left" vertical="top"/>
    </xf>
    <xf numFmtId="0" fontId="52" fillId="2" borderId="0" xfId="0" applyFont="1" applyFill="1" applyAlignment="1">
      <alignment horizontal="left" vertical="top"/>
    </xf>
    <xf numFmtId="0" fontId="54" fillId="0" borderId="21" xfId="0" applyFont="1" applyBorder="1"/>
    <xf numFmtId="0" fontId="54" fillId="0" borderId="22" xfId="0" applyFont="1" applyBorder="1"/>
    <xf numFmtId="0" fontId="55" fillId="0" borderId="0" xfId="0" applyFont="1" applyAlignment="1">
      <alignment horizontal="center"/>
    </xf>
    <xf numFmtId="0" fontId="64" fillId="2" borderId="1" xfId="0" applyFont="1" applyFill="1" applyBorder="1" applyAlignment="1">
      <alignment horizontal="left" vertical="top"/>
    </xf>
    <xf numFmtId="0" fontId="64" fillId="2" borderId="1" xfId="0" applyFont="1" applyFill="1" applyBorder="1" applyAlignment="1">
      <alignment horizontal="right" vertical="top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22" xfId="0" applyFont="1" applyBorder="1" applyAlignment="1">
      <alignment horizontal="right"/>
    </xf>
    <xf numFmtId="0" fontId="57" fillId="0" borderId="0" xfId="0" applyFont="1" applyAlignment="1">
      <alignment horizontal="left" vertical="top"/>
    </xf>
    <xf numFmtId="0" fontId="57" fillId="0" borderId="0" xfId="0" applyFont="1"/>
    <xf numFmtId="3" fontId="57" fillId="0" borderId="0" xfId="0" applyNumberFormat="1" applyFont="1" applyAlignment="1">
      <alignment horizontal="right" vertical="top"/>
    </xf>
    <xf numFmtId="0" fontId="57" fillId="0" borderId="0" xfId="0" applyFont="1" applyAlignment="1">
      <alignment horizontal="right" vertical="top"/>
    </xf>
    <xf numFmtId="0" fontId="54" fillId="0" borderId="22" xfId="0" applyFont="1" applyBorder="1" applyAlignment="1">
      <alignment horizontal="right"/>
    </xf>
    <xf numFmtId="0" fontId="52" fillId="0" borderId="0" xfId="0" applyFont="1" applyAlignment="1">
      <alignment horizontal="left" vertical="top"/>
    </xf>
    <xf numFmtId="165" fontId="52" fillId="0" borderId="0" xfId="0" applyNumberFormat="1" applyFont="1" applyAlignment="1">
      <alignment horizontal="right" vertical="top"/>
    </xf>
    <xf numFmtId="0" fontId="52" fillId="0" borderId="0" xfId="0" applyFont="1" applyAlignment="1">
      <alignment horizontal="right" vertical="top"/>
    </xf>
    <xf numFmtId="0" fontId="52" fillId="2" borderId="21" xfId="0" applyFont="1" applyFill="1" applyBorder="1" applyAlignment="1">
      <alignment horizontal="left" vertical="top"/>
    </xf>
    <xf numFmtId="165" fontId="54" fillId="0" borderId="0" xfId="0" applyNumberFormat="1" applyFont="1" applyAlignment="1">
      <alignment horizontal="right"/>
    </xf>
    <xf numFmtId="165" fontId="54" fillId="0" borderId="22" xfId="0" applyNumberFormat="1" applyFont="1" applyBorder="1" applyAlignment="1">
      <alignment horizontal="right"/>
    </xf>
    <xf numFmtId="0" fontId="52" fillId="2" borderId="0" xfId="0" applyFont="1" applyFill="1" applyAlignment="1">
      <alignment horizontal="right" vertical="top"/>
    </xf>
    <xf numFmtId="0" fontId="64" fillId="2" borderId="21" xfId="0" applyFont="1" applyFill="1" applyBorder="1" applyAlignment="1">
      <alignment horizontal="left" vertical="top"/>
    </xf>
    <xf numFmtId="3" fontId="64" fillId="2" borderId="0" xfId="0" applyNumberFormat="1" applyFont="1" applyFill="1" applyAlignment="1">
      <alignment horizontal="right" vertical="top"/>
    </xf>
    <xf numFmtId="165" fontId="64" fillId="2" borderId="10" xfId="0" applyNumberFormat="1" applyFont="1" applyFill="1" applyBorder="1" applyAlignment="1">
      <alignment horizontal="right" vertical="top"/>
    </xf>
    <xf numFmtId="165" fontId="64" fillId="2" borderId="0" xfId="0" applyNumberFormat="1" applyFont="1" applyFill="1" applyAlignment="1">
      <alignment horizontal="right" vertical="top"/>
    </xf>
    <xf numFmtId="165" fontId="64" fillId="2" borderId="26" xfId="0" applyNumberFormat="1" applyFont="1" applyFill="1" applyBorder="1" applyAlignment="1">
      <alignment horizontal="right" vertical="top"/>
    </xf>
    <xf numFmtId="0" fontId="52" fillId="2" borderId="21" xfId="0" applyFont="1" applyFill="1" applyBorder="1"/>
    <xf numFmtId="167" fontId="55" fillId="0" borderId="10" xfId="0" applyNumberFormat="1" applyFont="1" applyBorder="1" applyAlignment="1">
      <alignment horizontal="right"/>
    </xf>
    <xf numFmtId="167" fontId="55" fillId="0" borderId="0" xfId="0" applyNumberFormat="1" applyFont="1" applyAlignment="1">
      <alignment horizontal="right"/>
    </xf>
    <xf numFmtId="167" fontId="55" fillId="0" borderId="26" xfId="0" applyNumberFormat="1" applyFont="1" applyBorder="1" applyAlignment="1">
      <alignment horizontal="right"/>
    </xf>
    <xf numFmtId="0" fontId="64" fillId="2" borderId="6" xfId="0" applyFont="1" applyFill="1" applyBorder="1"/>
    <xf numFmtId="0" fontId="54" fillId="0" borderId="7" xfId="0" applyFont="1" applyBorder="1"/>
    <xf numFmtId="167" fontId="65" fillId="2" borderId="7" xfId="0" applyNumberFormat="1" applyFont="1" applyFill="1" applyBorder="1" applyAlignment="1">
      <alignment horizontal="right" vertical="top"/>
    </xf>
    <xf numFmtId="167" fontId="65" fillId="2" borderId="8" xfId="0" applyNumberFormat="1" applyFont="1" applyFill="1" applyBorder="1" applyAlignment="1">
      <alignment horizontal="right" vertical="top"/>
    </xf>
    <xf numFmtId="0" fontId="52" fillId="2" borderId="0" xfId="0" applyFont="1" applyFill="1" applyAlignment="1">
      <alignment horizontal="right"/>
    </xf>
    <xf numFmtId="0" fontId="52" fillId="2" borderId="10" xfId="0" applyFont="1" applyFill="1" applyBorder="1" applyAlignment="1">
      <alignment horizontal="left" vertical="top"/>
    </xf>
    <xf numFmtId="0" fontId="54" fillId="0" borderId="10" xfId="0" applyFont="1" applyBorder="1"/>
    <xf numFmtId="3" fontId="52" fillId="2" borderId="0" xfId="0" applyNumberFormat="1" applyFont="1" applyFill="1" applyAlignment="1">
      <alignment horizontal="right" vertical="top"/>
    </xf>
    <xf numFmtId="0" fontId="64" fillId="2" borderId="10" xfId="0" applyFont="1" applyFill="1" applyBorder="1" applyAlignment="1">
      <alignment horizontal="left" vertical="top"/>
    </xf>
    <xf numFmtId="0" fontId="55" fillId="0" borderId="10" xfId="0" applyFont="1" applyBorder="1"/>
    <xf numFmtId="0" fontId="64" fillId="2" borderId="10" xfId="0" applyFont="1" applyFill="1" applyBorder="1" applyAlignment="1">
      <alignment horizontal="right" vertical="top"/>
    </xf>
    <xf numFmtId="3" fontId="64" fillId="2" borderId="10" xfId="0" applyNumberFormat="1" applyFont="1" applyFill="1" applyBorder="1" applyAlignment="1">
      <alignment horizontal="right" vertical="top"/>
    </xf>
    <xf numFmtId="167" fontId="64" fillId="2" borderId="10" xfId="0" applyNumberFormat="1" applyFont="1" applyFill="1" applyBorder="1" applyAlignment="1">
      <alignment horizontal="right" vertical="top"/>
    </xf>
    <xf numFmtId="0" fontId="64" fillId="2" borderId="0" xfId="0" applyFont="1" applyFill="1"/>
    <xf numFmtId="167" fontId="65" fillId="2" borderId="0" xfId="0" applyNumberFormat="1" applyFont="1" applyFill="1" applyAlignment="1">
      <alignment horizontal="right" vertical="top"/>
    </xf>
    <xf numFmtId="0" fontId="55" fillId="4" borderId="0" xfId="0" applyFont="1" applyFill="1"/>
    <xf numFmtId="0" fontId="54" fillId="4" borderId="0" xfId="0" applyFont="1" applyFill="1"/>
    <xf numFmtId="0" fontId="65" fillId="0" borderId="0" xfId="0" applyFont="1"/>
    <xf numFmtId="0" fontId="66" fillId="0" borderId="0" xfId="0" applyFont="1"/>
    <xf numFmtId="0" fontId="67" fillId="0" borderId="0" xfId="0" applyFont="1"/>
    <xf numFmtId="166" fontId="54" fillId="0" borderId="0" xfId="0" applyNumberFormat="1" applyFont="1" applyAlignment="1">
      <alignment horizontal="right"/>
    </xf>
    <xf numFmtId="0" fontId="64" fillId="2" borderId="0" xfId="0" applyFont="1" applyFill="1" applyAlignment="1">
      <alignment horizontal="right" vertical="top"/>
    </xf>
    <xf numFmtId="3" fontId="52" fillId="0" borderId="0" xfId="0" applyNumberFormat="1" applyFont="1" applyAlignment="1">
      <alignment horizontal="right" vertical="top"/>
    </xf>
    <xf numFmtId="3" fontId="54" fillId="0" borderId="0" xfId="0" applyNumberFormat="1" applyFont="1"/>
    <xf numFmtId="3" fontId="54" fillId="0" borderId="22" xfId="0" applyNumberFormat="1" applyFont="1" applyBorder="1"/>
    <xf numFmtId="165" fontId="55" fillId="0" borderId="10" xfId="0" applyNumberFormat="1" applyFont="1" applyBorder="1" applyAlignment="1">
      <alignment horizontal="right"/>
    </xf>
    <xf numFmtId="165" fontId="55" fillId="0" borderId="0" xfId="0" applyNumberFormat="1" applyFont="1" applyAlignment="1">
      <alignment horizontal="right"/>
    </xf>
    <xf numFmtId="165" fontId="55" fillId="0" borderId="26" xfId="0" applyNumberFormat="1" applyFont="1" applyBorder="1" applyAlignment="1">
      <alignment horizontal="right"/>
    </xf>
    <xf numFmtId="165" fontId="52" fillId="2" borderId="0" xfId="0" applyNumberFormat="1" applyFont="1" applyFill="1" applyAlignment="1">
      <alignment horizontal="right" vertical="top"/>
    </xf>
    <xf numFmtId="0" fontId="68" fillId="0" borderId="0" xfId="0" applyFont="1"/>
    <xf numFmtId="0" fontId="9" fillId="0" borderId="11" xfId="0" applyFont="1" applyBorder="1"/>
    <xf numFmtId="165" fontId="9" fillId="0" borderId="11" xfId="0" applyNumberFormat="1" applyFont="1" applyBorder="1"/>
    <xf numFmtId="0" fontId="5" fillId="2" borderId="0" xfId="0" applyFont="1" applyFill="1" applyAlignment="1">
      <alignment horizontal="center" vertical="top"/>
    </xf>
    <xf numFmtId="0" fontId="45" fillId="2" borderId="0" xfId="0" applyFont="1" applyFill="1" applyAlignment="1">
      <alignment horizontal="left" vertical="top"/>
    </xf>
    <xf numFmtId="9" fontId="7" fillId="0" borderId="0" xfId="0" applyNumberFormat="1" applyFont="1"/>
    <xf numFmtId="165" fontId="29" fillId="2" borderId="0" xfId="0" applyNumberFormat="1" applyFont="1" applyFill="1" applyAlignment="1">
      <alignment horizontal="left"/>
    </xf>
    <xf numFmtId="173" fontId="71" fillId="0" borderId="0" xfId="0" applyNumberFormat="1" applyFont="1" applyAlignment="1">
      <alignment horizontal="right"/>
    </xf>
    <xf numFmtId="0" fontId="70" fillId="0" borderId="0" xfId="2" applyFont="1"/>
    <xf numFmtId="0" fontId="72" fillId="0" borderId="0" xfId="0" applyFont="1"/>
    <xf numFmtId="0" fontId="70" fillId="0" borderId="0" xfId="0" applyFont="1"/>
    <xf numFmtId="176" fontId="77" fillId="0" borderId="0" xfId="1" applyNumberFormat="1" applyFont="1" applyBorder="1" applyAlignment="1">
      <alignment horizontal="right"/>
    </xf>
    <xf numFmtId="175" fontId="73" fillId="0" borderId="0" xfId="0" applyNumberFormat="1" applyFont="1" applyAlignment="1">
      <alignment horizontal="right"/>
    </xf>
    <xf numFmtId="174" fontId="72" fillId="0" borderId="0" xfId="2" applyNumberFormat="1" applyFont="1" applyAlignment="1">
      <alignment horizontal="right" vertical="center"/>
    </xf>
    <xf numFmtId="175" fontId="70" fillId="0" borderId="0" xfId="0" applyNumberFormat="1" applyFont="1" applyAlignment="1">
      <alignment horizontal="right"/>
    </xf>
    <xf numFmtId="0" fontId="80" fillId="0" borderId="35" xfId="7" applyFont="1" applyBorder="1" applyAlignment="1">
      <alignment horizontal="left" vertical="center"/>
    </xf>
    <xf numFmtId="17" fontId="7" fillId="0" borderId="35" xfId="0" applyNumberFormat="1" applyFont="1" applyBorder="1" applyAlignment="1">
      <alignment horizontal="left"/>
    </xf>
    <xf numFmtId="0" fontId="7" fillId="0" borderId="35" xfId="0" quotePrefix="1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left"/>
    </xf>
    <xf numFmtId="165" fontId="8" fillId="0" borderId="37" xfId="0" applyNumberFormat="1" applyFont="1" applyBorder="1" applyAlignment="1">
      <alignment horizontal="right"/>
    </xf>
    <xf numFmtId="0" fontId="8" fillId="0" borderId="40" xfId="0" applyFont="1" applyBorder="1" applyAlignment="1">
      <alignment horizontal="left"/>
    </xf>
    <xf numFmtId="165" fontId="8" fillId="0" borderId="41" xfId="0" applyNumberFormat="1" applyFont="1" applyBorder="1" applyAlignment="1">
      <alignment horizontal="right"/>
    </xf>
    <xf numFmtId="0" fontId="79" fillId="0" borderId="38" xfId="0" applyFont="1" applyBorder="1" applyAlignment="1">
      <alignment horizontal="left"/>
    </xf>
    <xf numFmtId="0" fontId="79" fillId="0" borderId="39" xfId="0" applyFont="1" applyBorder="1" applyAlignment="1">
      <alignment horizontal="right"/>
    </xf>
    <xf numFmtId="0" fontId="49" fillId="2" borderId="0" xfId="0" applyFont="1" applyFill="1" applyAlignment="1">
      <alignment horizontal="center" vertical="top"/>
    </xf>
    <xf numFmtId="0" fontId="50" fillId="0" borderId="0" xfId="0" applyFont="1"/>
    <xf numFmtId="0" fontId="7" fillId="2" borderId="0" xfId="0" applyFont="1" applyFill="1"/>
    <xf numFmtId="0" fontId="7" fillId="0" borderId="0" xfId="0" applyFont="1"/>
    <xf numFmtId="0" fontId="5" fillId="2" borderId="0" xfId="0" applyFont="1" applyFill="1" applyAlignment="1">
      <alignment horizontal="center" vertical="top"/>
    </xf>
    <xf numFmtId="0" fontId="45" fillId="2" borderId="0" xfId="0" applyFont="1" applyFill="1" applyAlignment="1">
      <alignment horizontal="left" vertical="top"/>
    </xf>
    <xf numFmtId="0" fontId="46" fillId="0" borderId="0" xfId="0" applyFont="1"/>
    <xf numFmtId="0" fontId="7" fillId="2" borderId="2" xfId="0" applyFont="1" applyFill="1" applyBorder="1"/>
    <xf numFmtId="0" fontId="10" fillId="0" borderId="2" xfId="0" applyFont="1" applyBorder="1"/>
    <xf numFmtId="0" fontId="6" fillId="4" borderId="21" xfId="0" applyFont="1" applyFill="1" applyBorder="1" applyAlignment="1">
      <alignment horizontal="center" vertical="center"/>
    </xf>
    <xf numFmtId="0" fontId="10" fillId="0" borderId="21" xfId="0" applyFont="1" applyBorder="1"/>
    <xf numFmtId="0" fontId="62" fillId="4" borderId="0" xfId="0" applyFont="1" applyFill="1" applyAlignment="1">
      <alignment horizontal="center"/>
    </xf>
    <xf numFmtId="0" fontId="52" fillId="0" borderId="0" xfId="0" applyFont="1"/>
    <xf numFmtId="0" fontId="63" fillId="0" borderId="22" xfId="0" applyFont="1" applyBorder="1"/>
    <xf numFmtId="0" fontId="10" fillId="0" borderId="22" xfId="0" applyFont="1" applyBorder="1"/>
    <xf numFmtId="0" fontId="79" fillId="13" borderId="35" xfId="0" applyFont="1" applyFill="1" applyBorder="1" applyAlignment="1">
      <alignment horizontal="center" vertical="center"/>
    </xf>
    <xf numFmtId="0" fontId="85" fillId="9" borderId="0" xfId="0" applyFont="1" applyFill="1"/>
    <xf numFmtId="0" fontId="87" fillId="9" borderId="0" xfId="2" applyFont="1" applyFill="1" applyAlignment="1">
      <alignment horizontal="right" vertical="center"/>
    </xf>
    <xf numFmtId="0" fontId="88" fillId="9" borderId="34" xfId="2" applyFont="1" applyFill="1" applyBorder="1"/>
    <xf numFmtId="0" fontId="86" fillId="9" borderId="34" xfId="2" applyFont="1" applyFill="1" applyBorder="1"/>
    <xf numFmtId="0" fontId="89" fillId="9" borderId="34" xfId="2" applyNumberFormat="1" applyFont="1" applyFill="1" applyBorder="1" applyAlignment="1">
      <alignment horizontal="right" vertical="center"/>
    </xf>
    <xf numFmtId="0" fontId="86" fillId="9" borderId="0" xfId="2" applyFont="1" applyFill="1"/>
    <xf numFmtId="165" fontId="85" fillId="9" borderId="0" xfId="0" applyNumberFormat="1" applyFont="1" applyFill="1"/>
    <xf numFmtId="165" fontId="85" fillId="9" borderId="29" xfId="3" applyNumberFormat="1" applyFont="1" applyFill="1" applyBorder="1" applyAlignment="1">
      <alignment horizontal="right"/>
    </xf>
    <xf numFmtId="0" fontId="86" fillId="9" borderId="0" xfId="2" applyFont="1" applyFill="1" applyAlignment="1">
      <alignment horizontal="left" indent="1"/>
    </xf>
    <xf numFmtId="165" fontId="90" fillId="9" borderId="0" xfId="3" applyNumberFormat="1" applyFont="1" applyFill="1" applyAlignment="1">
      <alignment horizontal="right"/>
    </xf>
    <xf numFmtId="165" fontId="90" fillId="9" borderId="0" xfId="3" applyNumberFormat="1" applyFont="1" applyFill="1" applyBorder="1" applyAlignment="1">
      <alignment horizontal="right"/>
    </xf>
    <xf numFmtId="165" fontId="86" fillId="9" borderId="0" xfId="3" applyNumberFormat="1" applyFont="1" applyFill="1" applyAlignment="1">
      <alignment horizontal="right"/>
    </xf>
    <xf numFmtId="165" fontId="86" fillId="9" borderId="0" xfId="2" applyNumberFormat="1" applyFont="1" applyFill="1"/>
    <xf numFmtId="165" fontId="85" fillId="9" borderId="0" xfId="3" applyNumberFormat="1" applyFont="1" applyFill="1" applyAlignment="1">
      <alignment horizontal="right"/>
    </xf>
    <xf numFmtId="165" fontId="85" fillId="9" borderId="0" xfId="3" applyNumberFormat="1" applyFont="1" applyFill="1" applyBorder="1" applyAlignment="1">
      <alignment horizontal="right"/>
    </xf>
    <xf numFmtId="9" fontId="85" fillId="9" borderId="0" xfId="1" applyFont="1" applyFill="1" applyAlignment="1">
      <alignment horizontal="right"/>
    </xf>
    <xf numFmtId="9" fontId="85" fillId="9" borderId="0" xfId="1" applyFont="1" applyFill="1" applyBorder="1" applyAlignment="1">
      <alignment horizontal="right"/>
    </xf>
    <xf numFmtId="0" fontId="88" fillId="9" borderId="0" xfId="2" applyFont="1" applyFill="1"/>
    <xf numFmtId="165" fontId="86" fillId="9" borderId="0" xfId="3" applyNumberFormat="1" applyFont="1" applyFill="1" applyBorder="1" applyAlignment="1">
      <alignment horizontal="right"/>
    </xf>
    <xf numFmtId="0" fontId="85" fillId="9" borderId="33" xfId="0" applyFont="1" applyFill="1" applyBorder="1"/>
    <xf numFmtId="0" fontId="85" fillId="9" borderId="27" xfId="2" applyFont="1" applyFill="1" applyBorder="1" applyAlignment="1">
      <alignment horizontal="left" vertical="center"/>
    </xf>
    <xf numFmtId="0" fontId="89" fillId="9" borderId="27" xfId="2" applyFont="1" applyFill="1" applyBorder="1" applyAlignment="1">
      <alignment horizontal="centerContinuous" vertical="center"/>
    </xf>
    <xf numFmtId="0" fontId="88" fillId="9" borderId="0" xfId="2" applyFont="1" applyFill="1" applyAlignment="1">
      <alignment horizontal="left"/>
    </xf>
    <xf numFmtId="165" fontId="89" fillId="9" borderId="0" xfId="2" applyNumberFormat="1" applyFont="1" applyFill="1" applyAlignment="1">
      <alignment horizontal="right"/>
    </xf>
    <xf numFmtId="0" fontId="88" fillId="9" borderId="0" xfId="2" applyFont="1" applyFill="1" applyAlignment="1">
      <alignment horizontal="left" indent="1"/>
    </xf>
    <xf numFmtId="165" fontId="85" fillId="9" borderId="0" xfId="2" applyNumberFormat="1" applyFont="1" applyFill="1" applyAlignment="1">
      <alignment horizontal="right"/>
    </xf>
    <xf numFmtId="0" fontId="86" fillId="9" borderId="0" xfId="2" applyFont="1" applyFill="1" applyAlignment="1">
      <alignment horizontal="left" indent="2"/>
    </xf>
    <xf numFmtId="165" fontId="88" fillId="9" borderId="0" xfId="2" applyNumberFormat="1" applyFont="1" applyFill="1" applyAlignment="1">
      <alignment horizontal="right"/>
    </xf>
    <xf numFmtId="0" fontId="88" fillId="9" borderId="0" xfId="2" applyFont="1" applyFill="1" applyAlignment="1">
      <alignment horizontal="left" indent="2"/>
    </xf>
    <xf numFmtId="165" fontId="89" fillId="9" borderId="31" xfId="2" applyNumberFormat="1" applyFont="1" applyFill="1" applyBorder="1" applyAlignment="1">
      <alignment horizontal="right"/>
    </xf>
    <xf numFmtId="165" fontId="85" fillId="9" borderId="29" xfId="2" applyNumberFormat="1" applyFont="1" applyFill="1" applyBorder="1" applyAlignment="1">
      <alignment horizontal="right"/>
    </xf>
    <xf numFmtId="0" fontId="93" fillId="9" borderId="0" xfId="0" applyFont="1" applyFill="1"/>
    <xf numFmtId="0" fontId="94" fillId="13" borderId="27" xfId="0" applyFont="1" applyFill="1" applyBorder="1" applyAlignment="1"/>
    <xf numFmtId="0" fontId="94" fillId="0" borderId="0" xfId="0" applyFont="1" applyFill="1" applyBorder="1" applyAlignment="1"/>
    <xf numFmtId="37" fontId="95" fillId="10" borderId="34" xfId="0" applyNumberFormat="1" applyFont="1" applyFill="1" applyBorder="1" applyAlignment="1">
      <alignment vertical="center"/>
    </xf>
    <xf numFmtId="37" fontId="95" fillId="10" borderId="34" xfId="0" applyNumberFormat="1" applyFont="1" applyFill="1" applyBorder="1" applyAlignment="1">
      <alignment horizontal="center" vertical="center"/>
    </xf>
    <xf numFmtId="173" fontId="94" fillId="10" borderId="34" xfId="0" applyNumberFormat="1" applyFont="1" applyFill="1" applyBorder="1" applyAlignment="1">
      <alignment horizontal="right"/>
    </xf>
    <xf numFmtId="0" fontId="95" fillId="11" borderId="34" xfId="2" applyFont="1" applyFill="1" applyBorder="1"/>
    <xf numFmtId="0" fontId="95" fillId="0" borderId="0" xfId="0" applyFont="1" applyFill="1" applyBorder="1"/>
    <xf numFmtId="37" fontId="95" fillId="12" borderId="34" xfId="0" applyNumberFormat="1" applyFont="1" applyFill="1" applyBorder="1" applyAlignment="1">
      <alignment vertical="center"/>
    </xf>
    <xf numFmtId="37" fontId="95" fillId="12" borderId="34" xfId="0" applyNumberFormat="1" applyFont="1" applyFill="1" applyBorder="1" applyAlignment="1">
      <alignment horizontal="center" vertical="center"/>
    </xf>
    <xf numFmtId="173" fontId="94" fillId="12" borderId="34" xfId="0" applyNumberFormat="1" applyFont="1" applyFill="1" applyBorder="1" applyAlignment="1">
      <alignment horizontal="right"/>
    </xf>
    <xf numFmtId="37" fontId="96" fillId="9" borderId="0" xfId="0" applyNumberFormat="1" applyFont="1" applyFill="1" applyAlignment="1">
      <alignment vertical="center"/>
    </xf>
    <xf numFmtId="37" fontId="97" fillId="9" borderId="0" xfId="0" applyNumberFormat="1" applyFont="1" applyFill="1" applyAlignment="1">
      <alignment vertical="center"/>
    </xf>
    <xf numFmtId="37" fontId="97" fillId="9" borderId="0" xfId="0" applyNumberFormat="1" applyFont="1" applyFill="1" applyAlignment="1">
      <alignment horizontal="center" vertical="center"/>
    </xf>
    <xf numFmtId="173" fontId="94" fillId="9" borderId="0" xfId="0" applyNumberFormat="1" applyFont="1" applyFill="1" applyAlignment="1">
      <alignment horizontal="right"/>
    </xf>
    <xf numFmtId="0" fontId="97" fillId="9" borderId="0" xfId="2" applyFont="1" applyFill="1"/>
    <xf numFmtId="37" fontId="97" fillId="9" borderId="0" xfId="2" applyNumberFormat="1" applyFont="1" applyFill="1" applyAlignment="1">
      <alignment vertical="center"/>
    </xf>
    <xf numFmtId="0" fontId="94" fillId="11" borderId="27" xfId="2" applyFont="1" applyFill="1" applyBorder="1" applyAlignment="1">
      <alignment vertical="center"/>
    </xf>
    <xf numFmtId="0" fontId="99" fillId="11" borderId="27" xfId="2" applyFont="1" applyFill="1" applyBorder="1" applyAlignment="1">
      <alignment vertical="center"/>
    </xf>
    <xf numFmtId="0" fontId="99" fillId="9" borderId="0" xfId="2" applyFont="1" applyFill="1" applyBorder="1" applyAlignment="1">
      <alignment vertical="center"/>
    </xf>
    <xf numFmtId="0" fontId="97" fillId="14" borderId="0" xfId="2" applyFont="1" applyFill="1"/>
    <xf numFmtId="0" fontId="97" fillId="15" borderId="0" xfId="2" applyFont="1" applyFill="1"/>
    <xf numFmtId="0" fontId="97" fillId="8" borderId="0" xfId="2" applyFont="1" applyFill="1"/>
    <xf numFmtId="0" fontId="97" fillId="14" borderId="0" xfId="2" applyFont="1" applyFill="1" applyAlignment="1">
      <alignment horizontal="centerContinuous"/>
    </xf>
    <xf numFmtId="0" fontId="97" fillId="9" borderId="0" xfId="2" applyFont="1" applyFill="1" applyAlignment="1">
      <alignment horizontal="left" indent="1"/>
    </xf>
    <xf numFmtId="0" fontId="101" fillId="9" borderId="0" xfId="2" applyFont="1" applyFill="1"/>
    <xf numFmtId="0" fontId="97" fillId="14" borderId="0" xfId="2" applyFont="1" applyFill="1" applyAlignment="1">
      <alignment horizontal="center" vertical="center"/>
    </xf>
    <xf numFmtId="0" fontId="97" fillId="15" borderId="0" xfId="2" applyFont="1" applyFill="1" applyAlignment="1">
      <alignment horizontal="centerContinuous"/>
    </xf>
    <xf numFmtId="0" fontId="97" fillId="8" borderId="0" xfId="2" applyFont="1" applyFill="1" applyAlignment="1">
      <alignment horizontal="centerContinuous"/>
    </xf>
    <xf numFmtId="0" fontId="99" fillId="0" borderId="0" xfId="2" applyFont="1" applyBorder="1" applyAlignment="1">
      <alignment horizontal="center" vertical="center"/>
    </xf>
    <xf numFmtId="0" fontId="101" fillId="15" borderId="0" xfId="2" applyFont="1" applyFill="1"/>
    <xf numFmtId="0" fontId="101" fillId="0" borderId="0" xfId="2" applyFont="1" applyFill="1"/>
    <xf numFmtId="0" fontId="98" fillId="9" borderId="0" xfId="2" applyFont="1" applyFill="1" applyAlignment="1">
      <alignment horizontal="left" indent="1"/>
    </xf>
    <xf numFmtId="0" fontId="95" fillId="11" borderId="34" xfId="2" applyFont="1" applyFill="1" applyBorder="1" applyAlignment="1">
      <alignment vertical="center"/>
    </xf>
    <xf numFmtId="0" fontId="99" fillId="11" borderId="34" xfId="2" applyFont="1" applyFill="1" applyBorder="1" applyAlignment="1">
      <alignment vertical="center"/>
    </xf>
    <xf numFmtId="0" fontId="97" fillId="9" borderId="0" xfId="2" applyFont="1" applyFill="1" applyBorder="1"/>
    <xf numFmtId="0" fontId="97" fillId="14" borderId="0" xfId="2" applyFont="1" applyFill="1" applyBorder="1"/>
    <xf numFmtId="0" fontId="97" fillId="15" borderId="0" xfId="2" applyFont="1" applyFill="1" applyBorder="1"/>
    <xf numFmtId="0" fontId="101" fillId="9" borderId="0" xfId="2" applyFont="1" applyFill="1" applyBorder="1"/>
    <xf numFmtId="37" fontId="97" fillId="9" borderId="0" xfId="2" applyNumberFormat="1" applyFont="1" applyFill="1" applyBorder="1" applyAlignment="1">
      <alignment vertical="center"/>
    </xf>
    <xf numFmtId="0" fontId="93" fillId="9" borderId="0" xfId="0" applyFont="1" applyFill="1" applyBorder="1"/>
    <xf numFmtId="175" fontId="102" fillId="9" borderId="0" xfId="3" applyNumberFormat="1" applyFont="1" applyFill="1" applyBorder="1" applyAlignment="1">
      <alignment horizontal="right"/>
    </xf>
    <xf numFmtId="0" fontId="93" fillId="15" borderId="0" xfId="0" applyFont="1" applyFill="1"/>
    <xf numFmtId="175" fontId="93" fillId="9" borderId="0" xfId="3" applyNumberFormat="1" applyFont="1" applyFill="1" applyBorder="1" applyAlignment="1">
      <alignment horizontal="right"/>
    </xf>
    <xf numFmtId="175" fontId="97" fillId="9" borderId="0" xfId="2" applyNumberFormat="1" applyFont="1" applyFill="1" applyAlignment="1">
      <alignment horizontal="right"/>
    </xf>
    <xf numFmtId="0" fontId="93" fillId="9" borderId="27" xfId="0" applyFont="1" applyFill="1" applyBorder="1"/>
    <xf numFmtId="175" fontId="100" fillId="9" borderId="0" xfId="3" applyNumberFormat="1" applyFont="1" applyFill="1" applyBorder="1" applyAlignment="1">
      <alignment horizontal="right"/>
    </xf>
    <xf numFmtId="0" fontId="98" fillId="9" borderId="0" xfId="2" applyFont="1" applyFill="1" applyBorder="1"/>
    <xf numFmtId="0" fontId="98" fillId="9" borderId="0" xfId="2" applyFont="1" applyFill="1" applyBorder="1" applyAlignment="1">
      <alignment horizontal="left"/>
    </xf>
    <xf numFmtId="0" fontId="97" fillId="9" borderId="0" xfId="2" applyFont="1" applyFill="1" applyBorder="1" applyAlignment="1">
      <alignment horizontal="left"/>
    </xf>
    <xf numFmtId="0" fontId="97" fillId="9" borderId="0" xfId="2" applyFont="1" applyFill="1" applyBorder="1" applyAlignment="1">
      <alignment horizontal="left" indent="1"/>
    </xf>
    <xf numFmtId="0" fontId="97" fillId="9" borderId="0" xfId="2" applyFont="1" applyFill="1" applyBorder="1" applyAlignment="1">
      <alignment horizontal="centerContinuous"/>
    </xf>
    <xf numFmtId="0" fontId="97" fillId="9" borderId="0" xfId="2" applyFont="1" applyFill="1" applyAlignment="1">
      <alignment horizontal="left"/>
    </xf>
    <xf numFmtId="0" fontId="93" fillId="9" borderId="0" xfId="2" applyFont="1" applyFill="1" applyBorder="1" applyAlignment="1">
      <alignment horizontal="center" vertical="center"/>
    </xf>
    <xf numFmtId="0" fontId="101" fillId="9" borderId="0" xfId="2" applyFont="1" applyFill="1" applyBorder="1" applyAlignment="1">
      <alignment horizontal="centerContinuous"/>
    </xf>
    <xf numFmtId="0" fontId="97" fillId="8" borderId="0" xfId="2" applyFont="1" applyFill="1" applyBorder="1"/>
    <xf numFmtId="0" fontId="97" fillId="9" borderId="0" xfId="2" applyFont="1" applyFill="1" applyBorder="1" applyAlignment="1">
      <alignment horizontal="center"/>
    </xf>
    <xf numFmtId="0" fontId="97" fillId="8" borderId="0" xfId="2" applyFont="1" applyFill="1" applyBorder="1" applyAlignment="1">
      <alignment horizontal="center"/>
    </xf>
    <xf numFmtId="175" fontId="97" fillId="9" borderId="0" xfId="2" applyNumberFormat="1" applyFont="1" applyFill="1" applyBorder="1" applyAlignment="1">
      <alignment horizontal="right"/>
    </xf>
    <xf numFmtId="175" fontId="93" fillId="8" borderId="0" xfId="2" applyNumberFormat="1" applyFont="1" applyFill="1" applyBorder="1" applyAlignment="1">
      <alignment horizontal="center"/>
    </xf>
    <xf numFmtId="175" fontId="97" fillId="9" borderId="0" xfId="2" applyNumberFormat="1" applyFont="1" applyFill="1" applyBorder="1" applyAlignment="1">
      <alignment horizontal="center"/>
    </xf>
    <xf numFmtId="0" fontId="101" fillId="9" borderId="0" xfId="2" applyFont="1" applyFill="1" applyBorder="1" applyAlignment="1">
      <alignment horizontal="left"/>
    </xf>
    <xf numFmtId="177" fontId="93" fillId="8" borderId="0" xfId="4" applyNumberFormat="1" applyFont="1" applyFill="1" applyBorder="1" applyAlignment="1">
      <alignment horizontal="center"/>
    </xf>
    <xf numFmtId="0" fontId="69" fillId="0" borderId="0" xfId="0" applyFont="1"/>
    <xf numFmtId="37" fontId="78" fillId="10" borderId="34" xfId="0" applyNumberFormat="1" applyFont="1" applyFill="1" applyBorder="1" applyAlignment="1">
      <alignment horizontal="center" vertical="center"/>
    </xf>
    <xf numFmtId="37" fontId="78" fillId="10" borderId="34" xfId="0" applyNumberFormat="1" applyFont="1" applyFill="1" applyBorder="1" applyAlignment="1">
      <alignment vertical="center"/>
    </xf>
    <xf numFmtId="173" fontId="103" fillId="10" borderId="34" xfId="0" applyNumberFormat="1" applyFont="1" applyFill="1" applyBorder="1" applyAlignment="1">
      <alignment horizontal="right"/>
    </xf>
    <xf numFmtId="173" fontId="103" fillId="0" borderId="0" xfId="0" applyNumberFormat="1" applyFont="1" applyAlignment="1">
      <alignment horizontal="right"/>
    </xf>
    <xf numFmtId="37" fontId="2" fillId="0" borderId="0" xfId="0" applyNumberFormat="1" applyFont="1" applyAlignment="1">
      <alignment horizontal="center" vertical="center"/>
    </xf>
    <xf numFmtId="37" fontId="2" fillId="0" borderId="0" xfId="0" applyNumberFormat="1" applyFont="1" applyAlignment="1">
      <alignment vertical="center"/>
    </xf>
    <xf numFmtId="0" fontId="103" fillId="11" borderId="27" xfId="0" applyFont="1" applyFill="1" applyBorder="1" applyAlignment="1">
      <alignment vertical="center"/>
    </xf>
    <xf numFmtId="0" fontId="104" fillId="0" borderId="0" xfId="0" applyFont="1"/>
    <xf numFmtId="0" fontId="69" fillId="0" borderId="0" xfId="0" applyFont="1" applyAlignment="1">
      <alignment horizontal="left" vertical="top"/>
    </xf>
    <xf numFmtId="175" fontId="76" fillId="0" borderId="0" xfId="0" applyNumberFormat="1" applyFont="1" applyAlignment="1">
      <alignment horizontal="left" vertical="top"/>
    </xf>
    <xf numFmtId="175" fontId="76" fillId="0" borderId="0" xfId="0" applyNumberFormat="1" applyFont="1" applyAlignment="1">
      <alignment horizontal="left" vertical="top"/>
    </xf>
    <xf numFmtId="182" fontId="76" fillId="0" borderId="0" xfId="0" applyNumberFormat="1" applyFont="1" applyAlignment="1">
      <alignment horizontal="left" vertical="top"/>
    </xf>
    <xf numFmtId="175" fontId="106" fillId="0" borderId="0" xfId="0" applyNumberFormat="1" applyFont="1" applyAlignment="1">
      <alignment horizontal="center"/>
    </xf>
    <xf numFmtId="175" fontId="69" fillId="0" borderId="0" xfId="0" applyNumberFormat="1" applyFont="1" applyAlignment="1">
      <alignment horizontal="center"/>
    </xf>
    <xf numFmtId="0" fontId="69" fillId="0" borderId="30" xfId="0" applyFont="1" applyBorder="1"/>
    <xf numFmtId="0" fontId="69" fillId="15" borderId="0" xfId="0" applyFont="1" applyFill="1" applyBorder="1"/>
    <xf numFmtId="37" fontId="78" fillId="12" borderId="34" xfId="0" applyNumberFormat="1" applyFont="1" applyFill="1" applyBorder="1" applyAlignment="1">
      <alignment horizontal="center" vertical="center"/>
    </xf>
    <xf numFmtId="37" fontId="78" fillId="12" borderId="34" xfId="0" applyNumberFormat="1" applyFont="1" applyFill="1" applyBorder="1" applyAlignment="1">
      <alignment vertical="center"/>
    </xf>
    <xf numFmtId="173" fontId="103" fillId="12" borderId="34" xfId="0" applyNumberFormat="1" applyFont="1" applyFill="1" applyBorder="1" applyAlignment="1">
      <alignment horizontal="right"/>
    </xf>
    <xf numFmtId="0" fontId="78" fillId="11" borderId="27" xfId="0" applyFont="1" applyFill="1" applyBorder="1" applyAlignment="1">
      <alignment vertical="center"/>
    </xf>
    <xf numFmtId="0" fontId="107" fillId="0" borderId="0" xfId="0" applyFont="1"/>
    <xf numFmtId="9" fontId="107" fillId="0" borderId="0" xfId="1" applyFont="1"/>
    <xf numFmtId="176" fontId="107" fillId="0" borderId="0" xfId="1" applyNumberFormat="1" applyFont="1" applyBorder="1" applyAlignment="1">
      <alignment horizontal="right"/>
    </xf>
    <xf numFmtId="9" fontId="107" fillId="0" borderId="0" xfId="1" applyFont="1" applyBorder="1" applyAlignment="1">
      <alignment horizontal="right"/>
    </xf>
    <xf numFmtId="0" fontId="105" fillId="0" borderId="0" xfId="0" applyFont="1"/>
    <xf numFmtId="0" fontId="2" fillId="0" borderId="0" xfId="0" applyFont="1" applyAlignment="1">
      <alignment horizontal="left" indent="1"/>
    </xf>
    <xf numFmtId="175" fontId="106" fillId="0" borderId="0" xfId="0" applyNumberFormat="1" applyFont="1" applyAlignment="1">
      <alignment horizontal="right"/>
    </xf>
    <xf numFmtId="0" fontId="2" fillId="0" borderId="0" xfId="2" applyFont="1"/>
    <xf numFmtId="0" fontId="69" fillId="0" borderId="0" xfId="0" applyFont="1" applyBorder="1"/>
    <xf numFmtId="0" fontId="69" fillId="0" borderId="0" xfId="0" applyFont="1" applyFill="1" applyBorder="1"/>
    <xf numFmtId="0" fontId="104" fillId="0" borderId="34" xfId="2" applyFont="1" applyBorder="1" applyAlignment="1">
      <alignment horizontal="right" vertical="center"/>
    </xf>
    <xf numFmtId="165" fontId="76" fillId="0" borderId="0" xfId="0" applyNumberFormat="1" applyFont="1" applyAlignment="1"/>
    <xf numFmtId="165" fontId="76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76" fillId="0" borderId="0" xfId="0" applyNumberFormat="1" applyFont="1" applyBorder="1" applyAlignment="1">
      <alignment horizontal="right"/>
    </xf>
    <xf numFmtId="165" fontId="2" fillId="0" borderId="32" xfId="0" applyNumberFormat="1" applyFont="1" applyBorder="1" applyAlignment="1">
      <alignment horizontal="right"/>
    </xf>
    <xf numFmtId="0" fontId="104" fillId="0" borderId="27" xfId="0" applyFont="1" applyBorder="1" applyAlignment="1"/>
    <xf numFmtId="0" fontId="105" fillId="0" borderId="27" xfId="0" applyFont="1" applyBorder="1" applyAlignment="1">
      <alignment horizontal="right"/>
    </xf>
    <xf numFmtId="37" fontId="78" fillId="10" borderId="27" xfId="0" applyNumberFormat="1" applyFont="1" applyFill="1" applyBorder="1" applyAlignment="1">
      <alignment horizontal="center" vertical="center"/>
    </xf>
    <xf numFmtId="37" fontId="78" fillId="10" borderId="27" xfId="0" applyNumberFormat="1" applyFont="1" applyFill="1" applyBorder="1" applyAlignment="1">
      <alignment vertical="center"/>
    </xf>
    <xf numFmtId="173" fontId="103" fillId="10" borderId="27" xfId="0" applyNumberFormat="1" applyFont="1" applyFill="1" applyBorder="1" applyAlignment="1">
      <alignment horizontal="right"/>
    </xf>
    <xf numFmtId="37" fontId="83" fillId="10" borderId="34" xfId="0" applyNumberFormat="1" applyFont="1" applyFill="1" applyBorder="1" applyAlignment="1">
      <alignment vertical="center"/>
    </xf>
    <xf numFmtId="37" fontId="83" fillId="10" borderId="27" xfId="0" applyNumberFormat="1" applyFont="1" applyFill="1" applyBorder="1" applyAlignment="1">
      <alignment vertical="center"/>
    </xf>
    <xf numFmtId="0" fontId="2" fillId="11" borderId="27" xfId="2" applyFont="1" applyFill="1" applyBorder="1"/>
    <xf numFmtId="37" fontId="2" fillId="0" borderId="0" xfId="2" applyNumberFormat="1" applyFont="1" applyAlignment="1">
      <alignment vertical="center"/>
    </xf>
    <xf numFmtId="0" fontId="78" fillId="11" borderId="27" xfId="0" applyFont="1" applyFill="1" applyBorder="1"/>
    <xf numFmtId="0" fontId="105" fillId="0" borderId="0" xfId="0" applyFont="1" applyAlignment="1">
      <alignment horizontal="right"/>
    </xf>
    <xf numFmtId="37" fontId="2" fillId="0" borderId="0" xfId="2" applyNumberFormat="1" applyFont="1" applyAlignment="1">
      <alignment horizontal="left" vertical="top"/>
    </xf>
    <xf numFmtId="0" fontId="2" fillId="14" borderId="0" xfId="0" applyFont="1" applyFill="1"/>
    <xf numFmtId="37" fontId="2" fillId="14" borderId="0" xfId="2" applyNumberFormat="1" applyFont="1" applyFill="1" applyAlignment="1">
      <alignment vertical="center"/>
    </xf>
    <xf numFmtId="0" fontId="76" fillId="0" borderId="0" xfId="2" applyFont="1" applyAlignment="1">
      <alignment horizontal="left" vertical="top"/>
    </xf>
    <xf numFmtId="179" fontId="2" fillId="14" borderId="0" xfId="6" applyNumberFormat="1" applyFont="1" applyFill="1" applyBorder="1"/>
    <xf numFmtId="0" fontId="2" fillId="0" borderId="0" xfId="2" applyFont="1" applyAlignment="1">
      <alignment horizontal="left" vertical="top"/>
    </xf>
    <xf numFmtId="37" fontId="2" fillId="14" borderId="0" xfId="0" applyNumberFormat="1" applyFont="1" applyFill="1" applyAlignment="1">
      <alignment vertical="top"/>
    </xf>
    <xf numFmtId="0" fontId="2" fillId="0" borderId="0" xfId="2" applyFont="1" applyBorder="1"/>
    <xf numFmtId="0" fontId="76" fillId="0" borderId="0" xfId="2" applyFont="1"/>
    <xf numFmtId="0" fontId="76" fillId="14" borderId="0" xfId="2" applyFont="1" applyFill="1"/>
    <xf numFmtId="0" fontId="69" fillId="0" borderId="27" xfId="0" applyFont="1" applyBorder="1"/>
    <xf numFmtId="179" fontId="108" fillId="14" borderId="0" xfId="0" applyNumberFormat="1" applyFont="1" applyFill="1"/>
    <xf numFmtId="0" fontId="76" fillId="15" borderId="0" xfId="2" applyFont="1" applyFill="1"/>
    <xf numFmtId="0" fontId="76" fillId="0" borderId="30" xfId="2" applyFont="1" applyBorder="1"/>
    <xf numFmtId="0" fontId="2" fillId="15" borderId="0" xfId="0" applyFont="1" applyFill="1"/>
    <xf numFmtId="179" fontId="108" fillId="15" borderId="0" xfId="0" applyNumberFormat="1" applyFont="1" applyFill="1"/>
    <xf numFmtId="0" fontId="69" fillId="15" borderId="0" xfId="0" applyFont="1" applyFill="1" applyBorder="1" applyAlignment="1">
      <alignment vertical="center"/>
    </xf>
    <xf numFmtId="0" fontId="104" fillId="15" borderId="0" xfId="0" applyFont="1" applyFill="1" applyBorder="1" applyAlignment="1">
      <alignment vertical="center"/>
    </xf>
    <xf numFmtId="0" fontId="109" fillId="0" borderId="0" xfId="2" applyFont="1" applyAlignment="1">
      <alignment horizontal="left" vertical="center"/>
    </xf>
    <xf numFmtId="0" fontId="2" fillId="0" borderId="0" xfId="0" applyFont="1" applyFill="1"/>
    <xf numFmtId="179" fontId="108" fillId="0" borderId="0" xfId="0" applyNumberFormat="1" applyFont="1" applyFill="1"/>
    <xf numFmtId="179" fontId="78" fillId="11" borderId="27" xfId="0" applyNumberFormat="1" applyFont="1" applyFill="1" applyBorder="1"/>
    <xf numFmtId="0" fontId="74" fillId="0" borderId="0" xfId="2" applyFont="1"/>
    <xf numFmtId="165" fontId="76" fillId="0" borderId="0" xfId="2" applyNumberFormat="1" applyFont="1"/>
    <xf numFmtId="0" fontId="76" fillId="0" borderId="0" xfId="2" applyFont="1" applyBorder="1"/>
    <xf numFmtId="0" fontId="76" fillId="15" borderId="0" xfId="2" applyFont="1" applyFill="1" applyBorder="1"/>
    <xf numFmtId="180" fontId="76" fillId="0" borderId="0" xfId="0" quotePrefix="1" applyNumberFormat="1" applyFont="1" applyAlignment="1">
      <alignment horizontal="right"/>
    </xf>
    <xf numFmtId="181" fontId="76" fillId="0" borderId="0" xfId="0" quotePrefix="1" applyNumberFormat="1" applyFont="1" applyAlignment="1">
      <alignment horizontal="right"/>
    </xf>
    <xf numFmtId="0" fontId="74" fillId="0" borderId="0" xfId="2" applyFont="1" applyBorder="1"/>
    <xf numFmtId="37" fontId="70" fillId="0" borderId="0" xfId="2" applyNumberFormat="1" applyFont="1" applyAlignment="1">
      <alignment vertical="center"/>
    </xf>
    <xf numFmtId="0" fontId="74" fillId="0" borderId="27" xfId="2" applyFont="1" applyBorder="1"/>
    <xf numFmtId="37" fontId="70" fillId="0" borderId="27" xfId="2" applyNumberFormat="1" applyFont="1" applyBorder="1" applyAlignment="1">
      <alignment vertical="center"/>
    </xf>
    <xf numFmtId="0" fontId="70" fillId="0" borderId="27" xfId="0" applyFont="1" applyBorder="1"/>
    <xf numFmtId="0" fontId="70" fillId="0" borderId="0" xfId="2" applyFont="1" applyBorder="1"/>
    <xf numFmtId="9" fontId="12" fillId="16" borderId="0" xfId="0" applyNumberFormat="1" applyFont="1" applyFill="1" applyAlignment="1">
      <alignment horizontal="right" vertical="top"/>
    </xf>
    <xf numFmtId="166" fontId="12" fillId="16" borderId="0" xfId="0" applyNumberFormat="1" applyFont="1" applyFill="1" applyAlignment="1">
      <alignment horizontal="right" vertical="top"/>
    </xf>
    <xf numFmtId="165" fontId="12" fillId="16" borderId="0" xfId="0" applyNumberFormat="1" applyFont="1" applyFill="1" applyAlignment="1">
      <alignment horizontal="right" vertical="top"/>
    </xf>
    <xf numFmtId="0" fontId="16" fillId="16" borderId="0" xfId="0" applyFont="1" applyFill="1" applyAlignment="1">
      <alignment horizontal="right" vertical="top"/>
    </xf>
    <xf numFmtId="10" fontId="7" fillId="16" borderId="0" xfId="0" applyNumberFormat="1" applyFont="1" applyFill="1" applyAlignment="1">
      <alignment horizontal="right" vertical="top"/>
    </xf>
    <xf numFmtId="2" fontId="7" fillId="17" borderId="0" xfId="0" applyNumberFormat="1" applyFont="1" applyFill="1" applyAlignment="1">
      <alignment horizontal="right" vertical="top"/>
    </xf>
    <xf numFmtId="0" fontId="6" fillId="18" borderId="1" xfId="0" applyFont="1" applyFill="1" applyBorder="1" applyAlignment="1">
      <alignment horizontal="right"/>
    </xf>
    <xf numFmtId="0" fontId="15" fillId="18" borderId="0" xfId="0" applyFont="1" applyFill="1" applyAlignment="1">
      <alignment horizontal="center" vertical="top"/>
    </xf>
    <xf numFmtId="165" fontId="15" fillId="18" borderId="0" xfId="0" applyNumberFormat="1" applyFont="1" applyFill="1" applyAlignment="1">
      <alignment horizontal="right" vertical="top"/>
    </xf>
    <xf numFmtId="165" fontId="15" fillId="18" borderId="0" xfId="0" applyNumberFormat="1" applyFont="1" applyFill="1" applyAlignment="1">
      <alignment horizontal="right" vertical="center"/>
    </xf>
    <xf numFmtId="165" fontId="6" fillId="18" borderId="10" xfId="0" applyNumberFormat="1" applyFont="1" applyFill="1" applyBorder="1" applyAlignment="1">
      <alignment horizontal="right" vertical="center"/>
    </xf>
    <xf numFmtId="165" fontId="6" fillId="18" borderId="0" xfId="0" applyNumberFormat="1" applyFont="1" applyFill="1" applyAlignment="1">
      <alignment horizontal="right" vertical="top"/>
    </xf>
    <xf numFmtId="167" fontId="15" fillId="18" borderId="0" xfId="0" applyNumberFormat="1" applyFont="1" applyFill="1" applyAlignment="1">
      <alignment horizontal="right" vertical="top"/>
    </xf>
    <xf numFmtId="165" fontId="6" fillId="18" borderId="12" xfId="0" applyNumberFormat="1" applyFont="1" applyFill="1" applyBorder="1" applyAlignment="1">
      <alignment horizontal="right" vertical="center"/>
    </xf>
    <xf numFmtId="0" fontId="6" fillId="18" borderId="23" xfId="0" applyFont="1" applyFill="1" applyBorder="1" applyAlignment="1">
      <alignment horizontal="right"/>
    </xf>
    <xf numFmtId="165" fontId="15" fillId="18" borderId="22" xfId="0" applyNumberFormat="1" applyFont="1" applyFill="1" applyBorder="1"/>
    <xf numFmtId="165" fontId="15" fillId="18" borderId="24" xfId="0" applyNumberFormat="1" applyFont="1" applyFill="1" applyBorder="1" applyAlignment="1">
      <alignment horizontal="right" vertical="top"/>
    </xf>
    <xf numFmtId="165" fontId="15" fillId="18" borderId="23" xfId="0" applyNumberFormat="1" applyFont="1" applyFill="1" applyBorder="1"/>
    <xf numFmtId="0" fontId="57" fillId="18" borderId="0" xfId="0" applyFont="1" applyFill="1" applyAlignment="1">
      <alignment horizontal="left" vertical="top"/>
    </xf>
    <xf numFmtId="3" fontId="57" fillId="18" borderId="0" xfId="0" applyNumberFormat="1" applyFont="1" applyFill="1" applyAlignment="1">
      <alignment horizontal="right" vertical="top"/>
    </xf>
    <xf numFmtId="0" fontId="57" fillId="18" borderId="0" xfId="0" applyFont="1" applyFill="1" applyAlignment="1">
      <alignment horizontal="right" vertical="top"/>
    </xf>
    <xf numFmtId="0" fontId="54" fillId="19" borderId="0" xfId="0" applyFont="1" applyFill="1"/>
    <xf numFmtId="0" fontId="52" fillId="19" borderId="0" xfId="0" applyFont="1" applyFill="1"/>
    <xf numFmtId="0" fontId="52" fillId="20" borderId="0" xfId="0" applyFont="1" applyFill="1" applyAlignment="1">
      <alignment horizontal="left" vertical="top"/>
    </xf>
    <xf numFmtId="0" fontId="15" fillId="18" borderId="0" xfId="0" applyFont="1" applyFill="1" applyAlignment="1">
      <alignment horizontal="right" vertical="top"/>
    </xf>
    <xf numFmtId="0" fontId="47" fillId="18" borderId="0" xfId="0" applyFont="1" applyFill="1" applyAlignment="1">
      <alignment horizontal="right" vertical="top"/>
    </xf>
    <xf numFmtId="9" fontId="15" fillId="18" borderId="0" xfId="0" applyNumberFormat="1" applyFont="1" applyFill="1" applyAlignment="1">
      <alignment horizontal="right" vertical="top"/>
    </xf>
    <xf numFmtId="165" fontId="6" fillId="18" borderId="10" xfId="0" applyNumberFormat="1" applyFont="1" applyFill="1" applyBorder="1" applyAlignment="1">
      <alignment horizontal="right" vertical="top"/>
    </xf>
    <xf numFmtId="165" fontId="6" fillId="18" borderId="12" xfId="0" applyNumberFormat="1" applyFont="1" applyFill="1" applyBorder="1" applyAlignment="1">
      <alignment horizontal="right" vertical="top"/>
    </xf>
    <xf numFmtId="0" fontId="15" fillId="18" borderId="22" xfId="0" applyFont="1" applyFill="1" applyBorder="1"/>
    <xf numFmtId="0" fontId="15" fillId="18" borderId="23" xfId="0" applyFont="1" applyFill="1" applyBorder="1"/>
    <xf numFmtId="9" fontId="7" fillId="16" borderId="0" xfId="0" applyNumberFormat="1" applyFont="1" applyFill="1" applyAlignment="1">
      <alignment horizontal="right" vertical="top"/>
    </xf>
    <xf numFmtId="10" fontId="7" fillId="16" borderId="20" xfId="0" applyNumberFormat="1" applyFont="1" applyFill="1" applyBorder="1" applyAlignment="1">
      <alignment horizontal="right" vertical="top"/>
    </xf>
    <xf numFmtId="9" fontId="29" fillId="16" borderId="0" xfId="0" applyNumberFormat="1" applyFont="1" applyFill="1" applyAlignment="1">
      <alignment horizontal="right"/>
    </xf>
    <xf numFmtId="166" fontId="29" fillId="16" borderId="0" xfId="0" applyNumberFormat="1" applyFont="1" applyFill="1" applyAlignment="1">
      <alignment horizontal="right"/>
    </xf>
    <xf numFmtId="166" fontId="29" fillId="16" borderId="0" xfId="0" applyNumberFormat="1" applyFont="1" applyFill="1"/>
    <xf numFmtId="0" fontId="110" fillId="13" borderId="27" xfId="0" applyFont="1" applyFill="1" applyBorder="1" applyAlignment="1"/>
    <xf numFmtId="37" fontId="110" fillId="10" borderId="34" xfId="0" applyNumberFormat="1" applyFont="1" applyFill="1" applyBorder="1" applyAlignment="1">
      <alignment vertical="center"/>
    </xf>
    <xf numFmtId="0" fontId="81" fillId="11" borderId="27" xfId="2" applyFont="1" applyFill="1" applyBorder="1" applyAlignment="1">
      <alignment vertical="center"/>
    </xf>
    <xf numFmtId="37" fontId="114" fillId="12" borderId="34" xfId="0" applyNumberFormat="1" applyFont="1" applyFill="1" applyBorder="1" applyAlignment="1">
      <alignment vertical="center"/>
    </xf>
    <xf numFmtId="0" fontId="81" fillId="11" borderId="34" xfId="2" applyFont="1" applyFill="1" applyBorder="1" applyAlignment="1">
      <alignment vertical="center"/>
    </xf>
    <xf numFmtId="0" fontId="115" fillId="9" borderId="0" xfId="2" applyFont="1" applyFill="1" applyAlignment="1">
      <alignment horizontal="left" vertical="center"/>
    </xf>
    <xf numFmtId="37" fontId="86" fillId="9" borderId="0" xfId="2" applyNumberFormat="1" applyFont="1" applyFill="1" applyAlignment="1">
      <alignment vertical="center"/>
    </xf>
    <xf numFmtId="0" fontId="92" fillId="9" borderId="30" xfId="2" applyFont="1" applyFill="1" applyBorder="1"/>
    <xf numFmtId="165" fontId="92" fillId="9" borderId="30" xfId="2" applyNumberFormat="1" applyFont="1" applyFill="1" applyBorder="1"/>
    <xf numFmtId="0" fontId="92" fillId="9" borderId="0" xfId="2" applyFont="1" applyFill="1"/>
    <xf numFmtId="165" fontId="92" fillId="9" borderId="0" xfId="2" applyNumberFormat="1" applyFont="1" applyFill="1"/>
    <xf numFmtId="0" fontId="92" fillId="9" borderId="33" xfId="2" applyFont="1" applyFill="1" applyBorder="1"/>
    <xf numFmtId="165" fontId="86" fillId="9" borderId="0" xfId="2" applyNumberFormat="1" applyFont="1" applyFill="1" applyAlignment="1">
      <alignment horizontal="right"/>
    </xf>
    <xf numFmtId="37" fontId="83" fillId="12" borderId="34" xfId="0" applyNumberFormat="1" applyFont="1" applyFill="1" applyBorder="1" applyAlignment="1">
      <alignment vertical="center"/>
    </xf>
    <xf numFmtId="0" fontId="93" fillId="0" borderId="0" xfId="0" applyFont="1" applyFill="1"/>
    <xf numFmtId="0" fontId="82" fillId="11" borderId="34" xfId="2" applyFont="1" applyFill="1" applyBorder="1" applyAlignment="1">
      <alignment vertical="center"/>
    </xf>
    <xf numFmtId="0" fontId="84" fillId="11" borderId="27" xfId="0" applyFont="1" applyFill="1" applyBorder="1" applyAlignment="1">
      <alignment vertical="center"/>
    </xf>
    <xf numFmtId="0" fontId="122" fillId="11" borderId="27" xfId="0" applyFont="1" applyFill="1" applyBorder="1" applyAlignment="1">
      <alignment vertical="center"/>
    </xf>
    <xf numFmtId="0" fontId="116" fillId="0" borderId="42" xfId="2" applyFont="1" applyBorder="1" applyAlignment="1">
      <alignment horizontal="left" vertical="center"/>
    </xf>
    <xf numFmtId="0" fontId="117" fillId="0" borderId="42" xfId="0" applyFont="1" applyBorder="1" applyAlignment="1">
      <alignment horizontal="left"/>
    </xf>
    <xf numFmtId="0" fontId="118" fillId="0" borderId="42" xfId="2" applyFont="1" applyBorder="1"/>
    <xf numFmtId="0" fontId="119" fillId="9" borderId="43" xfId="0" applyFont="1" applyFill="1" applyBorder="1"/>
    <xf numFmtId="0" fontId="119" fillId="0" borderId="42" xfId="0" applyFont="1" applyBorder="1"/>
    <xf numFmtId="0" fontId="120" fillId="0" borderId="42" xfId="0" applyFont="1" applyBorder="1" applyAlignment="1">
      <alignment horizontal="left"/>
    </xf>
    <xf numFmtId="0" fontId="93" fillId="9" borderId="43" xfId="0" applyFont="1" applyFill="1" applyBorder="1"/>
    <xf numFmtId="0" fontId="116" fillId="0" borderId="42" xfId="2" applyFont="1" applyBorder="1" applyAlignment="1">
      <alignment horizontal="left" vertical="center" indent="5"/>
    </xf>
  </cellXfs>
  <cellStyles count="8">
    <cellStyle name="Comma" xfId="6" builtinId="3"/>
    <cellStyle name="Comma 2" xfId="5" xr:uid="{650066C9-B6A1-4BFC-9CC3-0953FB400D5F}"/>
    <cellStyle name="Currency 2" xfId="3" xr:uid="{FE2BDBF9-D05D-4C19-97A7-75000CF91781}"/>
    <cellStyle name="Normal" xfId="0" builtinId="0"/>
    <cellStyle name="Normal 2" xfId="2" xr:uid="{27D5D20C-FD65-4707-84A9-287458F8A42D}"/>
    <cellStyle name="Normal 2 2 3" xfId="7" xr:uid="{8D481125-99C1-4905-AA8B-F11E68E1C7C8}"/>
    <cellStyle name="Percent" xfId="1" builtinId="5"/>
    <cellStyle name="Percent 2" xfId="4" xr:uid="{ADB4521A-84CC-4F3A-81C2-C3948100698D}"/>
  </cellStyles>
  <dxfs count="49">
    <dxf>
      <font>
        <b/>
        <color rgb="FFFFFFFF"/>
      </font>
      <fill>
        <patternFill patternType="solid">
          <fgColor rgb="FFFF6669"/>
          <bgColor rgb="FFFF6669"/>
        </patternFill>
      </fill>
    </dxf>
    <dxf>
      <font>
        <b/>
        <color rgb="FFFFFFFF"/>
      </font>
      <fill>
        <patternFill patternType="solid">
          <fgColor rgb="FFFF6669"/>
          <bgColor rgb="FFFF6669"/>
        </patternFill>
      </fill>
    </dxf>
    <dxf>
      <font>
        <color rgb="FFEA8436"/>
      </font>
      <fill>
        <patternFill patternType="none"/>
      </fill>
    </dxf>
    <dxf>
      <font>
        <color rgb="FFEA8436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  <color rgb="FFFFFFFF"/>
      </font>
      <fill>
        <patternFill patternType="solid">
          <fgColor rgb="FFFF6669"/>
          <bgColor rgb="FFFF6669"/>
        </patternFill>
      </fill>
    </dxf>
    <dxf>
      <font>
        <b/>
        <color rgb="FFFFFFFF"/>
      </font>
      <fill>
        <patternFill patternType="solid">
          <fgColor rgb="FFFF6669"/>
          <bgColor rgb="FFFF6669"/>
        </patternFill>
      </fill>
    </dxf>
    <dxf>
      <font>
        <color rgb="FFEA8436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  <color rgb="FFFFFFFF"/>
      </font>
      <fill>
        <patternFill patternType="solid">
          <fgColor rgb="FFFF6669"/>
          <bgColor rgb="FFFF6669"/>
        </patternFill>
      </fill>
    </dxf>
    <dxf>
      <font>
        <b/>
        <color rgb="FFFFFFFF"/>
      </font>
      <fill>
        <patternFill patternType="solid">
          <fgColor rgb="FFFF6669"/>
          <bgColor rgb="FFFF6669"/>
        </patternFill>
      </fill>
    </dxf>
    <dxf>
      <font>
        <color rgb="FFEA8436"/>
      </font>
      <fill>
        <patternFill patternType="none"/>
      </fill>
    </dxf>
    <dxf>
      <font>
        <color rgb="FFEA8436"/>
      </font>
      <fill>
        <patternFill patternType="none"/>
      </fill>
    </dxf>
    <dxf>
      <font>
        <color rgb="FFEA8436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  <color rgb="FFFFFFFF"/>
      </font>
      <fill>
        <patternFill patternType="solid">
          <fgColor rgb="FFFF6669"/>
          <bgColor rgb="FFFF6669"/>
        </patternFill>
      </fill>
    </dxf>
    <dxf>
      <font>
        <b/>
        <color rgb="FFFFFFFF"/>
      </font>
      <fill>
        <patternFill patternType="solid">
          <fgColor rgb="FFFF6669"/>
          <bgColor rgb="FFFF6669"/>
        </patternFill>
      </fill>
    </dxf>
    <dxf>
      <font>
        <b/>
        <color rgb="FFEA8436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5" formatCode="#,##0;\(#,##0\);&quot;-&quot;"/>
      <alignment horizontal="right" vertical="bottom" textRotation="0" wrapText="0" indent="0" justifyLastLine="0" shrinkToFit="0" readingOrder="0"/>
      <border diagonalUp="0" diagonalDown="0">
        <left style="medium">
          <color theme="1"/>
        </left>
        <right/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border outline="0">
        <top style="medium">
          <color theme="1"/>
        </top>
      </border>
    </dxf>
    <dxf>
      <border outline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 outline="0">
        <bottom style="medium">
          <color theme="1"/>
        </bottom>
      </border>
    </dxf>
    <dxf>
      <font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</font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/>
        <top style="medium">
          <color theme="1"/>
        </top>
        <bottom style="medium">
          <color theme="1"/>
        </bottom>
        <vertical style="medium">
          <color theme="1"/>
        </vertical>
        <horizontal style="medium">
          <color theme="1"/>
        </horizontal>
      </border>
    </dxf>
    <dxf>
      <font>
        <strike val="0"/>
        <outline val="0"/>
        <shadow val="0"/>
        <u val="none"/>
        <vertAlign val="baseline"/>
        <sz val="14"/>
      </font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 style="medium">
          <color theme="1"/>
        </vertical>
        <horizontal style="medium">
          <color theme="1"/>
        </horizontal>
      </border>
    </dxf>
    <dxf>
      <font>
        <strike val="0"/>
        <outline val="0"/>
        <shadow val="0"/>
        <u val="none"/>
        <vertAlign val="baseline"/>
        <sz val="14"/>
      </font>
      <numFmt numFmtId="22" formatCode="mmm\-yy"/>
      <alignment horizontal="left" vertical="bottom" textRotation="0" wrapText="0" indent="0" justifyLastLine="0" shrinkToFit="0" readingOrder="0"/>
      <border diagonalUp="0" diagonalDown="0">
        <left/>
        <right style="medium">
          <color theme="1"/>
        </right>
        <top style="medium">
          <color theme="1"/>
        </top>
        <bottom style="medium">
          <color theme="1"/>
        </bottom>
        <vertical style="medium">
          <color theme="1"/>
        </vertical>
        <horizontal style="medium">
          <color theme="1"/>
        </horizontal>
      </border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 Narrow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 style="medium">
          <color theme="1"/>
        </vertical>
        <horizontal style="medium">
          <color theme="1"/>
        </horizontal>
      </border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ill>
        <patternFill patternType="solid">
          <fgColor rgb="FFF7E6D3"/>
          <bgColor rgb="FFF7E6D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NWC &amp; Capex-style" pivot="0" count="2" xr9:uid="{00000000-0011-0000-FFFF-FFFF00000000}">
      <tableStyleElement type="firstRowStripe" dxfId="48"/>
      <tableStyleElement type="secondRowStripe" dxfId="47"/>
    </tableStyle>
  </tableStyles>
  <colors>
    <mruColors>
      <color rgb="FFEA84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26" Type="http://schemas.openxmlformats.org/officeDocument/2006/relationships/customXml" Target="../customXml/item6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570821993503172E-2"/>
          <c:y val="5.1192544430694563E-2"/>
          <c:w val="0.85392672139482495"/>
          <c:h val="0.83211923575430946"/>
        </c:manualLayout>
      </c:layout>
      <c:areaChart>
        <c:grouping val="stacked"/>
        <c:varyColors val="0"/>
        <c:ser>
          <c:idx val="0"/>
          <c:order val="0"/>
          <c:tx>
            <c:strRef>
              <c:f>'Executive Summary'!$P$22</c:f>
              <c:strCache>
                <c:ptCount val="1"/>
                <c:pt idx="0">
                  <c:v>Selling, G&amp;A expenses</c:v>
                </c:pt>
              </c:strCache>
            </c:strRef>
          </c:tx>
          <c:spPr>
            <a:solidFill>
              <a:srgbClr val="EA8436"/>
            </a:solidFill>
            <a:ln>
              <a:noFill/>
            </a:ln>
            <a:effectLst/>
          </c:spPr>
          <c:cat>
            <c:numRef>
              <c:f>'Executive Summary'!$U$9:$Y$9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'Executive Summary'!$U$22:$Y$22</c:f>
              <c:numCache>
                <c:formatCode>#,##0;\(#,##0\);"-"</c:formatCode>
                <c:ptCount val="5"/>
                <c:pt idx="0">
                  <c:v>22447</c:v>
                </c:pt>
                <c:pt idx="1">
                  <c:v>25144</c:v>
                </c:pt>
                <c:pt idx="2">
                  <c:v>26284</c:v>
                </c:pt>
                <c:pt idx="3">
                  <c:v>26598</c:v>
                </c:pt>
                <c:pt idx="4">
                  <c:v>28748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D-4F08-8C0A-2499C6B91695}"/>
            </c:ext>
          </c:extLst>
        </c:ser>
        <c:ser>
          <c:idx val="2"/>
          <c:order val="1"/>
          <c:tx>
            <c:strRef>
              <c:f>'Executive Summary'!$P$24</c:f>
              <c:strCache>
                <c:ptCount val="1"/>
                <c:pt idx="0">
                  <c:v>Other Expenses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cat>
            <c:numRef>
              <c:f>'Executive Summary'!$U$9:$Y$9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'Executive Summary'!$U$24:$Y$24</c:f>
              <c:numCache>
                <c:formatCode>#,##0;\(#,##0\);"-"</c:formatCode>
                <c:ptCount val="5"/>
                <c:pt idx="0">
                  <c:v>4128</c:v>
                </c:pt>
                <c:pt idx="1">
                  <c:v>2648</c:v>
                </c:pt>
                <c:pt idx="2">
                  <c:v>2455</c:v>
                </c:pt>
                <c:pt idx="3">
                  <c:v>2673</c:v>
                </c:pt>
                <c:pt idx="4">
                  <c:v>3034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9D-4F08-8C0A-2499C6B91695}"/>
            </c:ext>
          </c:extLst>
        </c:ser>
        <c:ser>
          <c:idx val="3"/>
          <c:order val="2"/>
          <c:tx>
            <c:strRef>
              <c:f>'Executive Summary'!$P$25</c:f>
              <c:strCache>
                <c:ptCount val="1"/>
                <c:pt idx="0">
                  <c:v>Interest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numRef>
              <c:f>'Executive Summary'!$U$9:$Y$9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'Executive Summary'!$U$25:$Y$25</c:f>
              <c:numCache>
                <c:formatCode>#,##0;\(#,##0\);"-"</c:formatCode>
                <c:ptCount val="5"/>
                <c:pt idx="0">
                  <c:v>1300</c:v>
                </c:pt>
                <c:pt idx="1">
                  <c:v>1303</c:v>
                </c:pt>
                <c:pt idx="2">
                  <c:v>1562</c:v>
                </c:pt>
                <c:pt idx="3">
                  <c:v>1765</c:v>
                </c:pt>
                <c:pt idx="4">
                  <c:v>2120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9D-4F08-8C0A-2499C6B91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154992"/>
        <c:axId val="1032147792"/>
      </c:areaChart>
      <c:catAx>
        <c:axId val="1032154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147792"/>
        <c:crosses val="autoZero"/>
        <c:auto val="1"/>
        <c:lblAlgn val="ctr"/>
        <c:lblOffset val="100"/>
        <c:noMultiLvlLbl val="0"/>
      </c:catAx>
      <c:valAx>
        <c:axId val="1032147792"/>
        <c:scaling>
          <c:orientation val="minMax"/>
          <c:max val="50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154992"/>
        <c:crosses val="autoZero"/>
        <c:crossBetween val="midCat"/>
        <c:dispUnits>
          <c:builtInUnit val="thousands"/>
          <c:dispUnitsLbl>
            <c:layout>
              <c:manualLayout>
                <c:xMode val="edge"/>
                <c:yMode val="edge"/>
                <c:x val="1.8131674728832593E-3"/>
                <c:y val="0.33400473915068524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($) Thousands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'Executive Summary'!$P$10</c:f>
              <c:strCache>
                <c:ptCount val="1"/>
                <c:pt idx="0">
                  <c:v>US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'Executive Summary'!$U$10:$Y$10</c:f>
              <c:numCache>
                <c:formatCode>#,##0;\(#,##0\);"-"</c:formatCode>
                <c:ptCount val="5"/>
                <c:pt idx="0">
                  <c:v>122158</c:v>
                </c:pt>
                <c:pt idx="1">
                  <c:v>138920</c:v>
                </c:pt>
                <c:pt idx="2">
                  <c:v>144840</c:v>
                </c:pt>
                <c:pt idx="3">
                  <c:v>140083</c:v>
                </c:pt>
                <c:pt idx="4">
                  <c:v>147007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6-4479-96EA-B1DFC1B06117}"/>
            </c:ext>
          </c:extLst>
        </c:ser>
        <c:ser>
          <c:idx val="1"/>
          <c:order val="1"/>
          <c:tx>
            <c:strRef>
              <c:f>'Executive Summary'!$P$11</c:f>
              <c:strCache>
                <c:ptCount val="1"/>
                <c:pt idx="0">
                  <c:v>Non-US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8734560074869624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BA6-4479-96EA-B1DFC1B06117}"/>
                </c:ext>
              </c:extLst>
            </c:dLbl>
            <c:dLbl>
              <c:idx val="1"/>
              <c:layout>
                <c:manualLayout>
                  <c:x val="7.8252220081509741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BA6-4479-96EA-B1DFC1B06117}"/>
                </c:ext>
              </c:extLst>
            </c:dLbl>
            <c:dLbl>
              <c:idx val="2"/>
              <c:layout>
                <c:manualLayout>
                  <c:x val="7.8900533551529151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BA6-4479-96EA-B1DFC1B06117}"/>
                </c:ext>
              </c:extLst>
            </c:dLbl>
            <c:dLbl>
              <c:idx val="3"/>
              <c:layout>
                <c:manualLayout>
                  <c:x val="7.894628147784101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A6-4479-96EA-B1DFC1B06117}"/>
                </c:ext>
              </c:extLst>
            </c:dLbl>
            <c:dLbl>
              <c:idx val="4"/>
              <c:layout>
                <c:manualLayout>
                  <c:x val="8.2191247245321175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BA6-4479-96EA-B1DFC1B061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'Executive Summary'!$U$11:$Y$11</c:f>
              <c:numCache>
                <c:formatCode>#,##0;\(#,##0\);"-"</c:formatCode>
                <c:ptCount val="5"/>
                <c:pt idx="0">
                  <c:v>9952</c:v>
                </c:pt>
                <c:pt idx="1">
                  <c:v>12237</c:v>
                </c:pt>
                <c:pt idx="2">
                  <c:v>12563</c:v>
                </c:pt>
                <c:pt idx="3">
                  <c:v>12586</c:v>
                </c:pt>
                <c:pt idx="4">
                  <c:v>12507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A6-4479-96EA-B1DFC1B06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356789472"/>
        <c:axId val="1356796192"/>
      </c:barChart>
      <c:catAx>
        <c:axId val="1356789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796192"/>
        <c:crosses val="autoZero"/>
        <c:auto val="1"/>
        <c:lblAlgn val="ctr"/>
        <c:lblOffset val="100"/>
        <c:noMultiLvlLbl val="0"/>
      </c:catAx>
      <c:valAx>
        <c:axId val="135679619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($) Thousands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(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78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Summary'!$P$16</c:f>
              <c:strCache>
                <c:ptCount val="1"/>
                <c:pt idx="0">
                  <c:v>Profit Margin ($)</c:v>
                </c:pt>
              </c:strCache>
            </c:strRef>
          </c:tx>
          <c:spPr>
            <a:solidFill>
              <a:srgbClr val="EA843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'Executive Summary'!$U$9:$Y$9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'Executive Summary'!$U$16:$Y$16</c:f>
              <c:numCache>
                <c:formatCode>#,##0;\(#,##0\);"-"</c:formatCode>
                <c:ptCount val="5"/>
                <c:pt idx="0">
                  <c:v>16978</c:v>
                </c:pt>
                <c:pt idx="1">
                  <c:v>21737</c:v>
                </c:pt>
                <c:pt idx="2">
                  <c:v>22477</c:v>
                </c:pt>
                <c:pt idx="3">
                  <c:v>19924</c:v>
                </c:pt>
                <c:pt idx="4">
                  <c:v>19406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A-4F08-A9DF-AF3DD24CB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75841984"/>
        <c:axId val="575848224"/>
      </c:barChart>
      <c:lineChart>
        <c:grouping val="standard"/>
        <c:varyColors val="0"/>
        <c:ser>
          <c:idx val="1"/>
          <c:order val="1"/>
          <c:tx>
            <c:strRef>
              <c:f>'Executive Summary'!$P$17</c:f>
              <c:strCache>
                <c:ptCount val="1"/>
                <c:pt idx="0">
                  <c:v>Profit Margin (%)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'Executive Summary'!$U$9:$Y$9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'Executive Summary'!$U$17:$Y$17</c:f>
              <c:numCache>
                <c:formatCode>0%</c:formatCode>
                <c:ptCount val="5"/>
                <c:pt idx="0">
                  <c:v>0.12851411702369236</c:v>
                </c:pt>
                <c:pt idx="1">
                  <c:v>0.14380412418875738</c:v>
                </c:pt>
                <c:pt idx="2">
                  <c:v>0.14279905719713093</c:v>
                </c:pt>
                <c:pt idx="3">
                  <c:v>0.13050455560722871</c:v>
                </c:pt>
                <c:pt idx="4">
                  <c:v>0.12165703323846183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8A-4F08-A9DF-AF3DD24CB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838144"/>
        <c:axId val="575837184"/>
      </c:lineChart>
      <c:catAx>
        <c:axId val="57584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848224"/>
        <c:crosses val="autoZero"/>
        <c:auto val="1"/>
        <c:lblAlgn val="ctr"/>
        <c:lblOffset val="100"/>
        <c:noMultiLvlLbl val="0"/>
      </c:catAx>
      <c:valAx>
        <c:axId val="575848224"/>
        <c:scaling>
          <c:orientation val="minMax"/>
          <c:max val="30000"/>
        </c:scaling>
        <c:delete val="0"/>
        <c:axPos val="l"/>
        <c:numFmt formatCode="#,##0;\(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841984"/>
        <c:crosses val="autoZero"/>
        <c:crossBetween val="between"/>
      </c:valAx>
      <c:valAx>
        <c:axId val="575837184"/>
        <c:scaling>
          <c:orientation val="minMax"/>
          <c:max val="0.5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838144"/>
        <c:crosses val="max"/>
        <c:crossBetween val="between"/>
      </c:valAx>
      <c:catAx>
        <c:axId val="575838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83718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Projections!$U$14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Projections!$P$15:$P$18</c:f>
              <c:strCache>
                <c:ptCount val="4"/>
                <c:pt idx="0">
                  <c:v>Discounted Cash Flow</c:v>
                </c:pt>
                <c:pt idx="1">
                  <c:v>Trading Multiples</c:v>
                </c:pt>
                <c:pt idx="2">
                  <c:v>Earnings Power Value</c:v>
                </c:pt>
                <c:pt idx="3">
                  <c:v>Dividend Discount Model</c:v>
                </c:pt>
              </c:strCache>
            </c:strRef>
          </c:cat>
          <c:val>
            <c:numRef>
              <c:f>Projections!$U$15:$U$18</c:f>
              <c:numCache>
                <c:formatCode>#,##0;\(#,##0\);"-"</c:formatCode>
                <c:ptCount val="4"/>
                <c:pt idx="0">
                  <c:v>297.57682325047381</c:v>
                </c:pt>
                <c:pt idx="1">
                  <c:v>311.76183178509501</c:v>
                </c:pt>
                <c:pt idx="2">
                  <c:v>181.93268520161146</c:v>
                </c:pt>
                <c:pt idx="3">
                  <c:v>255.01945751229189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6-4392-8ACF-65365F6886F2}"/>
            </c:ext>
          </c:extLst>
        </c:ser>
        <c:ser>
          <c:idx val="1"/>
          <c:order val="1"/>
          <c:tx>
            <c:strRef>
              <c:f>Projections!$V$14</c:f>
              <c:strCache>
                <c:ptCount val="1"/>
                <c:pt idx="0">
                  <c:v>Delta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D56-4392-8ACF-65365F6886F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D56-4392-8ACF-65365F6886F2}"/>
              </c:ext>
            </c:extLst>
          </c:dPt>
          <c:cat>
            <c:strRef>
              <c:f>Projections!$P$15:$P$18</c:f>
              <c:strCache>
                <c:ptCount val="4"/>
                <c:pt idx="0">
                  <c:v>Discounted Cash Flow</c:v>
                </c:pt>
                <c:pt idx="1">
                  <c:v>Trading Multiples</c:v>
                </c:pt>
                <c:pt idx="2">
                  <c:v>Earnings Power Value</c:v>
                </c:pt>
                <c:pt idx="3">
                  <c:v>Dividend Discount Model</c:v>
                </c:pt>
              </c:strCache>
            </c:strRef>
          </c:cat>
          <c:val>
            <c:numRef>
              <c:f>Projections!$V$15:$V$18</c:f>
              <c:numCache>
                <c:formatCode>#,##0;\(#,##0\);"-"</c:formatCode>
                <c:ptCount val="4"/>
                <c:pt idx="0">
                  <c:v>339.83502050718027</c:v>
                </c:pt>
                <c:pt idx="1">
                  <c:v>69.895549412418575</c:v>
                </c:pt>
                <c:pt idx="2">
                  <c:v>63.306923879252651</c:v>
                </c:pt>
                <c:pt idx="3">
                  <c:v>227.60074323287731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56-4392-8ACF-65365F6886F2}"/>
            </c:ext>
          </c:extLst>
        </c:ser>
        <c:ser>
          <c:idx val="2"/>
          <c:order val="2"/>
          <c:tx>
            <c:strRef>
              <c:f>Projections!$W$14</c:f>
              <c:strCache>
                <c:ptCount val="1"/>
                <c:pt idx="0">
                  <c:v>High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Projections!$P$15:$P$18</c:f>
              <c:strCache>
                <c:ptCount val="4"/>
                <c:pt idx="0">
                  <c:v>Discounted Cash Flow</c:v>
                </c:pt>
                <c:pt idx="1">
                  <c:v>Trading Multiples</c:v>
                </c:pt>
                <c:pt idx="2">
                  <c:v>Earnings Power Value</c:v>
                </c:pt>
                <c:pt idx="3">
                  <c:v>Dividend Discount Model</c:v>
                </c:pt>
              </c:strCache>
            </c:strRef>
          </c:cat>
          <c:val>
            <c:numRef>
              <c:f>Projections!$W$15:$W$18</c:f>
              <c:numCache>
                <c:formatCode>#,##0;\(#,##0\);"-"</c:formatCode>
                <c:ptCount val="4"/>
                <c:pt idx="0">
                  <c:v>637.41184375765408</c:v>
                </c:pt>
                <c:pt idx="1">
                  <c:v>381.65738119751359</c:v>
                </c:pt>
                <c:pt idx="2">
                  <c:v>245.23960908086411</c:v>
                </c:pt>
                <c:pt idx="3">
                  <c:v>482.6202007451692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56-4392-8ACF-65365F688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032126192"/>
        <c:axId val="1032124272"/>
      </c:barChart>
      <c:catAx>
        <c:axId val="1032126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124272"/>
        <c:crosses val="autoZero"/>
        <c:auto val="1"/>
        <c:lblAlgn val="ctr"/>
        <c:lblOffset val="100"/>
        <c:noMultiLvlLbl val="0"/>
      </c:catAx>
      <c:valAx>
        <c:axId val="1032124272"/>
        <c:scaling>
          <c:orientation val="minMax"/>
          <c:max val="700"/>
        </c:scaling>
        <c:delete val="0"/>
        <c:axPos val="b"/>
        <c:numFmt formatCode="#,##0;\(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12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025012028875729"/>
          <c:y val="4.31336454476096E-2"/>
          <c:w val="0.67008401871818912"/>
          <c:h val="0.784608112151183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Projections!$P$33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A843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Projections!$S$27:$W$27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Projections!$S$33:$W$33</c:f>
              <c:numCache>
                <c:formatCode>#,##0;\(#,##0\);"-"</c:formatCode>
                <c:ptCount val="5"/>
                <c:pt idx="0">
                  <c:v>167892.28919756314</c:v>
                </c:pt>
                <c:pt idx="1">
                  <c:v>171250.13498151439</c:v>
                </c:pt>
                <c:pt idx="2">
                  <c:v>175648.40927559391</c:v>
                </c:pt>
                <c:pt idx="3">
                  <c:v>182419.52371871952</c:v>
                </c:pt>
                <c:pt idx="4">
                  <c:v>190703.75422590965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5-4572-952C-C8D3CCCC8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92658288"/>
        <c:axId val="109265876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Projections!$P$34</c15:sqref>
                        </c15:formulaRef>
                      </c:ext>
                    </c:extLst>
                    <c:strCache>
                      <c:ptCount val="1"/>
                      <c:pt idx="0">
                        <c:v>Cost of Goods Sold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Projections!$S$27:$W$27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2026</c:v>
                      </c:pt>
                      <c:pt idx="1">
                        <c:v>2027</c:v>
                      </c:pt>
                      <c:pt idx="2">
                        <c:v>2028</c:v>
                      </c:pt>
                      <c:pt idx="3">
                        <c:v>2029</c:v>
                      </c:pt>
                      <c:pt idx="4">
                        <c:v>2030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Projections!$S$34:$W$34</c15:sqref>
                        </c15:formulaRef>
                      </c:ext>
                    </c:extLst>
                    <c:numCache>
                      <c:formatCode>#,##0;\(#,##0\);"-"</c:formatCode>
                      <c:ptCount val="5"/>
                      <c:pt idx="0">
                        <c:v>-109548.66091494203</c:v>
                      </c:pt>
                      <c:pt idx="1">
                        <c:v>-109504.84145057604</c:v>
                      </c:pt>
                      <c:pt idx="2">
                        <c:v>-110070.94497548358</c:v>
                      </c:pt>
                      <c:pt idx="3">
                        <c:v>-112027.81540519945</c:v>
                      </c:pt>
                      <c:pt idx="4">
                        <c:v>-114773.03552372042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B15-4572-952C-C8D3CCCC8D2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Projections!$P$35</c15:sqref>
                        </c15:formulaRef>
                      </c:ext>
                    </c:extLst>
                    <c:strCache>
                      <c:ptCount val="1"/>
                      <c:pt idx="0">
                        <c:v>SG&amp;A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Projections!$S$27:$W$27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2026</c:v>
                      </c:pt>
                      <c:pt idx="1">
                        <c:v>2027</c:v>
                      </c:pt>
                      <c:pt idx="2">
                        <c:v>2028</c:v>
                      </c:pt>
                      <c:pt idx="3">
                        <c:v>2029</c:v>
                      </c:pt>
                      <c:pt idx="4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Projections!$S$35:$W$35</c15:sqref>
                        </c15:formulaRef>
                      </c:ext>
                    </c:extLst>
                    <c:numCache>
                      <c:formatCode>#,##0;\(#,##0\);"-"</c:formatCode>
                      <c:ptCount val="5"/>
                      <c:pt idx="0">
                        <c:v>-30257.955601712354</c:v>
                      </c:pt>
                      <c:pt idx="1">
                        <c:v>-30863.1147137466</c:v>
                      </c:pt>
                      <c:pt idx="2">
                        <c:v>-31655.78237555809</c:v>
                      </c:pt>
                      <c:pt idx="3">
                        <c:v>-32876.089044634005</c:v>
                      </c:pt>
                      <c:pt idx="4">
                        <c:v>-34369.093161016906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B15-4572-952C-C8D3CCCC8D2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Projections!$P$36</c15:sqref>
                        </c15:formulaRef>
                      </c:ext>
                    </c:extLst>
                    <c:strCache>
                      <c:ptCount val="1"/>
                      <c:pt idx="0">
                        <c:v>Net Interest Income/Expenses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Projections!$S$27:$W$27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2026</c:v>
                      </c:pt>
                      <c:pt idx="1">
                        <c:v>2027</c:v>
                      </c:pt>
                      <c:pt idx="2">
                        <c:v>2028</c:v>
                      </c:pt>
                      <c:pt idx="3">
                        <c:v>2029</c:v>
                      </c:pt>
                      <c:pt idx="4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Projections!$S$36:$W$36</c15:sqref>
                        </c15:formulaRef>
                      </c:ext>
                    </c:extLst>
                    <c:numCache>
                      <c:formatCode>#,##0;\(#,##0\);"-"</c:formatCode>
                      <c:ptCount val="5"/>
                      <c:pt idx="0">
                        <c:v>-2231.3505591912549</c:v>
                      </c:pt>
                      <c:pt idx="1">
                        <c:v>-2275.9775703750802</c:v>
                      </c:pt>
                      <c:pt idx="2">
                        <c:v>-2334.4322608940852</c:v>
                      </c:pt>
                      <c:pt idx="3">
                        <c:v>-2424.4228737520557</c:v>
                      </c:pt>
                      <c:pt idx="4">
                        <c:v>-2534.5233581938169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B15-4572-952C-C8D3CCCC8D2F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Projections!$P$37</c15:sqref>
                        </c15:formulaRef>
                      </c:ext>
                    </c:extLst>
                    <c:strCache>
                      <c:ptCount val="1"/>
                      <c:pt idx="0">
                        <c:v>Other Income/Expenses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Projections!$S$27:$W$27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2026</c:v>
                      </c:pt>
                      <c:pt idx="1">
                        <c:v>2027</c:v>
                      </c:pt>
                      <c:pt idx="2">
                        <c:v>2028</c:v>
                      </c:pt>
                      <c:pt idx="3">
                        <c:v>2029</c:v>
                      </c:pt>
                      <c:pt idx="4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Projections!$S$37:$W$37</c15:sqref>
                        </c15:formulaRef>
                      </c:ext>
                    </c:extLst>
                    <c:numCache>
                      <c:formatCode>#,##0;\(#,##0\);"-"</c:formatCode>
                      <c:ptCount val="5"/>
                      <c:pt idx="0">
                        <c:v>-3193.3573568803149</c:v>
                      </c:pt>
                      <c:pt idx="1">
                        <c:v>-3257.2245040179209</c:v>
                      </c:pt>
                      <c:pt idx="2">
                        <c:v>-3340.8808865814403</c:v>
                      </c:pt>
                      <c:pt idx="3">
                        <c:v>-3469.6693391338376</c:v>
                      </c:pt>
                      <c:pt idx="4">
                        <c:v>-3627.2376739434148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B15-4572-952C-C8D3CCCC8D2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Projections!$P$38</c15:sqref>
                        </c15:formulaRef>
                      </c:ext>
                    </c:extLst>
                    <c:strCache>
                      <c:ptCount val="1"/>
                      <c:pt idx="0">
                        <c:v>Tax Expenses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Projections!$S$27:$W$27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2026</c:v>
                      </c:pt>
                      <c:pt idx="1">
                        <c:v>2027</c:v>
                      </c:pt>
                      <c:pt idx="2">
                        <c:v>2028</c:v>
                      </c:pt>
                      <c:pt idx="3">
                        <c:v>2029</c:v>
                      </c:pt>
                      <c:pt idx="4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Projections!$S$38:$W$38</c15:sqref>
                        </c15:formulaRef>
                      </c:ext>
                    </c:extLst>
                    <c:numCache>
                      <c:formatCode>#,##0;\(#,##0\);"-"</c:formatCode>
                      <c:ptCount val="5"/>
                      <c:pt idx="0">
                        <c:v>-5437.7671421745927</c:v>
                      </c:pt>
                      <c:pt idx="1">
                        <c:v>-6082.7874828006825</c:v>
                      </c:pt>
                      <c:pt idx="2">
                        <c:v>-6778.0510501507606</c:v>
                      </c:pt>
                      <c:pt idx="3">
                        <c:v>-7587.960291845855</c:v>
                      </c:pt>
                      <c:pt idx="4">
                        <c:v>-8494.6171560779367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B15-4572-952C-C8D3CCCC8D2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Projections!$P$29</c:f>
              <c:strCache>
                <c:ptCount val="1"/>
                <c:pt idx="0">
                  <c:v>Revenue Growth (%)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Projections!$S$27:$W$27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Projections!$S$29:$W$29</c:f>
              <c:numCache>
                <c:formatCode>_(#,##0%_);\(#,##0%\);_("–"_);_(@_)</c:formatCode>
                <c:ptCount val="5"/>
                <c:pt idx="0" formatCode="0%">
                  <c:v>5.2523848675120277E-2</c:v>
                </c:pt>
                <c:pt idx="1">
                  <c:v>2.0000000000000018E-2</c:v>
                </c:pt>
                <c:pt idx="2">
                  <c:v>2.568333329812722E-2</c:v>
                </c:pt>
                <c:pt idx="3">
                  <c:v>3.8549250010580405E-2</c:v>
                </c:pt>
                <c:pt idx="4">
                  <c:v>4.541306949120183E-2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15-4572-952C-C8D3CCCC8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1443424"/>
        <c:axId val="1091444384"/>
      </c:lineChart>
      <c:catAx>
        <c:axId val="109265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58768"/>
        <c:crosses val="autoZero"/>
        <c:auto val="1"/>
        <c:lblAlgn val="ctr"/>
        <c:lblOffset val="100"/>
        <c:noMultiLvlLbl val="0"/>
      </c:catAx>
      <c:valAx>
        <c:axId val="109265876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($) Thousands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(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58288"/>
        <c:crosses val="autoZero"/>
        <c:crossBetween val="between"/>
      </c:valAx>
      <c:valAx>
        <c:axId val="1091444384"/>
        <c:scaling>
          <c:orientation val="minMax"/>
          <c:max val="0.25"/>
        </c:scaling>
        <c:delete val="0"/>
        <c:axPos val="r"/>
        <c:numFmt formatCode="0%" sourceLinked="1"/>
        <c:majorTickMark val="out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443424"/>
        <c:crosses val="max"/>
        <c:crossBetween val="between"/>
      </c:valAx>
      <c:catAx>
        <c:axId val="109144342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091444384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984381456370631"/>
          <c:y val="0.11263224877141279"/>
          <c:w val="0.80015618543629374"/>
          <c:h val="0.72267268342254098"/>
        </c:manualLayout>
      </c:layout>
      <c:lineChart>
        <c:grouping val="standard"/>
        <c:varyColors val="0"/>
        <c:ser>
          <c:idx val="0"/>
          <c:order val="0"/>
          <c:tx>
            <c:strRef>
              <c:f>Projections!$P$39</c:f>
              <c:strCache>
                <c:ptCount val="1"/>
                <c:pt idx="0">
                  <c:v>Net Income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numRef>
              <c:f>Projections!$S$27:$W$27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Projections!$S$39:$W$39</c:f>
              <c:numCache>
                <c:formatCode>#,##0;\(#,##0\);"-"</c:formatCode>
                <c:ptCount val="5"/>
                <c:pt idx="0">
                  <c:v>17223.197622662592</c:v>
                </c:pt>
                <c:pt idx="1">
                  <c:v>19266.18925999806</c:v>
                </c:pt>
                <c:pt idx="2">
                  <c:v>21468.31772692595</c:v>
                </c:pt>
                <c:pt idx="3">
                  <c:v>24033.566764154315</c:v>
                </c:pt>
                <c:pt idx="4">
                  <c:v>26905.247352957154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0B-47F5-B85D-03AF14ECAE75}"/>
            </c:ext>
          </c:extLst>
        </c:ser>
        <c:ser>
          <c:idx val="1"/>
          <c:order val="1"/>
          <c:tx>
            <c:strRef>
              <c:f>Projections!$P$41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rgbClr val="EA843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numRef>
              <c:f>Projections!$S$27:$W$27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Projections!$S$41:$W$41</c:f>
              <c:numCache>
                <c:formatCode>#,##0;\(#,##0\);"-"</c:formatCode>
                <c:ptCount val="5"/>
                <c:pt idx="0">
                  <c:v>22142</c:v>
                </c:pt>
                <c:pt idx="1">
                  <c:v>33180</c:v>
                </c:pt>
                <c:pt idx="2">
                  <c:v>43194</c:v>
                </c:pt>
                <c:pt idx="3">
                  <c:v>57358</c:v>
                </c:pt>
                <c:pt idx="4">
                  <c:v>52050.653549403178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0B-47F5-B85D-03AF14ECAE75}"/>
            </c:ext>
          </c:extLst>
        </c:ser>
        <c:ser>
          <c:idx val="2"/>
          <c:order val="2"/>
          <c:tx>
            <c:strRef>
              <c:f>Projections!$P$42</c:f>
              <c:strCache>
                <c:ptCount val="1"/>
                <c:pt idx="0">
                  <c:v>FCFF</c:v>
                </c:pt>
              </c:strCache>
            </c:strRef>
          </c:tx>
          <c:spPr>
            <a:ln w="28575" cap="rnd">
              <a:solidFill>
                <a:srgbClr val="D4D4D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numRef>
              <c:f>Projections!$S$27:$W$27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Projections!$S$42:$W$42</c:f>
              <c:numCache>
                <c:formatCode>#,##0;\(#,##0\);"-"</c:formatCode>
                <c:ptCount val="5"/>
                <c:pt idx="0">
                  <c:v>13876</c:v>
                </c:pt>
                <c:pt idx="1">
                  <c:v>17748.438000000002</c:v>
                </c:pt>
                <c:pt idx="2">
                  <c:v>24095.797999999995</c:v>
                </c:pt>
                <c:pt idx="3">
                  <c:v>25214.521999999997</c:v>
                </c:pt>
                <c:pt idx="4">
                  <c:v>20613.91861976662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0B-47F5-B85D-03AF14ECA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592816"/>
        <c:axId val="627598576"/>
      </c:lineChart>
      <c:catAx>
        <c:axId val="62759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598576"/>
        <c:crosses val="autoZero"/>
        <c:auto val="1"/>
        <c:lblAlgn val="ctr"/>
        <c:lblOffset val="100"/>
        <c:noMultiLvlLbl val="0"/>
      </c:catAx>
      <c:valAx>
        <c:axId val="627598576"/>
        <c:scaling>
          <c:orientation val="minMax"/>
          <c:max val="7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/>
                  <a:t>($) Thousands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(#,##0\);&quot;-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59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326462256188958E-2"/>
          <c:y val="4.4149508258444964E-2"/>
          <c:w val="0.83418794727926093"/>
          <c:h val="0.82490722185408683"/>
        </c:manualLayout>
      </c:layout>
      <c:lineChart>
        <c:grouping val="stacked"/>
        <c:varyColors val="0"/>
        <c:ser>
          <c:idx val="0"/>
          <c:order val="0"/>
          <c:tx>
            <c:strRef>
              <c:f>Appendix!$C$26</c:f>
              <c:strCache>
                <c:ptCount val="1"/>
                <c:pt idx="0">
                  <c:v>The Home Depot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Appendix!$B$27:$B$277</c:f>
              <c:numCache>
                <c:formatCode>mmm\-yy</c:formatCode>
                <c:ptCount val="251"/>
                <c:pt idx="0">
                  <c:v>45674</c:v>
                </c:pt>
                <c:pt idx="1">
                  <c:v>45678</c:v>
                </c:pt>
                <c:pt idx="2">
                  <c:v>45679</c:v>
                </c:pt>
                <c:pt idx="3">
                  <c:v>45680</c:v>
                </c:pt>
                <c:pt idx="4">
                  <c:v>45681</c:v>
                </c:pt>
                <c:pt idx="5">
                  <c:v>45684</c:v>
                </c:pt>
                <c:pt idx="6">
                  <c:v>45685</c:v>
                </c:pt>
                <c:pt idx="7">
                  <c:v>45686</c:v>
                </c:pt>
                <c:pt idx="8">
                  <c:v>45687</c:v>
                </c:pt>
                <c:pt idx="9">
                  <c:v>45688</c:v>
                </c:pt>
                <c:pt idx="10">
                  <c:v>45691</c:v>
                </c:pt>
                <c:pt idx="11">
                  <c:v>45692</c:v>
                </c:pt>
                <c:pt idx="12">
                  <c:v>45693</c:v>
                </c:pt>
                <c:pt idx="13">
                  <c:v>45694</c:v>
                </c:pt>
                <c:pt idx="14">
                  <c:v>45695</c:v>
                </c:pt>
                <c:pt idx="15">
                  <c:v>45698</c:v>
                </c:pt>
                <c:pt idx="16">
                  <c:v>45699</c:v>
                </c:pt>
                <c:pt idx="17">
                  <c:v>45700</c:v>
                </c:pt>
                <c:pt idx="18">
                  <c:v>45701</c:v>
                </c:pt>
                <c:pt idx="19">
                  <c:v>45702</c:v>
                </c:pt>
                <c:pt idx="20">
                  <c:v>45706</c:v>
                </c:pt>
                <c:pt idx="21">
                  <c:v>45707</c:v>
                </c:pt>
                <c:pt idx="22">
                  <c:v>45708</c:v>
                </c:pt>
                <c:pt idx="23">
                  <c:v>45709</c:v>
                </c:pt>
                <c:pt idx="24">
                  <c:v>45712</c:v>
                </c:pt>
                <c:pt idx="25">
                  <c:v>45713</c:v>
                </c:pt>
                <c:pt idx="26">
                  <c:v>45714</c:v>
                </c:pt>
                <c:pt idx="27">
                  <c:v>45715</c:v>
                </c:pt>
                <c:pt idx="28">
                  <c:v>45716</c:v>
                </c:pt>
                <c:pt idx="29">
                  <c:v>45719</c:v>
                </c:pt>
                <c:pt idx="30">
                  <c:v>45720</c:v>
                </c:pt>
                <c:pt idx="31">
                  <c:v>45721</c:v>
                </c:pt>
                <c:pt idx="32">
                  <c:v>45722</c:v>
                </c:pt>
                <c:pt idx="33">
                  <c:v>45723</c:v>
                </c:pt>
                <c:pt idx="34">
                  <c:v>45726</c:v>
                </c:pt>
                <c:pt idx="35">
                  <c:v>45727</c:v>
                </c:pt>
                <c:pt idx="36">
                  <c:v>45728</c:v>
                </c:pt>
                <c:pt idx="37">
                  <c:v>45729</c:v>
                </c:pt>
                <c:pt idx="38">
                  <c:v>45730</c:v>
                </c:pt>
                <c:pt idx="39">
                  <c:v>45733</c:v>
                </c:pt>
                <c:pt idx="40">
                  <c:v>45734</c:v>
                </c:pt>
                <c:pt idx="41">
                  <c:v>45735</c:v>
                </c:pt>
                <c:pt idx="42">
                  <c:v>45736</c:v>
                </c:pt>
                <c:pt idx="43">
                  <c:v>45737</c:v>
                </c:pt>
                <c:pt idx="44">
                  <c:v>45740</c:v>
                </c:pt>
                <c:pt idx="45">
                  <c:v>45741</c:v>
                </c:pt>
                <c:pt idx="46">
                  <c:v>45742</c:v>
                </c:pt>
                <c:pt idx="47">
                  <c:v>45743</c:v>
                </c:pt>
                <c:pt idx="48">
                  <c:v>45744</c:v>
                </c:pt>
                <c:pt idx="49">
                  <c:v>45747</c:v>
                </c:pt>
                <c:pt idx="50">
                  <c:v>45748</c:v>
                </c:pt>
                <c:pt idx="51">
                  <c:v>45749</c:v>
                </c:pt>
                <c:pt idx="52">
                  <c:v>45750</c:v>
                </c:pt>
                <c:pt idx="53">
                  <c:v>45751</c:v>
                </c:pt>
                <c:pt idx="54">
                  <c:v>45754</c:v>
                </c:pt>
                <c:pt idx="55">
                  <c:v>45755</c:v>
                </c:pt>
                <c:pt idx="56">
                  <c:v>45756</c:v>
                </c:pt>
                <c:pt idx="57">
                  <c:v>45757</c:v>
                </c:pt>
                <c:pt idx="58">
                  <c:v>45758</c:v>
                </c:pt>
                <c:pt idx="59">
                  <c:v>45761</c:v>
                </c:pt>
                <c:pt idx="60">
                  <c:v>45762</c:v>
                </c:pt>
                <c:pt idx="61">
                  <c:v>45763</c:v>
                </c:pt>
                <c:pt idx="62">
                  <c:v>45764</c:v>
                </c:pt>
                <c:pt idx="63">
                  <c:v>45768</c:v>
                </c:pt>
                <c:pt idx="64">
                  <c:v>45769</c:v>
                </c:pt>
                <c:pt idx="65">
                  <c:v>45770</c:v>
                </c:pt>
                <c:pt idx="66">
                  <c:v>45771</c:v>
                </c:pt>
                <c:pt idx="67">
                  <c:v>45772</c:v>
                </c:pt>
                <c:pt idx="68">
                  <c:v>45775</c:v>
                </c:pt>
                <c:pt idx="69">
                  <c:v>45776</c:v>
                </c:pt>
                <c:pt idx="70">
                  <c:v>45777</c:v>
                </c:pt>
                <c:pt idx="71">
                  <c:v>45778</c:v>
                </c:pt>
                <c:pt idx="72">
                  <c:v>45779</c:v>
                </c:pt>
                <c:pt idx="73">
                  <c:v>45782</c:v>
                </c:pt>
                <c:pt idx="74">
                  <c:v>45783</c:v>
                </c:pt>
                <c:pt idx="75">
                  <c:v>45784</c:v>
                </c:pt>
                <c:pt idx="76">
                  <c:v>45785</c:v>
                </c:pt>
                <c:pt idx="77">
                  <c:v>45786</c:v>
                </c:pt>
                <c:pt idx="78">
                  <c:v>45789</c:v>
                </c:pt>
                <c:pt idx="79">
                  <c:v>45790</c:v>
                </c:pt>
                <c:pt idx="80">
                  <c:v>45791</c:v>
                </c:pt>
                <c:pt idx="81">
                  <c:v>45792</c:v>
                </c:pt>
                <c:pt idx="82">
                  <c:v>45793</c:v>
                </c:pt>
                <c:pt idx="83">
                  <c:v>45796</c:v>
                </c:pt>
                <c:pt idx="84">
                  <c:v>45797</c:v>
                </c:pt>
                <c:pt idx="85">
                  <c:v>45798</c:v>
                </c:pt>
                <c:pt idx="86">
                  <c:v>45799</c:v>
                </c:pt>
                <c:pt idx="87">
                  <c:v>45800</c:v>
                </c:pt>
                <c:pt idx="88">
                  <c:v>45804</c:v>
                </c:pt>
                <c:pt idx="89">
                  <c:v>45805</c:v>
                </c:pt>
                <c:pt idx="90">
                  <c:v>45806</c:v>
                </c:pt>
                <c:pt idx="91">
                  <c:v>45807</c:v>
                </c:pt>
                <c:pt idx="92">
                  <c:v>45810</c:v>
                </c:pt>
                <c:pt idx="93">
                  <c:v>45811</c:v>
                </c:pt>
                <c:pt idx="94">
                  <c:v>45812</c:v>
                </c:pt>
                <c:pt idx="95">
                  <c:v>45813</c:v>
                </c:pt>
                <c:pt idx="96">
                  <c:v>45814</c:v>
                </c:pt>
                <c:pt idx="97">
                  <c:v>45817</c:v>
                </c:pt>
                <c:pt idx="98">
                  <c:v>45818</c:v>
                </c:pt>
                <c:pt idx="99">
                  <c:v>45819</c:v>
                </c:pt>
                <c:pt idx="100">
                  <c:v>45820</c:v>
                </c:pt>
                <c:pt idx="101">
                  <c:v>45821</c:v>
                </c:pt>
                <c:pt idx="102">
                  <c:v>45824</c:v>
                </c:pt>
                <c:pt idx="103">
                  <c:v>45825</c:v>
                </c:pt>
                <c:pt idx="104">
                  <c:v>45826</c:v>
                </c:pt>
                <c:pt idx="105">
                  <c:v>45828</c:v>
                </c:pt>
                <c:pt idx="106">
                  <c:v>45831</c:v>
                </c:pt>
                <c:pt idx="107">
                  <c:v>45832</c:v>
                </c:pt>
                <c:pt idx="108">
                  <c:v>45833</c:v>
                </c:pt>
                <c:pt idx="109">
                  <c:v>45834</c:v>
                </c:pt>
                <c:pt idx="110">
                  <c:v>45835</c:v>
                </c:pt>
                <c:pt idx="111">
                  <c:v>45838</c:v>
                </c:pt>
                <c:pt idx="112">
                  <c:v>45839</c:v>
                </c:pt>
                <c:pt idx="113">
                  <c:v>45840</c:v>
                </c:pt>
                <c:pt idx="114">
                  <c:v>45841</c:v>
                </c:pt>
                <c:pt idx="115">
                  <c:v>45845</c:v>
                </c:pt>
                <c:pt idx="116">
                  <c:v>45846</c:v>
                </c:pt>
                <c:pt idx="117">
                  <c:v>45847</c:v>
                </c:pt>
                <c:pt idx="118">
                  <c:v>45848</c:v>
                </c:pt>
                <c:pt idx="119">
                  <c:v>45849</c:v>
                </c:pt>
                <c:pt idx="120">
                  <c:v>45852</c:v>
                </c:pt>
                <c:pt idx="121">
                  <c:v>45853</c:v>
                </c:pt>
                <c:pt idx="122">
                  <c:v>45854</c:v>
                </c:pt>
                <c:pt idx="123">
                  <c:v>45855</c:v>
                </c:pt>
                <c:pt idx="124">
                  <c:v>45856</c:v>
                </c:pt>
                <c:pt idx="125">
                  <c:v>45859</c:v>
                </c:pt>
                <c:pt idx="126">
                  <c:v>45860</c:v>
                </c:pt>
                <c:pt idx="127">
                  <c:v>45861</c:v>
                </c:pt>
                <c:pt idx="128">
                  <c:v>45862</c:v>
                </c:pt>
                <c:pt idx="129">
                  <c:v>45863</c:v>
                </c:pt>
                <c:pt idx="130">
                  <c:v>45866</c:v>
                </c:pt>
                <c:pt idx="131">
                  <c:v>45867</c:v>
                </c:pt>
                <c:pt idx="132">
                  <c:v>45868</c:v>
                </c:pt>
                <c:pt idx="133">
                  <c:v>45869</c:v>
                </c:pt>
                <c:pt idx="134">
                  <c:v>45870</c:v>
                </c:pt>
                <c:pt idx="135">
                  <c:v>45873</c:v>
                </c:pt>
                <c:pt idx="136">
                  <c:v>45874</c:v>
                </c:pt>
                <c:pt idx="137">
                  <c:v>45875</c:v>
                </c:pt>
                <c:pt idx="138">
                  <c:v>45876</c:v>
                </c:pt>
                <c:pt idx="139">
                  <c:v>45877</c:v>
                </c:pt>
                <c:pt idx="140">
                  <c:v>45880</c:v>
                </c:pt>
                <c:pt idx="141">
                  <c:v>45881</c:v>
                </c:pt>
                <c:pt idx="142">
                  <c:v>45882</c:v>
                </c:pt>
                <c:pt idx="143">
                  <c:v>45883</c:v>
                </c:pt>
                <c:pt idx="144">
                  <c:v>45884</c:v>
                </c:pt>
                <c:pt idx="145">
                  <c:v>45887</c:v>
                </c:pt>
                <c:pt idx="146">
                  <c:v>45888</c:v>
                </c:pt>
                <c:pt idx="147">
                  <c:v>45889</c:v>
                </c:pt>
                <c:pt idx="148">
                  <c:v>45890</c:v>
                </c:pt>
                <c:pt idx="149">
                  <c:v>45891</c:v>
                </c:pt>
                <c:pt idx="150">
                  <c:v>45894</c:v>
                </c:pt>
                <c:pt idx="151">
                  <c:v>45895</c:v>
                </c:pt>
                <c:pt idx="152">
                  <c:v>45896</c:v>
                </c:pt>
                <c:pt idx="153">
                  <c:v>45897</c:v>
                </c:pt>
                <c:pt idx="154">
                  <c:v>45898</c:v>
                </c:pt>
                <c:pt idx="155">
                  <c:v>45902</c:v>
                </c:pt>
                <c:pt idx="156">
                  <c:v>45903</c:v>
                </c:pt>
                <c:pt idx="157">
                  <c:v>45904</c:v>
                </c:pt>
                <c:pt idx="158">
                  <c:v>45905</c:v>
                </c:pt>
                <c:pt idx="159">
                  <c:v>45908</c:v>
                </c:pt>
                <c:pt idx="160">
                  <c:v>45909</c:v>
                </c:pt>
                <c:pt idx="161">
                  <c:v>45910</c:v>
                </c:pt>
                <c:pt idx="162">
                  <c:v>45911</c:v>
                </c:pt>
                <c:pt idx="163">
                  <c:v>45912</c:v>
                </c:pt>
                <c:pt idx="164">
                  <c:v>45915</c:v>
                </c:pt>
                <c:pt idx="165">
                  <c:v>45916</c:v>
                </c:pt>
                <c:pt idx="166">
                  <c:v>45917</c:v>
                </c:pt>
                <c:pt idx="167">
                  <c:v>45918</c:v>
                </c:pt>
                <c:pt idx="168">
                  <c:v>45919</c:v>
                </c:pt>
                <c:pt idx="169">
                  <c:v>45922</c:v>
                </c:pt>
                <c:pt idx="170">
                  <c:v>45923</c:v>
                </c:pt>
                <c:pt idx="171">
                  <c:v>45924</c:v>
                </c:pt>
                <c:pt idx="172">
                  <c:v>45925</c:v>
                </c:pt>
                <c:pt idx="173">
                  <c:v>45926</c:v>
                </c:pt>
                <c:pt idx="174">
                  <c:v>45929</c:v>
                </c:pt>
                <c:pt idx="175">
                  <c:v>45930</c:v>
                </c:pt>
                <c:pt idx="176">
                  <c:v>45931</c:v>
                </c:pt>
                <c:pt idx="177">
                  <c:v>45932</c:v>
                </c:pt>
                <c:pt idx="178">
                  <c:v>45933</c:v>
                </c:pt>
                <c:pt idx="179">
                  <c:v>45936</c:v>
                </c:pt>
                <c:pt idx="180">
                  <c:v>45937</c:v>
                </c:pt>
                <c:pt idx="181">
                  <c:v>45938</c:v>
                </c:pt>
                <c:pt idx="182">
                  <c:v>45939</c:v>
                </c:pt>
                <c:pt idx="183">
                  <c:v>45940</c:v>
                </c:pt>
                <c:pt idx="184">
                  <c:v>45943</c:v>
                </c:pt>
                <c:pt idx="185">
                  <c:v>45944</c:v>
                </c:pt>
                <c:pt idx="186">
                  <c:v>45945</c:v>
                </c:pt>
                <c:pt idx="187">
                  <c:v>45946</c:v>
                </c:pt>
                <c:pt idx="188">
                  <c:v>45947</c:v>
                </c:pt>
                <c:pt idx="189">
                  <c:v>45950</c:v>
                </c:pt>
                <c:pt idx="190">
                  <c:v>45951</c:v>
                </c:pt>
                <c:pt idx="191">
                  <c:v>45952</c:v>
                </c:pt>
                <c:pt idx="192">
                  <c:v>45953</c:v>
                </c:pt>
                <c:pt idx="193">
                  <c:v>45954</c:v>
                </c:pt>
                <c:pt idx="194">
                  <c:v>45957</c:v>
                </c:pt>
                <c:pt idx="195">
                  <c:v>45958</c:v>
                </c:pt>
                <c:pt idx="196">
                  <c:v>45959</c:v>
                </c:pt>
                <c:pt idx="197">
                  <c:v>45960</c:v>
                </c:pt>
                <c:pt idx="198">
                  <c:v>45961</c:v>
                </c:pt>
                <c:pt idx="199">
                  <c:v>45964</c:v>
                </c:pt>
                <c:pt idx="200">
                  <c:v>45965</c:v>
                </c:pt>
                <c:pt idx="201">
                  <c:v>45966</c:v>
                </c:pt>
                <c:pt idx="202">
                  <c:v>45967</c:v>
                </c:pt>
                <c:pt idx="203">
                  <c:v>45968</c:v>
                </c:pt>
                <c:pt idx="204">
                  <c:v>45971</c:v>
                </c:pt>
                <c:pt idx="205">
                  <c:v>45972</c:v>
                </c:pt>
                <c:pt idx="206">
                  <c:v>45973</c:v>
                </c:pt>
                <c:pt idx="207">
                  <c:v>45974</c:v>
                </c:pt>
                <c:pt idx="208">
                  <c:v>45975</c:v>
                </c:pt>
                <c:pt idx="209">
                  <c:v>45978</c:v>
                </c:pt>
                <c:pt idx="210">
                  <c:v>45979</c:v>
                </c:pt>
                <c:pt idx="211">
                  <c:v>45980</c:v>
                </c:pt>
                <c:pt idx="212">
                  <c:v>45981</c:v>
                </c:pt>
                <c:pt idx="213">
                  <c:v>45982</c:v>
                </c:pt>
                <c:pt idx="214">
                  <c:v>45985</c:v>
                </c:pt>
                <c:pt idx="215">
                  <c:v>45986</c:v>
                </c:pt>
                <c:pt idx="216">
                  <c:v>45987</c:v>
                </c:pt>
                <c:pt idx="217">
                  <c:v>45989</c:v>
                </c:pt>
                <c:pt idx="218">
                  <c:v>45992</c:v>
                </c:pt>
                <c:pt idx="219">
                  <c:v>45993</c:v>
                </c:pt>
                <c:pt idx="220">
                  <c:v>45994</c:v>
                </c:pt>
                <c:pt idx="221">
                  <c:v>45995</c:v>
                </c:pt>
                <c:pt idx="222">
                  <c:v>45996</c:v>
                </c:pt>
                <c:pt idx="223">
                  <c:v>45999</c:v>
                </c:pt>
                <c:pt idx="224">
                  <c:v>46000</c:v>
                </c:pt>
                <c:pt idx="225">
                  <c:v>46001</c:v>
                </c:pt>
                <c:pt idx="226">
                  <c:v>46002</c:v>
                </c:pt>
                <c:pt idx="227">
                  <c:v>46003</c:v>
                </c:pt>
                <c:pt idx="228">
                  <c:v>46006</c:v>
                </c:pt>
                <c:pt idx="229">
                  <c:v>46007</c:v>
                </c:pt>
                <c:pt idx="230">
                  <c:v>46008</c:v>
                </c:pt>
                <c:pt idx="231">
                  <c:v>46009</c:v>
                </c:pt>
                <c:pt idx="232">
                  <c:v>46010</c:v>
                </c:pt>
                <c:pt idx="233">
                  <c:v>46013</c:v>
                </c:pt>
                <c:pt idx="234">
                  <c:v>46014</c:v>
                </c:pt>
                <c:pt idx="235">
                  <c:v>46015</c:v>
                </c:pt>
                <c:pt idx="236">
                  <c:v>46017</c:v>
                </c:pt>
                <c:pt idx="237">
                  <c:v>46020</c:v>
                </c:pt>
                <c:pt idx="238">
                  <c:v>46021</c:v>
                </c:pt>
                <c:pt idx="239">
                  <c:v>46022</c:v>
                </c:pt>
                <c:pt idx="240">
                  <c:v>46024</c:v>
                </c:pt>
                <c:pt idx="241">
                  <c:v>46027</c:v>
                </c:pt>
                <c:pt idx="242">
                  <c:v>46028</c:v>
                </c:pt>
                <c:pt idx="243">
                  <c:v>46029</c:v>
                </c:pt>
                <c:pt idx="244">
                  <c:v>46030</c:v>
                </c:pt>
                <c:pt idx="245">
                  <c:v>46031</c:v>
                </c:pt>
                <c:pt idx="246">
                  <c:v>46034</c:v>
                </c:pt>
                <c:pt idx="247">
                  <c:v>46035</c:v>
                </c:pt>
                <c:pt idx="248">
                  <c:v>46036</c:v>
                </c:pt>
                <c:pt idx="249">
                  <c:v>46037</c:v>
                </c:pt>
                <c:pt idx="250">
                  <c:v>46038</c:v>
                </c:pt>
              </c:numCache>
            </c:numRef>
          </c:cat>
          <c:val>
            <c:numRef>
              <c:f>Appendix!$C$27:$C$277</c:f>
              <c:numCache>
                <c:formatCode>General</c:formatCode>
                <c:ptCount val="251"/>
                <c:pt idx="0">
                  <c:v>399.42193603515602</c:v>
                </c:pt>
                <c:pt idx="1">
                  <c:v>408.25177001953102</c:v>
                </c:pt>
                <c:pt idx="2">
                  <c:v>400.12438964843699</c:v>
                </c:pt>
                <c:pt idx="3">
                  <c:v>404.31005859375</c:v>
                </c:pt>
                <c:pt idx="4">
                  <c:v>404.41735839843699</c:v>
                </c:pt>
                <c:pt idx="5">
                  <c:v>414.53512573242102</c:v>
                </c:pt>
                <c:pt idx="6">
                  <c:v>408.64202880859301</c:v>
                </c:pt>
                <c:pt idx="7">
                  <c:v>403.36364746093699</c:v>
                </c:pt>
                <c:pt idx="8">
                  <c:v>404.41735839843699</c:v>
                </c:pt>
                <c:pt idx="9">
                  <c:v>401.95867919921801</c:v>
                </c:pt>
                <c:pt idx="10">
                  <c:v>398.81698608398398</c:v>
                </c:pt>
                <c:pt idx="11">
                  <c:v>401.48056030273398</c:v>
                </c:pt>
                <c:pt idx="12">
                  <c:v>403.75390625</c:v>
                </c:pt>
                <c:pt idx="13">
                  <c:v>404.08566284179602</c:v>
                </c:pt>
                <c:pt idx="14">
                  <c:v>397.46078491210898</c:v>
                </c:pt>
                <c:pt idx="15">
                  <c:v>403.91973876953102</c:v>
                </c:pt>
                <c:pt idx="16">
                  <c:v>406.23211669921801</c:v>
                </c:pt>
                <c:pt idx="17">
                  <c:v>397.23641967773398</c:v>
                </c:pt>
                <c:pt idx="18">
                  <c:v>402.397705078125</c:v>
                </c:pt>
                <c:pt idx="19">
                  <c:v>399.53900146484301</c:v>
                </c:pt>
                <c:pt idx="20">
                  <c:v>393.49954223632801</c:v>
                </c:pt>
                <c:pt idx="21">
                  <c:v>385.81124877929602</c:v>
                </c:pt>
                <c:pt idx="22">
                  <c:v>385.04046630859301</c:v>
                </c:pt>
                <c:pt idx="23">
                  <c:v>375.92761230468699</c:v>
                </c:pt>
                <c:pt idx="24">
                  <c:v>373.11773681640602</c:v>
                </c:pt>
                <c:pt idx="25">
                  <c:v>383.72332763671801</c:v>
                </c:pt>
                <c:pt idx="26">
                  <c:v>380.98165893554602</c:v>
                </c:pt>
                <c:pt idx="27">
                  <c:v>380.776763916015</c:v>
                </c:pt>
                <c:pt idx="28">
                  <c:v>386.95278930664</c:v>
                </c:pt>
                <c:pt idx="29">
                  <c:v>380.21087646484301</c:v>
                </c:pt>
                <c:pt idx="30">
                  <c:v>372.39569091796801</c:v>
                </c:pt>
                <c:pt idx="31">
                  <c:v>376.95211791992102</c:v>
                </c:pt>
                <c:pt idx="32">
                  <c:v>372.44451904296801</c:v>
                </c:pt>
                <c:pt idx="33">
                  <c:v>367.63439941406199</c:v>
                </c:pt>
                <c:pt idx="34">
                  <c:v>365.53671264648398</c:v>
                </c:pt>
                <c:pt idx="35">
                  <c:v>359.20458984375</c:v>
                </c:pt>
                <c:pt idx="36">
                  <c:v>355.85800170898398</c:v>
                </c:pt>
                <c:pt idx="37">
                  <c:v>340.95327758789</c:v>
                </c:pt>
                <c:pt idx="38">
                  <c:v>344.93966674804602</c:v>
                </c:pt>
                <c:pt idx="39">
                  <c:v>347.70852661132801</c:v>
                </c:pt>
                <c:pt idx="40">
                  <c:v>343.23123168945301</c:v>
                </c:pt>
                <c:pt idx="41">
                  <c:v>347.01141357421801</c:v>
                </c:pt>
                <c:pt idx="42">
                  <c:v>349.07330322265602</c:v>
                </c:pt>
                <c:pt idx="43">
                  <c:v>344.78256225585898</c:v>
                </c:pt>
                <c:pt idx="44">
                  <c:v>357.173736572265</c:v>
                </c:pt>
                <c:pt idx="45">
                  <c:v>354.44412231445301</c:v>
                </c:pt>
                <c:pt idx="46">
                  <c:v>355.5634765625</c:v>
                </c:pt>
                <c:pt idx="47">
                  <c:v>356.15255737304602</c:v>
                </c:pt>
                <c:pt idx="48">
                  <c:v>351.65560913085898</c:v>
                </c:pt>
                <c:pt idx="49">
                  <c:v>359.84436035156199</c:v>
                </c:pt>
                <c:pt idx="50">
                  <c:v>358.89196777343699</c:v>
                </c:pt>
                <c:pt idx="51">
                  <c:v>364.16461181640602</c:v>
                </c:pt>
                <c:pt idx="52">
                  <c:v>349.45623779296801</c:v>
                </c:pt>
                <c:pt idx="53">
                  <c:v>347.482666015625</c:v>
                </c:pt>
                <c:pt idx="54">
                  <c:v>335.3173828125</c:v>
                </c:pt>
                <c:pt idx="55">
                  <c:v>329.161041259765</c:v>
                </c:pt>
                <c:pt idx="56">
                  <c:v>348.94567871093699</c:v>
                </c:pt>
                <c:pt idx="57">
                  <c:v>347.207763671875</c:v>
                </c:pt>
                <c:pt idx="58">
                  <c:v>347.44338989257801</c:v>
                </c:pt>
                <c:pt idx="59">
                  <c:v>350.72286987304602</c:v>
                </c:pt>
                <c:pt idx="60">
                  <c:v>347.688873291015</c:v>
                </c:pt>
                <c:pt idx="61">
                  <c:v>339.71609497070301</c:v>
                </c:pt>
                <c:pt idx="62">
                  <c:v>348.62164306640602</c:v>
                </c:pt>
                <c:pt idx="63">
                  <c:v>340.609619140625</c:v>
                </c:pt>
                <c:pt idx="64">
                  <c:v>348.00305175781199</c:v>
                </c:pt>
                <c:pt idx="65">
                  <c:v>349.95700073242102</c:v>
                </c:pt>
                <c:pt idx="66">
                  <c:v>353.11862182617102</c:v>
                </c:pt>
                <c:pt idx="67">
                  <c:v>351.095947265625</c:v>
                </c:pt>
                <c:pt idx="68">
                  <c:v>350.44793701171801</c:v>
                </c:pt>
                <c:pt idx="69">
                  <c:v>352.49020385742102</c:v>
                </c:pt>
                <c:pt idx="70">
                  <c:v>353.95318603515602</c:v>
                </c:pt>
                <c:pt idx="71">
                  <c:v>351.80288696289</c:v>
                </c:pt>
                <c:pt idx="72">
                  <c:v>357.91012573242102</c:v>
                </c:pt>
                <c:pt idx="73">
                  <c:v>355.17071533203102</c:v>
                </c:pt>
                <c:pt idx="74">
                  <c:v>352.86331176757801</c:v>
                </c:pt>
                <c:pt idx="75">
                  <c:v>356.17221069335898</c:v>
                </c:pt>
                <c:pt idx="76">
                  <c:v>358.24392700195301</c:v>
                </c:pt>
                <c:pt idx="77">
                  <c:v>356.13290405273398</c:v>
                </c:pt>
                <c:pt idx="78">
                  <c:v>369.76126098632801</c:v>
                </c:pt>
                <c:pt idx="79">
                  <c:v>366.82546997070301</c:v>
                </c:pt>
                <c:pt idx="80">
                  <c:v>366.0498046875</c:v>
                </c:pt>
                <c:pt idx="81">
                  <c:v>371.76428222656199</c:v>
                </c:pt>
                <c:pt idx="82">
                  <c:v>373.87527465820301</c:v>
                </c:pt>
                <c:pt idx="83">
                  <c:v>372.50067138671801</c:v>
                </c:pt>
                <c:pt idx="84">
                  <c:v>370.212890625</c:v>
                </c:pt>
                <c:pt idx="85">
                  <c:v>364.11550903320301</c:v>
                </c:pt>
                <c:pt idx="86">
                  <c:v>359.49093627929602</c:v>
                </c:pt>
                <c:pt idx="87">
                  <c:v>356.13290405273398</c:v>
                </c:pt>
                <c:pt idx="88">
                  <c:v>363.68347167968699</c:v>
                </c:pt>
                <c:pt idx="89">
                  <c:v>361.38595581054602</c:v>
                </c:pt>
                <c:pt idx="90">
                  <c:v>361.61178588867102</c:v>
                </c:pt>
                <c:pt idx="91">
                  <c:v>361.61178588867102</c:v>
                </c:pt>
                <c:pt idx="92">
                  <c:v>361.28775024414</c:v>
                </c:pt>
                <c:pt idx="93">
                  <c:v>366.31488037109301</c:v>
                </c:pt>
                <c:pt idx="94">
                  <c:v>365.64718627929602</c:v>
                </c:pt>
                <c:pt idx="95">
                  <c:v>364.83709716796801</c:v>
                </c:pt>
                <c:pt idx="96">
                  <c:v>362.910552978515</c:v>
                </c:pt>
                <c:pt idx="97">
                  <c:v>360.80618286132801</c:v>
                </c:pt>
                <c:pt idx="98">
                  <c:v>363.48361206054602</c:v>
                </c:pt>
                <c:pt idx="99">
                  <c:v>356.12319946289</c:v>
                </c:pt>
                <c:pt idx="100">
                  <c:v>358.79074096679602</c:v>
                </c:pt>
                <c:pt idx="101">
                  <c:v>350.39300537109301</c:v>
                </c:pt>
                <c:pt idx="102">
                  <c:v>349.30621337890602</c:v>
                </c:pt>
                <c:pt idx="103">
                  <c:v>344.583740234375</c:v>
                </c:pt>
                <c:pt idx="104">
                  <c:v>342.85479736328102</c:v>
                </c:pt>
                <c:pt idx="105">
                  <c:v>345.41363525390602</c:v>
                </c:pt>
                <c:pt idx="106">
                  <c:v>352.66531372070301</c:v>
                </c:pt>
                <c:pt idx="107">
                  <c:v>356.08370971679602</c:v>
                </c:pt>
                <c:pt idx="108">
                  <c:v>357.50637817382801</c:v>
                </c:pt>
                <c:pt idx="109">
                  <c:v>359.12664794921801</c:v>
                </c:pt>
                <c:pt idx="110">
                  <c:v>364.30358886718699</c:v>
                </c:pt>
                <c:pt idx="111">
                  <c:v>362.22888183593699</c:v>
                </c:pt>
                <c:pt idx="112">
                  <c:v>368.67041015625</c:v>
                </c:pt>
                <c:pt idx="113">
                  <c:v>367.37619018554602</c:v>
                </c:pt>
                <c:pt idx="114">
                  <c:v>367.20822143554602</c:v>
                </c:pt>
                <c:pt idx="115">
                  <c:v>363.21682739257801</c:v>
                </c:pt>
                <c:pt idx="116">
                  <c:v>363.078521728515</c:v>
                </c:pt>
                <c:pt idx="117">
                  <c:v>366.57595825195301</c:v>
                </c:pt>
                <c:pt idx="118">
                  <c:v>368.80874633789</c:v>
                </c:pt>
                <c:pt idx="119">
                  <c:v>365.61761474609301</c:v>
                </c:pt>
                <c:pt idx="120">
                  <c:v>365.65710449218699</c:v>
                </c:pt>
                <c:pt idx="121">
                  <c:v>354.32513427734301</c:v>
                </c:pt>
                <c:pt idx="122">
                  <c:v>353.10003662109301</c:v>
                </c:pt>
                <c:pt idx="123">
                  <c:v>354.72030639648398</c:v>
                </c:pt>
                <c:pt idx="124">
                  <c:v>355.07598876953102</c:v>
                </c:pt>
                <c:pt idx="125">
                  <c:v>359.66015625</c:v>
                </c:pt>
                <c:pt idx="126">
                  <c:v>366.546295166015</c:v>
                </c:pt>
                <c:pt idx="127">
                  <c:v>371.822021484375</c:v>
                </c:pt>
                <c:pt idx="128">
                  <c:v>368.60125732421801</c:v>
                </c:pt>
                <c:pt idx="129">
                  <c:v>370.82418823242102</c:v>
                </c:pt>
                <c:pt idx="130">
                  <c:v>372.69146728515602</c:v>
                </c:pt>
                <c:pt idx="131">
                  <c:v>372.80014038085898</c:v>
                </c:pt>
                <c:pt idx="132">
                  <c:v>367.603424072265</c:v>
                </c:pt>
                <c:pt idx="133">
                  <c:v>363.08840942382801</c:v>
                </c:pt>
                <c:pt idx="134">
                  <c:v>369.16442871093699</c:v>
                </c:pt>
                <c:pt idx="135">
                  <c:v>376.23825073242102</c:v>
                </c:pt>
                <c:pt idx="136">
                  <c:v>380.77304077148398</c:v>
                </c:pt>
                <c:pt idx="137">
                  <c:v>382.14630126953102</c:v>
                </c:pt>
                <c:pt idx="138">
                  <c:v>381.52392578125</c:v>
                </c:pt>
                <c:pt idx="139">
                  <c:v>383.18368530273398</c:v>
                </c:pt>
                <c:pt idx="140">
                  <c:v>382.86752319335898</c:v>
                </c:pt>
                <c:pt idx="141">
                  <c:v>391.23562622070301</c:v>
                </c:pt>
                <c:pt idx="142">
                  <c:v>402.28109741210898</c:v>
                </c:pt>
                <c:pt idx="143">
                  <c:v>395.503662109375</c:v>
                </c:pt>
                <c:pt idx="144">
                  <c:v>394.57498168945301</c:v>
                </c:pt>
                <c:pt idx="145">
                  <c:v>389.95126342773398</c:v>
                </c:pt>
                <c:pt idx="146">
                  <c:v>402.30087280273398</c:v>
                </c:pt>
                <c:pt idx="147">
                  <c:v>396.90655517578102</c:v>
                </c:pt>
                <c:pt idx="148">
                  <c:v>392.91519165039</c:v>
                </c:pt>
                <c:pt idx="149">
                  <c:v>407.823638916015</c:v>
                </c:pt>
                <c:pt idx="150">
                  <c:v>403.98040771484301</c:v>
                </c:pt>
                <c:pt idx="151">
                  <c:v>402.63681030273398</c:v>
                </c:pt>
                <c:pt idx="152">
                  <c:v>403.32833862304602</c:v>
                </c:pt>
                <c:pt idx="153">
                  <c:v>402.54788208007801</c:v>
                </c:pt>
                <c:pt idx="154">
                  <c:v>401.87603759765602</c:v>
                </c:pt>
                <c:pt idx="155">
                  <c:v>401.42160034179602</c:v>
                </c:pt>
                <c:pt idx="156">
                  <c:v>402.80474853515602</c:v>
                </c:pt>
                <c:pt idx="157">
                  <c:v>409.04440307617102</c:v>
                </c:pt>
                <c:pt idx="158">
                  <c:v>416.25775146484301</c:v>
                </c:pt>
                <c:pt idx="159">
                  <c:v>417.24136352539</c:v>
                </c:pt>
                <c:pt idx="160">
                  <c:v>412.67092895507801</c:v>
                </c:pt>
                <c:pt idx="161">
                  <c:v>410.57449340820301</c:v>
                </c:pt>
                <c:pt idx="162">
                  <c:v>420.69903564453102</c:v>
                </c:pt>
                <c:pt idx="163">
                  <c:v>419.97369384765602</c:v>
                </c:pt>
                <c:pt idx="164">
                  <c:v>419.993560791015</c:v>
                </c:pt>
                <c:pt idx="165">
                  <c:v>418.74166870117102</c:v>
                </c:pt>
                <c:pt idx="166">
                  <c:v>414.32028198242102</c:v>
                </c:pt>
                <c:pt idx="167">
                  <c:v>414.79718017578102</c:v>
                </c:pt>
                <c:pt idx="168">
                  <c:v>413.01867675781199</c:v>
                </c:pt>
                <c:pt idx="169">
                  <c:v>409.35238647460898</c:v>
                </c:pt>
                <c:pt idx="170">
                  <c:v>408.26940917968699</c:v>
                </c:pt>
                <c:pt idx="171">
                  <c:v>407.13671875</c:v>
                </c:pt>
                <c:pt idx="172">
                  <c:v>404.83166503906199</c:v>
                </c:pt>
                <c:pt idx="173">
                  <c:v>407.45468139648398</c:v>
                </c:pt>
                <c:pt idx="174">
                  <c:v>404.185791015625</c:v>
                </c:pt>
                <c:pt idx="175">
                  <c:v>402.58615112304602</c:v>
                </c:pt>
                <c:pt idx="176">
                  <c:v>394.468658447265</c:v>
                </c:pt>
                <c:pt idx="177">
                  <c:v>392.471588134765</c:v>
                </c:pt>
                <c:pt idx="178">
                  <c:v>392.52127075195301</c:v>
                </c:pt>
                <c:pt idx="179">
                  <c:v>386.82806396484301</c:v>
                </c:pt>
                <c:pt idx="180">
                  <c:v>384.32427978515602</c:v>
                </c:pt>
                <c:pt idx="181">
                  <c:v>381.32369995117102</c:v>
                </c:pt>
                <c:pt idx="182">
                  <c:v>375.26287841796801</c:v>
                </c:pt>
                <c:pt idx="183">
                  <c:v>373.335357666015</c:v>
                </c:pt>
                <c:pt idx="184">
                  <c:v>376.93206787109301</c:v>
                </c:pt>
                <c:pt idx="185">
                  <c:v>385.228424072265</c:v>
                </c:pt>
                <c:pt idx="186">
                  <c:v>385.8046875</c:v>
                </c:pt>
                <c:pt idx="187">
                  <c:v>384.90057373046801</c:v>
                </c:pt>
                <c:pt idx="188">
                  <c:v>389.38156127929602</c:v>
                </c:pt>
                <c:pt idx="189">
                  <c:v>386.39093017578102</c:v>
                </c:pt>
                <c:pt idx="190">
                  <c:v>388.38800048828102</c:v>
                </c:pt>
                <c:pt idx="191">
                  <c:v>386.47039794921801</c:v>
                </c:pt>
                <c:pt idx="192">
                  <c:v>382.55572509765602</c:v>
                </c:pt>
                <c:pt idx="193">
                  <c:v>384.19509887695301</c:v>
                </c:pt>
                <c:pt idx="194">
                  <c:v>382.79415893554602</c:v>
                </c:pt>
                <c:pt idx="195">
                  <c:v>383.27108764648398</c:v>
                </c:pt>
                <c:pt idx="196">
                  <c:v>375.61065673828102</c:v>
                </c:pt>
                <c:pt idx="197">
                  <c:v>377.11093139648398</c:v>
                </c:pt>
                <c:pt idx="198">
                  <c:v>377.15066528320301</c:v>
                </c:pt>
                <c:pt idx="199">
                  <c:v>375.91864013671801</c:v>
                </c:pt>
                <c:pt idx="200">
                  <c:v>380.61822509765602</c:v>
                </c:pt>
                <c:pt idx="201">
                  <c:v>371.43762207031199</c:v>
                </c:pt>
                <c:pt idx="202">
                  <c:v>366.69827270507801</c:v>
                </c:pt>
                <c:pt idx="203">
                  <c:v>368.72515869140602</c:v>
                </c:pt>
                <c:pt idx="204">
                  <c:v>368.04953002929602</c:v>
                </c:pt>
                <c:pt idx="205">
                  <c:v>371.83505249023398</c:v>
                </c:pt>
                <c:pt idx="206">
                  <c:v>368.74505615234301</c:v>
                </c:pt>
                <c:pt idx="207">
                  <c:v>365.70471191406199</c:v>
                </c:pt>
                <c:pt idx="208">
                  <c:v>360.03137207031199</c:v>
                </c:pt>
                <c:pt idx="209">
                  <c:v>355.72921752929602</c:v>
                </c:pt>
                <c:pt idx="210">
                  <c:v>334.31771850585898</c:v>
                </c:pt>
                <c:pt idx="211">
                  <c:v>332.35043334960898</c:v>
                </c:pt>
                <c:pt idx="212">
                  <c:v>330.244049072265</c:v>
                </c:pt>
                <c:pt idx="213">
                  <c:v>341.11376953125</c:v>
                </c:pt>
                <c:pt idx="214">
                  <c:v>334.41705322265602</c:v>
                </c:pt>
                <c:pt idx="215">
                  <c:v>348.81396484375</c:v>
                </c:pt>
                <c:pt idx="216">
                  <c:v>353.18566894531199</c:v>
                </c:pt>
                <c:pt idx="217">
                  <c:v>354.626373291015</c:v>
                </c:pt>
                <c:pt idx="218">
                  <c:v>355.03372192382801</c:v>
                </c:pt>
                <c:pt idx="219">
                  <c:v>351.75491333007801</c:v>
                </c:pt>
                <c:pt idx="220">
                  <c:v>355.60998535156199</c:v>
                </c:pt>
                <c:pt idx="221">
                  <c:v>351.17001342773398</c:v>
                </c:pt>
                <c:pt idx="222">
                  <c:v>354.60998535156199</c:v>
                </c:pt>
                <c:pt idx="223">
                  <c:v>349.91000366210898</c:v>
                </c:pt>
                <c:pt idx="224">
                  <c:v>345.26998901367102</c:v>
                </c:pt>
                <c:pt idx="225">
                  <c:v>351.13000488281199</c:v>
                </c:pt>
                <c:pt idx="226">
                  <c:v>357.45999145507801</c:v>
                </c:pt>
                <c:pt idx="227">
                  <c:v>359.64999389648398</c:v>
                </c:pt>
                <c:pt idx="228">
                  <c:v>356.989990234375</c:v>
                </c:pt>
                <c:pt idx="229">
                  <c:v>352.67999267578102</c:v>
                </c:pt>
                <c:pt idx="230">
                  <c:v>356.75</c:v>
                </c:pt>
                <c:pt idx="231">
                  <c:v>354.989990234375</c:v>
                </c:pt>
                <c:pt idx="232">
                  <c:v>345</c:v>
                </c:pt>
                <c:pt idx="233">
                  <c:v>346.39001464843699</c:v>
                </c:pt>
                <c:pt idx="234">
                  <c:v>344.97000122070301</c:v>
                </c:pt>
                <c:pt idx="235">
                  <c:v>347.33999633789</c:v>
                </c:pt>
                <c:pt idx="236">
                  <c:v>349.77999877929602</c:v>
                </c:pt>
                <c:pt idx="237">
                  <c:v>347.45001220703102</c:v>
                </c:pt>
                <c:pt idx="238">
                  <c:v>346.350006103515</c:v>
                </c:pt>
                <c:pt idx="239">
                  <c:v>344.100006103515</c:v>
                </c:pt>
                <c:pt idx="240">
                  <c:v>345.82000732421801</c:v>
                </c:pt>
                <c:pt idx="241">
                  <c:v>344.08999633789</c:v>
                </c:pt>
                <c:pt idx="242">
                  <c:v>349.29000854492102</c:v>
                </c:pt>
                <c:pt idx="243">
                  <c:v>349.05999755859301</c:v>
                </c:pt>
                <c:pt idx="244">
                  <c:v>359.55999755859301</c:v>
                </c:pt>
                <c:pt idx="245">
                  <c:v>374.64001464843699</c:v>
                </c:pt>
                <c:pt idx="246">
                  <c:v>374.94000244140602</c:v>
                </c:pt>
                <c:pt idx="247">
                  <c:v>379.739990234375</c:v>
                </c:pt>
                <c:pt idx="248">
                  <c:v>375.95001220703102</c:v>
                </c:pt>
                <c:pt idx="249">
                  <c:v>379.16000366210898</c:v>
                </c:pt>
                <c:pt idx="250">
                  <c:v>380.17001342773398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5E-425D-8559-CEF6CBB6B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2593216"/>
        <c:axId val="1162593696"/>
      </c:lineChart>
      <c:lineChart>
        <c:grouping val="stacked"/>
        <c:varyColors val="0"/>
        <c:ser>
          <c:idx val="1"/>
          <c:order val="1"/>
          <c:tx>
            <c:strRef>
              <c:f>Appendix!$D$26</c:f>
              <c:strCache>
                <c:ptCount val="1"/>
                <c:pt idx="0">
                  <c:v>S&amp;P 500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Appendix!$B$27:$B$277</c:f>
              <c:numCache>
                <c:formatCode>mmm\-yy</c:formatCode>
                <c:ptCount val="251"/>
                <c:pt idx="0">
                  <c:v>45674</c:v>
                </c:pt>
                <c:pt idx="1">
                  <c:v>45678</c:v>
                </c:pt>
                <c:pt idx="2">
                  <c:v>45679</c:v>
                </c:pt>
                <c:pt idx="3">
                  <c:v>45680</c:v>
                </c:pt>
                <c:pt idx="4">
                  <c:v>45681</c:v>
                </c:pt>
                <c:pt idx="5">
                  <c:v>45684</c:v>
                </c:pt>
                <c:pt idx="6">
                  <c:v>45685</c:v>
                </c:pt>
                <c:pt idx="7">
                  <c:v>45686</c:v>
                </c:pt>
                <c:pt idx="8">
                  <c:v>45687</c:v>
                </c:pt>
                <c:pt idx="9">
                  <c:v>45688</c:v>
                </c:pt>
                <c:pt idx="10">
                  <c:v>45691</c:v>
                </c:pt>
                <c:pt idx="11">
                  <c:v>45692</c:v>
                </c:pt>
                <c:pt idx="12">
                  <c:v>45693</c:v>
                </c:pt>
                <c:pt idx="13">
                  <c:v>45694</c:v>
                </c:pt>
                <c:pt idx="14">
                  <c:v>45695</c:v>
                </c:pt>
                <c:pt idx="15">
                  <c:v>45698</c:v>
                </c:pt>
                <c:pt idx="16">
                  <c:v>45699</c:v>
                </c:pt>
                <c:pt idx="17">
                  <c:v>45700</c:v>
                </c:pt>
                <c:pt idx="18">
                  <c:v>45701</c:v>
                </c:pt>
                <c:pt idx="19">
                  <c:v>45702</c:v>
                </c:pt>
                <c:pt idx="20">
                  <c:v>45706</c:v>
                </c:pt>
                <c:pt idx="21">
                  <c:v>45707</c:v>
                </c:pt>
                <c:pt idx="22">
                  <c:v>45708</c:v>
                </c:pt>
                <c:pt idx="23">
                  <c:v>45709</c:v>
                </c:pt>
                <c:pt idx="24">
                  <c:v>45712</c:v>
                </c:pt>
                <c:pt idx="25">
                  <c:v>45713</c:v>
                </c:pt>
                <c:pt idx="26">
                  <c:v>45714</c:v>
                </c:pt>
                <c:pt idx="27">
                  <c:v>45715</c:v>
                </c:pt>
                <c:pt idx="28">
                  <c:v>45716</c:v>
                </c:pt>
                <c:pt idx="29">
                  <c:v>45719</c:v>
                </c:pt>
                <c:pt idx="30">
                  <c:v>45720</c:v>
                </c:pt>
                <c:pt idx="31">
                  <c:v>45721</c:v>
                </c:pt>
                <c:pt idx="32">
                  <c:v>45722</c:v>
                </c:pt>
                <c:pt idx="33">
                  <c:v>45723</c:v>
                </c:pt>
                <c:pt idx="34">
                  <c:v>45726</c:v>
                </c:pt>
                <c:pt idx="35">
                  <c:v>45727</c:v>
                </c:pt>
                <c:pt idx="36">
                  <c:v>45728</c:v>
                </c:pt>
                <c:pt idx="37">
                  <c:v>45729</c:v>
                </c:pt>
                <c:pt idx="38">
                  <c:v>45730</c:v>
                </c:pt>
                <c:pt idx="39">
                  <c:v>45733</c:v>
                </c:pt>
                <c:pt idx="40">
                  <c:v>45734</c:v>
                </c:pt>
                <c:pt idx="41">
                  <c:v>45735</c:v>
                </c:pt>
                <c:pt idx="42">
                  <c:v>45736</c:v>
                </c:pt>
                <c:pt idx="43">
                  <c:v>45737</c:v>
                </c:pt>
                <c:pt idx="44">
                  <c:v>45740</c:v>
                </c:pt>
                <c:pt idx="45">
                  <c:v>45741</c:v>
                </c:pt>
                <c:pt idx="46">
                  <c:v>45742</c:v>
                </c:pt>
                <c:pt idx="47">
                  <c:v>45743</c:v>
                </c:pt>
                <c:pt idx="48">
                  <c:v>45744</c:v>
                </c:pt>
                <c:pt idx="49">
                  <c:v>45747</c:v>
                </c:pt>
                <c:pt idx="50">
                  <c:v>45748</c:v>
                </c:pt>
                <c:pt idx="51">
                  <c:v>45749</c:v>
                </c:pt>
                <c:pt idx="52">
                  <c:v>45750</c:v>
                </c:pt>
                <c:pt idx="53">
                  <c:v>45751</c:v>
                </c:pt>
                <c:pt idx="54">
                  <c:v>45754</c:v>
                </c:pt>
                <c:pt idx="55">
                  <c:v>45755</c:v>
                </c:pt>
                <c:pt idx="56">
                  <c:v>45756</c:v>
                </c:pt>
                <c:pt idx="57">
                  <c:v>45757</c:v>
                </c:pt>
                <c:pt idx="58">
                  <c:v>45758</c:v>
                </c:pt>
                <c:pt idx="59">
                  <c:v>45761</c:v>
                </c:pt>
                <c:pt idx="60">
                  <c:v>45762</c:v>
                </c:pt>
                <c:pt idx="61">
                  <c:v>45763</c:v>
                </c:pt>
                <c:pt idx="62">
                  <c:v>45764</c:v>
                </c:pt>
                <c:pt idx="63">
                  <c:v>45768</c:v>
                </c:pt>
                <c:pt idx="64">
                  <c:v>45769</c:v>
                </c:pt>
                <c:pt idx="65">
                  <c:v>45770</c:v>
                </c:pt>
                <c:pt idx="66">
                  <c:v>45771</c:v>
                </c:pt>
                <c:pt idx="67">
                  <c:v>45772</c:v>
                </c:pt>
                <c:pt idx="68">
                  <c:v>45775</c:v>
                </c:pt>
                <c:pt idx="69">
                  <c:v>45776</c:v>
                </c:pt>
                <c:pt idx="70">
                  <c:v>45777</c:v>
                </c:pt>
                <c:pt idx="71">
                  <c:v>45778</c:v>
                </c:pt>
                <c:pt idx="72">
                  <c:v>45779</c:v>
                </c:pt>
                <c:pt idx="73">
                  <c:v>45782</c:v>
                </c:pt>
                <c:pt idx="74">
                  <c:v>45783</c:v>
                </c:pt>
                <c:pt idx="75">
                  <c:v>45784</c:v>
                </c:pt>
                <c:pt idx="76">
                  <c:v>45785</c:v>
                </c:pt>
                <c:pt idx="77">
                  <c:v>45786</c:v>
                </c:pt>
                <c:pt idx="78">
                  <c:v>45789</c:v>
                </c:pt>
                <c:pt idx="79">
                  <c:v>45790</c:v>
                </c:pt>
                <c:pt idx="80">
                  <c:v>45791</c:v>
                </c:pt>
                <c:pt idx="81">
                  <c:v>45792</c:v>
                </c:pt>
                <c:pt idx="82">
                  <c:v>45793</c:v>
                </c:pt>
                <c:pt idx="83">
                  <c:v>45796</c:v>
                </c:pt>
                <c:pt idx="84">
                  <c:v>45797</c:v>
                </c:pt>
                <c:pt idx="85">
                  <c:v>45798</c:v>
                </c:pt>
                <c:pt idx="86">
                  <c:v>45799</c:v>
                </c:pt>
                <c:pt idx="87">
                  <c:v>45800</c:v>
                </c:pt>
                <c:pt idx="88">
                  <c:v>45804</c:v>
                </c:pt>
                <c:pt idx="89">
                  <c:v>45805</c:v>
                </c:pt>
                <c:pt idx="90">
                  <c:v>45806</c:v>
                </c:pt>
                <c:pt idx="91">
                  <c:v>45807</c:v>
                </c:pt>
                <c:pt idx="92">
                  <c:v>45810</c:v>
                </c:pt>
                <c:pt idx="93">
                  <c:v>45811</c:v>
                </c:pt>
                <c:pt idx="94">
                  <c:v>45812</c:v>
                </c:pt>
                <c:pt idx="95">
                  <c:v>45813</c:v>
                </c:pt>
                <c:pt idx="96">
                  <c:v>45814</c:v>
                </c:pt>
                <c:pt idx="97">
                  <c:v>45817</c:v>
                </c:pt>
                <c:pt idx="98">
                  <c:v>45818</c:v>
                </c:pt>
                <c:pt idx="99">
                  <c:v>45819</c:v>
                </c:pt>
                <c:pt idx="100">
                  <c:v>45820</c:v>
                </c:pt>
                <c:pt idx="101">
                  <c:v>45821</c:v>
                </c:pt>
                <c:pt idx="102">
                  <c:v>45824</c:v>
                </c:pt>
                <c:pt idx="103">
                  <c:v>45825</c:v>
                </c:pt>
                <c:pt idx="104">
                  <c:v>45826</c:v>
                </c:pt>
                <c:pt idx="105">
                  <c:v>45828</c:v>
                </c:pt>
                <c:pt idx="106">
                  <c:v>45831</c:v>
                </c:pt>
                <c:pt idx="107">
                  <c:v>45832</c:v>
                </c:pt>
                <c:pt idx="108">
                  <c:v>45833</c:v>
                </c:pt>
                <c:pt idx="109">
                  <c:v>45834</c:v>
                </c:pt>
                <c:pt idx="110">
                  <c:v>45835</c:v>
                </c:pt>
                <c:pt idx="111">
                  <c:v>45838</c:v>
                </c:pt>
                <c:pt idx="112">
                  <c:v>45839</c:v>
                </c:pt>
                <c:pt idx="113">
                  <c:v>45840</c:v>
                </c:pt>
                <c:pt idx="114">
                  <c:v>45841</c:v>
                </c:pt>
                <c:pt idx="115">
                  <c:v>45845</c:v>
                </c:pt>
                <c:pt idx="116">
                  <c:v>45846</c:v>
                </c:pt>
                <c:pt idx="117">
                  <c:v>45847</c:v>
                </c:pt>
                <c:pt idx="118">
                  <c:v>45848</c:v>
                </c:pt>
                <c:pt idx="119">
                  <c:v>45849</c:v>
                </c:pt>
                <c:pt idx="120">
                  <c:v>45852</c:v>
                </c:pt>
                <c:pt idx="121">
                  <c:v>45853</c:v>
                </c:pt>
                <c:pt idx="122">
                  <c:v>45854</c:v>
                </c:pt>
                <c:pt idx="123">
                  <c:v>45855</c:v>
                </c:pt>
                <c:pt idx="124">
                  <c:v>45856</c:v>
                </c:pt>
                <c:pt idx="125">
                  <c:v>45859</c:v>
                </c:pt>
                <c:pt idx="126">
                  <c:v>45860</c:v>
                </c:pt>
                <c:pt idx="127">
                  <c:v>45861</c:v>
                </c:pt>
                <c:pt idx="128">
                  <c:v>45862</c:v>
                </c:pt>
                <c:pt idx="129">
                  <c:v>45863</c:v>
                </c:pt>
                <c:pt idx="130">
                  <c:v>45866</c:v>
                </c:pt>
                <c:pt idx="131">
                  <c:v>45867</c:v>
                </c:pt>
                <c:pt idx="132">
                  <c:v>45868</c:v>
                </c:pt>
                <c:pt idx="133">
                  <c:v>45869</c:v>
                </c:pt>
                <c:pt idx="134">
                  <c:v>45870</c:v>
                </c:pt>
                <c:pt idx="135">
                  <c:v>45873</c:v>
                </c:pt>
                <c:pt idx="136">
                  <c:v>45874</c:v>
                </c:pt>
                <c:pt idx="137">
                  <c:v>45875</c:v>
                </c:pt>
                <c:pt idx="138">
                  <c:v>45876</c:v>
                </c:pt>
                <c:pt idx="139">
                  <c:v>45877</c:v>
                </c:pt>
                <c:pt idx="140">
                  <c:v>45880</c:v>
                </c:pt>
                <c:pt idx="141">
                  <c:v>45881</c:v>
                </c:pt>
                <c:pt idx="142">
                  <c:v>45882</c:v>
                </c:pt>
                <c:pt idx="143">
                  <c:v>45883</c:v>
                </c:pt>
                <c:pt idx="144">
                  <c:v>45884</c:v>
                </c:pt>
                <c:pt idx="145">
                  <c:v>45887</c:v>
                </c:pt>
                <c:pt idx="146">
                  <c:v>45888</c:v>
                </c:pt>
                <c:pt idx="147">
                  <c:v>45889</c:v>
                </c:pt>
                <c:pt idx="148">
                  <c:v>45890</c:v>
                </c:pt>
                <c:pt idx="149">
                  <c:v>45891</c:v>
                </c:pt>
                <c:pt idx="150">
                  <c:v>45894</c:v>
                </c:pt>
                <c:pt idx="151">
                  <c:v>45895</c:v>
                </c:pt>
                <c:pt idx="152">
                  <c:v>45896</c:v>
                </c:pt>
                <c:pt idx="153">
                  <c:v>45897</c:v>
                </c:pt>
                <c:pt idx="154">
                  <c:v>45898</c:v>
                </c:pt>
                <c:pt idx="155">
                  <c:v>45902</c:v>
                </c:pt>
                <c:pt idx="156">
                  <c:v>45903</c:v>
                </c:pt>
                <c:pt idx="157">
                  <c:v>45904</c:v>
                </c:pt>
                <c:pt idx="158">
                  <c:v>45905</c:v>
                </c:pt>
                <c:pt idx="159">
                  <c:v>45908</c:v>
                </c:pt>
                <c:pt idx="160">
                  <c:v>45909</c:v>
                </c:pt>
                <c:pt idx="161">
                  <c:v>45910</c:v>
                </c:pt>
                <c:pt idx="162">
                  <c:v>45911</c:v>
                </c:pt>
                <c:pt idx="163">
                  <c:v>45912</c:v>
                </c:pt>
                <c:pt idx="164">
                  <c:v>45915</c:v>
                </c:pt>
                <c:pt idx="165">
                  <c:v>45916</c:v>
                </c:pt>
                <c:pt idx="166">
                  <c:v>45917</c:v>
                </c:pt>
                <c:pt idx="167">
                  <c:v>45918</c:v>
                </c:pt>
                <c:pt idx="168">
                  <c:v>45919</c:v>
                </c:pt>
                <c:pt idx="169">
                  <c:v>45922</c:v>
                </c:pt>
                <c:pt idx="170">
                  <c:v>45923</c:v>
                </c:pt>
                <c:pt idx="171">
                  <c:v>45924</c:v>
                </c:pt>
                <c:pt idx="172">
                  <c:v>45925</c:v>
                </c:pt>
                <c:pt idx="173">
                  <c:v>45926</c:v>
                </c:pt>
                <c:pt idx="174">
                  <c:v>45929</c:v>
                </c:pt>
                <c:pt idx="175">
                  <c:v>45930</c:v>
                </c:pt>
                <c:pt idx="176">
                  <c:v>45931</c:v>
                </c:pt>
                <c:pt idx="177">
                  <c:v>45932</c:v>
                </c:pt>
                <c:pt idx="178">
                  <c:v>45933</c:v>
                </c:pt>
                <c:pt idx="179">
                  <c:v>45936</c:v>
                </c:pt>
                <c:pt idx="180">
                  <c:v>45937</c:v>
                </c:pt>
                <c:pt idx="181">
                  <c:v>45938</c:v>
                </c:pt>
                <c:pt idx="182">
                  <c:v>45939</c:v>
                </c:pt>
                <c:pt idx="183">
                  <c:v>45940</c:v>
                </c:pt>
                <c:pt idx="184">
                  <c:v>45943</c:v>
                </c:pt>
                <c:pt idx="185">
                  <c:v>45944</c:v>
                </c:pt>
                <c:pt idx="186">
                  <c:v>45945</c:v>
                </c:pt>
                <c:pt idx="187">
                  <c:v>45946</c:v>
                </c:pt>
                <c:pt idx="188">
                  <c:v>45947</c:v>
                </c:pt>
                <c:pt idx="189">
                  <c:v>45950</c:v>
                </c:pt>
                <c:pt idx="190">
                  <c:v>45951</c:v>
                </c:pt>
                <c:pt idx="191">
                  <c:v>45952</c:v>
                </c:pt>
                <c:pt idx="192">
                  <c:v>45953</c:v>
                </c:pt>
                <c:pt idx="193">
                  <c:v>45954</c:v>
                </c:pt>
                <c:pt idx="194">
                  <c:v>45957</c:v>
                </c:pt>
                <c:pt idx="195">
                  <c:v>45958</c:v>
                </c:pt>
                <c:pt idx="196">
                  <c:v>45959</c:v>
                </c:pt>
                <c:pt idx="197">
                  <c:v>45960</c:v>
                </c:pt>
                <c:pt idx="198">
                  <c:v>45961</c:v>
                </c:pt>
                <c:pt idx="199">
                  <c:v>45964</c:v>
                </c:pt>
                <c:pt idx="200">
                  <c:v>45965</c:v>
                </c:pt>
                <c:pt idx="201">
                  <c:v>45966</c:v>
                </c:pt>
                <c:pt idx="202">
                  <c:v>45967</c:v>
                </c:pt>
                <c:pt idx="203">
                  <c:v>45968</c:v>
                </c:pt>
                <c:pt idx="204">
                  <c:v>45971</c:v>
                </c:pt>
                <c:pt idx="205">
                  <c:v>45972</c:v>
                </c:pt>
                <c:pt idx="206">
                  <c:v>45973</c:v>
                </c:pt>
                <c:pt idx="207">
                  <c:v>45974</c:v>
                </c:pt>
                <c:pt idx="208">
                  <c:v>45975</c:v>
                </c:pt>
                <c:pt idx="209">
                  <c:v>45978</c:v>
                </c:pt>
                <c:pt idx="210">
                  <c:v>45979</c:v>
                </c:pt>
                <c:pt idx="211">
                  <c:v>45980</c:v>
                </c:pt>
                <c:pt idx="212">
                  <c:v>45981</c:v>
                </c:pt>
                <c:pt idx="213">
                  <c:v>45982</c:v>
                </c:pt>
                <c:pt idx="214">
                  <c:v>45985</c:v>
                </c:pt>
                <c:pt idx="215">
                  <c:v>45986</c:v>
                </c:pt>
                <c:pt idx="216">
                  <c:v>45987</c:v>
                </c:pt>
                <c:pt idx="217">
                  <c:v>45989</c:v>
                </c:pt>
                <c:pt idx="218">
                  <c:v>45992</c:v>
                </c:pt>
                <c:pt idx="219">
                  <c:v>45993</c:v>
                </c:pt>
                <c:pt idx="220">
                  <c:v>45994</c:v>
                </c:pt>
                <c:pt idx="221">
                  <c:v>45995</c:v>
                </c:pt>
                <c:pt idx="222">
                  <c:v>45996</c:v>
                </c:pt>
                <c:pt idx="223">
                  <c:v>45999</c:v>
                </c:pt>
                <c:pt idx="224">
                  <c:v>46000</c:v>
                </c:pt>
                <c:pt idx="225">
                  <c:v>46001</c:v>
                </c:pt>
                <c:pt idx="226">
                  <c:v>46002</c:v>
                </c:pt>
                <c:pt idx="227">
                  <c:v>46003</c:v>
                </c:pt>
                <c:pt idx="228">
                  <c:v>46006</c:v>
                </c:pt>
                <c:pt idx="229">
                  <c:v>46007</c:v>
                </c:pt>
                <c:pt idx="230">
                  <c:v>46008</c:v>
                </c:pt>
                <c:pt idx="231">
                  <c:v>46009</c:v>
                </c:pt>
                <c:pt idx="232">
                  <c:v>46010</c:v>
                </c:pt>
                <c:pt idx="233">
                  <c:v>46013</c:v>
                </c:pt>
                <c:pt idx="234">
                  <c:v>46014</c:v>
                </c:pt>
                <c:pt idx="235">
                  <c:v>46015</c:v>
                </c:pt>
                <c:pt idx="236">
                  <c:v>46017</c:v>
                </c:pt>
                <c:pt idx="237">
                  <c:v>46020</c:v>
                </c:pt>
                <c:pt idx="238">
                  <c:v>46021</c:v>
                </c:pt>
                <c:pt idx="239">
                  <c:v>46022</c:v>
                </c:pt>
                <c:pt idx="240">
                  <c:v>46024</c:v>
                </c:pt>
                <c:pt idx="241">
                  <c:v>46027</c:v>
                </c:pt>
                <c:pt idx="242">
                  <c:v>46028</c:v>
                </c:pt>
                <c:pt idx="243">
                  <c:v>46029</c:v>
                </c:pt>
                <c:pt idx="244">
                  <c:v>46030</c:v>
                </c:pt>
                <c:pt idx="245">
                  <c:v>46031</c:v>
                </c:pt>
                <c:pt idx="246">
                  <c:v>46034</c:v>
                </c:pt>
                <c:pt idx="247">
                  <c:v>46035</c:v>
                </c:pt>
                <c:pt idx="248">
                  <c:v>46036</c:v>
                </c:pt>
                <c:pt idx="249">
                  <c:v>46037</c:v>
                </c:pt>
                <c:pt idx="250">
                  <c:v>46038</c:v>
                </c:pt>
              </c:numCache>
            </c:numRef>
          </c:cat>
          <c:val>
            <c:numRef>
              <c:f>Appendix!$D$27:$D$277</c:f>
              <c:numCache>
                <c:formatCode>General</c:formatCode>
                <c:ptCount val="251"/>
                <c:pt idx="0">
                  <c:v>5996.66015625</c:v>
                </c:pt>
                <c:pt idx="1">
                  <c:v>6049.240234375</c:v>
                </c:pt>
                <c:pt idx="2">
                  <c:v>6086.3701171875</c:v>
                </c:pt>
                <c:pt idx="3">
                  <c:v>6118.7099609375</c:v>
                </c:pt>
                <c:pt idx="4">
                  <c:v>6101.240234375</c:v>
                </c:pt>
                <c:pt idx="5">
                  <c:v>6012.27978515625</c:v>
                </c:pt>
                <c:pt idx="6">
                  <c:v>6067.7001953125</c:v>
                </c:pt>
                <c:pt idx="7">
                  <c:v>6039.31005859375</c:v>
                </c:pt>
                <c:pt idx="8">
                  <c:v>6071.169921875</c:v>
                </c:pt>
                <c:pt idx="9">
                  <c:v>6040.52978515625</c:v>
                </c:pt>
                <c:pt idx="10">
                  <c:v>5994.56982421875</c:v>
                </c:pt>
                <c:pt idx="11">
                  <c:v>6037.8798828125</c:v>
                </c:pt>
                <c:pt idx="12">
                  <c:v>6061.47998046875</c:v>
                </c:pt>
                <c:pt idx="13">
                  <c:v>6083.56982421875</c:v>
                </c:pt>
                <c:pt idx="14">
                  <c:v>6025.990234375</c:v>
                </c:pt>
                <c:pt idx="15">
                  <c:v>6066.43994140625</c:v>
                </c:pt>
                <c:pt idx="16">
                  <c:v>6068.5</c:v>
                </c:pt>
                <c:pt idx="17">
                  <c:v>6051.97021484375</c:v>
                </c:pt>
                <c:pt idx="18">
                  <c:v>6115.06982421875</c:v>
                </c:pt>
                <c:pt idx="19">
                  <c:v>6114.6298828125</c:v>
                </c:pt>
                <c:pt idx="20">
                  <c:v>6129.580078125</c:v>
                </c:pt>
                <c:pt idx="21">
                  <c:v>6144.14990234375</c:v>
                </c:pt>
                <c:pt idx="22">
                  <c:v>6117.52001953125</c:v>
                </c:pt>
                <c:pt idx="23">
                  <c:v>6013.1298828125</c:v>
                </c:pt>
                <c:pt idx="24">
                  <c:v>5983.25</c:v>
                </c:pt>
                <c:pt idx="25">
                  <c:v>5955.25</c:v>
                </c:pt>
                <c:pt idx="26">
                  <c:v>5956.06005859375</c:v>
                </c:pt>
                <c:pt idx="27">
                  <c:v>5861.56982421875</c:v>
                </c:pt>
                <c:pt idx="28">
                  <c:v>5954.5</c:v>
                </c:pt>
                <c:pt idx="29">
                  <c:v>5849.72021484375</c:v>
                </c:pt>
                <c:pt idx="30">
                  <c:v>5778.14990234375</c:v>
                </c:pt>
                <c:pt idx="31">
                  <c:v>5842.6298828125</c:v>
                </c:pt>
                <c:pt idx="32">
                  <c:v>5738.52001953125</c:v>
                </c:pt>
                <c:pt idx="33">
                  <c:v>5770.2001953125</c:v>
                </c:pt>
                <c:pt idx="34">
                  <c:v>5614.56005859375</c:v>
                </c:pt>
                <c:pt idx="35">
                  <c:v>5572.06982421875</c:v>
                </c:pt>
                <c:pt idx="36">
                  <c:v>5599.2998046875</c:v>
                </c:pt>
                <c:pt idx="37">
                  <c:v>5521.52001953125</c:v>
                </c:pt>
                <c:pt idx="38">
                  <c:v>5638.93994140625</c:v>
                </c:pt>
                <c:pt idx="39">
                  <c:v>5675.1201171875</c:v>
                </c:pt>
                <c:pt idx="40">
                  <c:v>5614.66015625</c:v>
                </c:pt>
                <c:pt idx="41">
                  <c:v>5675.2900390625</c:v>
                </c:pt>
                <c:pt idx="42">
                  <c:v>5662.89013671875</c:v>
                </c:pt>
                <c:pt idx="43">
                  <c:v>5667.56005859375</c:v>
                </c:pt>
                <c:pt idx="44">
                  <c:v>5767.56982421875</c:v>
                </c:pt>
                <c:pt idx="45">
                  <c:v>5776.64990234375</c:v>
                </c:pt>
                <c:pt idx="46">
                  <c:v>5712.2001953125</c:v>
                </c:pt>
                <c:pt idx="47">
                  <c:v>5693.31005859375</c:v>
                </c:pt>
                <c:pt idx="48">
                  <c:v>5580.93994140625</c:v>
                </c:pt>
                <c:pt idx="49">
                  <c:v>5611.85009765625</c:v>
                </c:pt>
                <c:pt idx="50">
                  <c:v>5633.06982421875</c:v>
                </c:pt>
                <c:pt idx="51">
                  <c:v>5670.97021484375</c:v>
                </c:pt>
                <c:pt idx="52">
                  <c:v>5396.52001953125</c:v>
                </c:pt>
                <c:pt idx="53">
                  <c:v>5074.080078125</c:v>
                </c:pt>
                <c:pt idx="54">
                  <c:v>5062.25</c:v>
                </c:pt>
                <c:pt idx="55">
                  <c:v>4982.77001953125</c:v>
                </c:pt>
                <c:pt idx="56">
                  <c:v>5456.89990234375</c:v>
                </c:pt>
                <c:pt idx="57">
                  <c:v>5268.0498046875</c:v>
                </c:pt>
                <c:pt idx="58">
                  <c:v>5363.35986328125</c:v>
                </c:pt>
                <c:pt idx="59">
                  <c:v>5405.97021484375</c:v>
                </c:pt>
                <c:pt idx="60">
                  <c:v>5396.6298828125</c:v>
                </c:pt>
                <c:pt idx="61">
                  <c:v>5275.7001953125</c:v>
                </c:pt>
                <c:pt idx="62">
                  <c:v>5282.7001953125</c:v>
                </c:pt>
                <c:pt idx="63">
                  <c:v>5158.2001953125</c:v>
                </c:pt>
                <c:pt idx="64">
                  <c:v>5287.759765625</c:v>
                </c:pt>
                <c:pt idx="65">
                  <c:v>5375.85986328125</c:v>
                </c:pt>
                <c:pt idx="66">
                  <c:v>5484.77001953125</c:v>
                </c:pt>
                <c:pt idx="67">
                  <c:v>5525.2099609375</c:v>
                </c:pt>
                <c:pt idx="68">
                  <c:v>5528.75</c:v>
                </c:pt>
                <c:pt idx="69">
                  <c:v>5560.830078125</c:v>
                </c:pt>
                <c:pt idx="70">
                  <c:v>5569.06005859375</c:v>
                </c:pt>
                <c:pt idx="71">
                  <c:v>5604.14013671875</c:v>
                </c:pt>
                <c:pt idx="72">
                  <c:v>5686.669921875</c:v>
                </c:pt>
                <c:pt idx="73">
                  <c:v>5650.3798828125</c:v>
                </c:pt>
                <c:pt idx="74">
                  <c:v>5606.91015625</c:v>
                </c:pt>
                <c:pt idx="75">
                  <c:v>5631.27978515625</c:v>
                </c:pt>
                <c:pt idx="76">
                  <c:v>5663.93994140625</c:v>
                </c:pt>
                <c:pt idx="77">
                  <c:v>5659.91015625</c:v>
                </c:pt>
                <c:pt idx="78">
                  <c:v>5844.18994140625</c:v>
                </c:pt>
                <c:pt idx="79">
                  <c:v>5886.5498046875</c:v>
                </c:pt>
                <c:pt idx="80">
                  <c:v>5892.580078125</c:v>
                </c:pt>
                <c:pt idx="81">
                  <c:v>5916.93017578125</c:v>
                </c:pt>
                <c:pt idx="82">
                  <c:v>5958.3798828125</c:v>
                </c:pt>
                <c:pt idx="83">
                  <c:v>5963.60009765625</c:v>
                </c:pt>
                <c:pt idx="84">
                  <c:v>5940.4599609375</c:v>
                </c:pt>
                <c:pt idx="85">
                  <c:v>5844.60986328125</c:v>
                </c:pt>
                <c:pt idx="86">
                  <c:v>5842.009765625</c:v>
                </c:pt>
                <c:pt idx="87">
                  <c:v>5802.81982421875</c:v>
                </c:pt>
                <c:pt idx="88">
                  <c:v>5921.5400390625</c:v>
                </c:pt>
                <c:pt idx="89">
                  <c:v>5888.5498046875</c:v>
                </c:pt>
                <c:pt idx="90">
                  <c:v>5912.169921875</c:v>
                </c:pt>
                <c:pt idx="91">
                  <c:v>5911.68994140625</c:v>
                </c:pt>
                <c:pt idx="92">
                  <c:v>5935.93994140625</c:v>
                </c:pt>
                <c:pt idx="93">
                  <c:v>5970.3701171875</c:v>
                </c:pt>
                <c:pt idx="94">
                  <c:v>5970.81005859375</c:v>
                </c:pt>
                <c:pt idx="95">
                  <c:v>5939.2998046875</c:v>
                </c:pt>
                <c:pt idx="96">
                  <c:v>6000.35986328125</c:v>
                </c:pt>
                <c:pt idx="97">
                  <c:v>6005.8798828125</c:v>
                </c:pt>
                <c:pt idx="98">
                  <c:v>6038.81005859375</c:v>
                </c:pt>
                <c:pt idx="99">
                  <c:v>6022.240234375</c:v>
                </c:pt>
                <c:pt idx="100">
                  <c:v>6045.259765625</c:v>
                </c:pt>
                <c:pt idx="101">
                  <c:v>5976.97021484375</c:v>
                </c:pt>
                <c:pt idx="102">
                  <c:v>6033.10986328125</c:v>
                </c:pt>
                <c:pt idx="103">
                  <c:v>5982.72021484375</c:v>
                </c:pt>
                <c:pt idx="104">
                  <c:v>5980.8701171875</c:v>
                </c:pt>
                <c:pt idx="105">
                  <c:v>5967.83984375</c:v>
                </c:pt>
                <c:pt idx="106">
                  <c:v>6025.169921875</c:v>
                </c:pt>
                <c:pt idx="107">
                  <c:v>6092.18017578125</c:v>
                </c:pt>
                <c:pt idx="108">
                  <c:v>6092.16015625</c:v>
                </c:pt>
                <c:pt idx="109">
                  <c:v>6141.02001953125</c:v>
                </c:pt>
                <c:pt idx="110">
                  <c:v>6173.06982421875</c:v>
                </c:pt>
                <c:pt idx="111">
                  <c:v>6204.9501953125</c:v>
                </c:pt>
                <c:pt idx="112">
                  <c:v>6198.009765625</c:v>
                </c:pt>
                <c:pt idx="113">
                  <c:v>6227.419921875</c:v>
                </c:pt>
                <c:pt idx="114">
                  <c:v>6279.35009765625</c:v>
                </c:pt>
                <c:pt idx="115">
                  <c:v>6229.97998046875</c:v>
                </c:pt>
                <c:pt idx="116">
                  <c:v>6225.52001953125</c:v>
                </c:pt>
                <c:pt idx="117">
                  <c:v>6263.259765625</c:v>
                </c:pt>
                <c:pt idx="118">
                  <c:v>6280.4599609375</c:v>
                </c:pt>
                <c:pt idx="119">
                  <c:v>6259.75</c:v>
                </c:pt>
                <c:pt idx="120">
                  <c:v>6268.56005859375</c:v>
                </c:pt>
                <c:pt idx="121">
                  <c:v>6243.759765625</c:v>
                </c:pt>
                <c:pt idx="122">
                  <c:v>6263.7001953125</c:v>
                </c:pt>
                <c:pt idx="123">
                  <c:v>6297.35986328125</c:v>
                </c:pt>
                <c:pt idx="124">
                  <c:v>6296.7900390625</c:v>
                </c:pt>
                <c:pt idx="125">
                  <c:v>6305.60009765625</c:v>
                </c:pt>
                <c:pt idx="126">
                  <c:v>6309.6201171875</c:v>
                </c:pt>
                <c:pt idx="127">
                  <c:v>6358.91015625</c:v>
                </c:pt>
                <c:pt idx="128">
                  <c:v>6363.35009765625</c:v>
                </c:pt>
                <c:pt idx="129">
                  <c:v>6388.64013671875</c:v>
                </c:pt>
                <c:pt idx="130">
                  <c:v>6389.77001953125</c:v>
                </c:pt>
                <c:pt idx="131">
                  <c:v>6370.85986328125</c:v>
                </c:pt>
                <c:pt idx="132">
                  <c:v>6362.89990234375</c:v>
                </c:pt>
                <c:pt idx="133">
                  <c:v>6339.39013671875</c:v>
                </c:pt>
                <c:pt idx="134">
                  <c:v>6238.009765625</c:v>
                </c:pt>
                <c:pt idx="135">
                  <c:v>6329.93994140625</c:v>
                </c:pt>
                <c:pt idx="136">
                  <c:v>6299.18994140625</c:v>
                </c:pt>
                <c:pt idx="137">
                  <c:v>6345.06005859375</c:v>
                </c:pt>
                <c:pt idx="138">
                  <c:v>6340</c:v>
                </c:pt>
                <c:pt idx="139">
                  <c:v>6389.4501953125</c:v>
                </c:pt>
                <c:pt idx="140">
                  <c:v>6373.4501953125</c:v>
                </c:pt>
                <c:pt idx="141">
                  <c:v>6445.759765625</c:v>
                </c:pt>
                <c:pt idx="142">
                  <c:v>6466.580078125</c:v>
                </c:pt>
                <c:pt idx="143">
                  <c:v>6468.5400390625</c:v>
                </c:pt>
                <c:pt idx="144">
                  <c:v>6449.7998046875</c:v>
                </c:pt>
                <c:pt idx="145">
                  <c:v>6449.14990234375</c:v>
                </c:pt>
                <c:pt idx="146">
                  <c:v>6411.3701171875</c:v>
                </c:pt>
                <c:pt idx="147">
                  <c:v>6395.77978515625</c:v>
                </c:pt>
                <c:pt idx="148">
                  <c:v>6370.169921875</c:v>
                </c:pt>
                <c:pt idx="149">
                  <c:v>6466.91015625</c:v>
                </c:pt>
                <c:pt idx="150">
                  <c:v>6439.31982421875</c:v>
                </c:pt>
                <c:pt idx="151">
                  <c:v>6465.93994140625</c:v>
                </c:pt>
                <c:pt idx="152">
                  <c:v>6481.39990234375</c:v>
                </c:pt>
                <c:pt idx="153">
                  <c:v>6501.85986328125</c:v>
                </c:pt>
                <c:pt idx="154">
                  <c:v>6460.259765625</c:v>
                </c:pt>
                <c:pt idx="155">
                  <c:v>6415.5400390625</c:v>
                </c:pt>
                <c:pt idx="156">
                  <c:v>6448.259765625</c:v>
                </c:pt>
                <c:pt idx="157">
                  <c:v>6502.080078125</c:v>
                </c:pt>
                <c:pt idx="158">
                  <c:v>6481.5</c:v>
                </c:pt>
                <c:pt idx="159">
                  <c:v>6495.14990234375</c:v>
                </c:pt>
                <c:pt idx="160">
                  <c:v>6512.60986328125</c:v>
                </c:pt>
                <c:pt idx="161">
                  <c:v>6532.0400390625</c:v>
                </c:pt>
                <c:pt idx="162">
                  <c:v>6587.47021484375</c:v>
                </c:pt>
                <c:pt idx="163">
                  <c:v>6584.2900390625</c:v>
                </c:pt>
                <c:pt idx="164">
                  <c:v>6615.27978515625</c:v>
                </c:pt>
                <c:pt idx="165">
                  <c:v>6606.759765625</c:v>
                </c:pt>
                <c:pt idx="166">
                  <c:v>6600.35009765625</c:v>
                </c:pt>
                <c:pt idx="167">
                  <c:v>6631.9599609375</c:v>
                </c:pt>
                <c:pt idx="168">
                  <c:v>6664.35986328125</c:v>
                </c:pt>
                <c:pt idx="169">
                  <c:v>6693.75</c:v>
                </c:pt>
                <c:pt idx="170">
                  <c:v>6656.919921875</c:v>
                </c:pt>
                <c:pt idx="171">
                  <c:v>6637.97021484375</c:v>
                </c:pt>
                <c:pt idx="172">
                  <c:v>6604.72021484375</c:v>
                </c:pt>
                <c:pt idx="173">
                  <c:v>6643.7001953125</c:v>
                </c:pt>
                <c:pt idx="174">
                  <c:v>6661.2099609375</c:v>
                </c:pt>
                <c:pt idx="175">
                  <c:v>6688.4599609375</c:v>
                </c:pt>
                <c:pt idx="176">
                  <c:v>6711.2001953125</c:v>
                </c:pt>
                <c:pt idx="177">
                  <c:v>6715.35009765625</c:v>
                </c:pt>
                <c:pt idx="178">
                  <c:v>6715.7900390625</c:v>
                </c:pt>
                <c:pt idx="179">
                  <c:v>6740.27978515625</c:v>
                </c:pt>
                <c:pt idx="180">
                  <c:v>6714.58984375</c:v>
                </c:pt>
                <c:pt idx="181">
                  <c:v>6753.72021484375</c:v>
                </c:pt>
                <c:pt idx="182">
                  <c:v>6735.10986328125</c:v>
                </c:pt>
                <c:pt idx="183">
                  <c:v>6552.509765625</c:v>
                </c:pt>
                <c:pt idx="184">
                  <c:v>6654.72021484375</c:v>
                </c:pt>
                <c:pt idx="185">
                  <c:v>6644.31005859375</c:v>
                </c:pt>
                <c:pt idx="186">
                  <c:v>6671.06005859375</c:v>
                </c:pt>
                <c:pt idx="187">
                  <c:v>6629.06982421875</c:v>
                </c:pt>
                <c:pt idx="188">
                  <c:v>6664.009765625</c:v>
                </c:pt>
                <c:pt idx="189">
                  <c:v>6735.1298828125</c:v>
                </c:pt>
                <c:pt idx="190">
                  <c:v>6735.35009765625</c:v>
                </c:pt>
                <c:pt idx="191">
                  <c:v>6699.39990234375</c:v>
                </c:pt>
                <c:pt idx="192">
                  <c:v>6738.43994140625</c:v>
                </c:pt>
                <c:pt idx="193">
                  <c:v>6791.68994140625</c:v>
                </c:pt>
                <c:pt idx="194">
                  <c:v>6875.16015625</c:v>
                </c:pt>
                <c:pt idx="195">
                  <c:v>6890.89013671875</c:v>
                </c:pt>
                <c:pt idx="196">
                  <c:v>6890.58984375</c:v>
                </c:pt>
                <c:pt idx="197">
                  <c:v>6822.33984375</c:v>
                </c:pt>
                <c:pt idx="198">
                  <c:v>6840.2001953125</c:v>
                </c:pt>
                <c:pt idx="199">
                  <c:v>6851.97021484375</c:v>
                </c:pt>
                <c:pt idx="200">
                  <c:v>6771.5498046875</c:v>
                </c:pt>
                <c:pt idx="201">
                  <c:v>6796.2900390625</c:v>
                </c:pt>
                <c:pt idx="202">
                  <c:v>6720.31982421875</c:v>
                </c:pt>
                <c:pt idx="203">
                  <c:v>6728.7998046875</c:v>
                </c:pt>
                <c:pt idx="204">
                  <c:v>6832.43017578125</c:v>
                </c:pt>
                <c:pt idx="205">
                  <c:v>6846.60986328125</c:v>
                </c:pt>
                <c:pt idx="206">
                  <c:v>6850.919921875</c:v>
                </c:pt>
                <c:pt idx="207">
                  <c:v>6737.490234375</c:v>
                </c:pt>
                <c:pt idx="208">
                  <c:v>6734.10986328125</c:v>
                </c:pt>
                <c:pt idx="209">
                  <c:v>6672.41015625</c:v>
                </c:pt>
                <c:pt idx="210">
                  <c:v>6617.31982421875</c:v>
                </c:pt>
                <c:pt idx="211">
                  <c:v>6642.16015625</c:v>
                </c:pt>
                <c:pt idx="212">
                  <c:v>6538.759765625</c:v>
                </c:pt>
                <c:pt idx="213">
                  <c:v>6602.990234375</c:v>
                </c:pt>
                <c:pt idx="214">
                  <c:v>6705.1201171875</c:v>
                </c:pt>
                <c:pt idx="215">
                  <c:v>6765.8798828125</c:v>
                </c:pt>
                <c:pt idx="216">
                  <c:v>6812.60986328125</c:v>
                </c:pt>
                <c:pt idx="217">
                  <c:v>6849.08984375</c:v>
                </c:pt>
                <c:pt idx="218">
                  <c:v>6812.6298828125</c:v>
                </c:pt>
                <c:pt idx="219">
                  <c:v>6829.3701171875</c:v>
                </c:pt>
                <c:pt idx="220">
                  <c:v>6849.72021484375</c:v>
                </c:pt>
                <c:pt idx="221">
                  <c:v>6857.1201171875</c:v>
                </c:pt>
                <c:pt idx="222">
                  <c:v>6870.39990234375</c:v>
                </c:pt>
                <c:pt idx="223">
                  <c:v>6846.509765625</c:v>
                </c:pt>
                <c:pt idx="224">
                  <c:v>6840.509765625</c:v>
                </c:pt>
                <c:pt idx="225">
                  <c:v>6886.68017578125</c:v>
                </c:pt>
                <c:pt idx="226">
                  <c:v>6901</c:v>
                </c:pt>
                <c:pt idx="227">
                  <c:v>6827.41015625</c:v>
                </c:pt>
                <c:pt idx="228">
                  <c:v>6816.509765625</c:v>
                </c:pt>
                <c:pt idx="229">
                  <c:v>6800.259765625</c:v>
                </c:pt>
                <c:pt idx="230">
                  <c:v>6721.43017578125</c:v>
                </c:pt>
                <c:pt idx="231">
                  <c:v>6774.759765625</c:v>
                </c:pt>
                <c:pt idx="232">
                  <c:v>6834.5</c:v>
                </c:pt>
                <c:pt idx="233">
                  <c:v>6878.490234375</c:v>
                </c:pt>
                <c:pt idx="234">
                  <c:v>6909.7900390625</c:v>
                </c:pt>
                <c:pt idx="235">
                  <c:v>6932.0498046875</c:v>
                </c:pt>
                <c:pt idx="236">
                  <c:v>6929.93994140625</c:v>
                </c:pt>
                <c:pt idx="237">
                  <c:v>6905.740234375</c:v>
                </c:pt>
                <c:pt idx="238">
                  <c:v>6896.240234375</c:v>
                </c:pt>
                <c:pt idx="239">
                  <c:v>6845.5</c:v>
                </c:pt>
                <c:pt idx="240">
                  <c:v>6858.47021484375</c:v>
                </c:pt>
                <c:pt idx="241">
                  <c:v>6902.0498046875</c:v>
                </c:pt>
                <c:pt idx="242">
                  <c:v>6944.81982421875</c:v>
                </c:pt>
                <c:pt idx="243">
                  <c:v>6920.93017578125</c:v>
                </c:pt>
                <c:pt idx="244">
                  <c:v>6921.4599609375</c:v>
                </c:pt>
                <c:pt idx="245">
                  <c:v>6966.27978515625</c:v>
                </c:pt>
                <c:pt idx="246">
                  <c:v>6977.27001953125</c:v>
                </c:pt>
                <c:pt idx="247">
                  <c:v>6963.740234375</c:v>
                </c:pt>
                <c:pt idx="248">
                  <c:v>6926.60009765625</c:v>
                </c:pt>
                <c:pt idx="249">
                  <c:v>6944.47021484375</c:v>
                </c:pt>
                <c:pt idx="250">
                  <c:v>6940.009765625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5E-425D-8559-CEF6CBB6B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9879920"/>
        <c:axId val="999878960"/>
      </c:lineChart>
      <c:dateAx>
        <c:axId val="116259321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593696"/>
        <c:crosses val="autoZero"/>
        <c:auto val="0"/>
        <c:lblOffset val="100"/>
        <c:baseTimeUnit val="days"/>
      </c:dateAx>
      <c:valAx>
        <c:axId val="11625936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593216"/>
        <c:crosses val="autoZero"/>
        <c:crossBetween val="between"/>
      </c:valAx>
      <c:valAx>
        <c:axId val="9998789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879920"/>
        <c:crosses val="max"/>
        <c:crossBetween val="between"/>
      </c:valAx>
      <c:dateAx>
        <c:axId val="99987992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99987896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waterfall" uniqueId="{09FEF1FC-10B9-457D-A5A5-CBB467B4C4A0}" formatIdx="0">
          <cx:spPr>
            <a:solidFill>
              <a:srgbClr val="EA8436"/>
            </a:solidFill>
          </cx:spPr>
          <cx:dataPt idx="0">
            <cx:spPr>
              <a:solidFill>
                <a:sysClr val="windowText" lastClr="000000">
                  <a:lumMod val="50000"/>
                  <a:lumOff val="50000"/>
                </a:sysClr>
              </a:solidFill>
            </cx:spPr>
          </cx:dataPt>
          <cx:dataPt idx="1">
            <cx:spPr>
              <a:solidFill>
                <a:sysClr val="window" lastClr="FFFFFF">
                  <a:lumMod val="85000"/>
                </a:sysClr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subtotals>
              <cx:idx val="2"/>
              <cx:idx val="3"/>
            </cx:subtotals>
          </cx:layoutPr>
        </cx:series>
      </cx:plotAreaRegion>
      <cx:axis id="0">
        <cx:catScaling gapWidth="0.550000012"/>
        <cx:tickLabels/>
      </cx:axis>
      <cx:axis id="1" hidden="1">
        <cx:valScaling/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125260</xdr:colOff>
      <xdr:row>45</xdr:row>
      <xdr:rowOff>157655</xdr:rowOff>
    </xdr:from>
    <xdr:to>
      <xdr:col>7</xdr:col>
      <xdr:colOff>16747</xdr:colOff>
      <xdr:row>64</xdr:row>
      <xdr:rowOff>83505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9938834-09A9-4752-AAA4-28D68755D4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260" y="7788093"/>
              <a:ext cx="3826747" cy="30991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578068</xdr:colOff>
      <xdr:row>45</xdr:row>
      <xdr:rowOff>166216</xdr:rowOff>
    </xdr:from>
    <xdr:to>
      <xdr:col>14</xdr:col>
      <xdr:colOff>8759</xdr:colOff>
      <xdr:row>65</xdr:row>
      <xdr:rowOff>26275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511740-3D3D-42F4-868D-0B61EB8843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144145</xdr:colOff>
      <xdr:row>22</xdr:row>
      <xdr:rowOff>128751</xdr:rowOff>
    </xdr:from>
    <xdr:to>
      <xdr:col>7</xdr:col>
      <xdr:colOff>12700</xdr:colOff>
      <xdr:row>42</xdr:row>
      <xdr:rowOff>83507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84D40A-F033-E1ED-9FC4-73F56311D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599966</xdr:colOff>
      <xdr:row>23</xdr:row>
      <xdr:rowOff>0</xdr:rowOff>
    </xdr:from>
    <xdr:to>
      <xdr:col>14</xdr:col>
      <xdr:colOff>8759</xdr:colOff>
      <xdr:row>42</xdr:row>
      <xdr:rowOff>26276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877B78-DB08-3EA9-C31F-A6E971A95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326571</xdr:colOff>
      <xdr:row>5</xdr:row>
      <xdr:rowOff>0</xdr:rowOff>
    </xdr:from>
    <xdr:to>
      <xdr:col>13</xdr:col>
      <xdr:colOff>508001</xdr:colOff>
      <xdr:row>17</xdr:row>
      <xdr:rowOff>76200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A02AEA-4D31-48A8-B708-1472811D3172}"/>
            </a:ext>
          </a:extLst>
        </xdr:cNvPr>
        <xdr:cNvSpPr txBox="1"/>
      </xdr:nvSpPr>
      <xdr:spPr>
        <a:xfrm>
          <a:off x="326571" y="838200"/>
          <a:ext cx="8042730" cy="1930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The Home Depot, Inc.</a:t>
          </a:r>
          <a:r>
            <a:rPr lang="en-US"/>
            <a:t> was founded in 1978 and is headquartered in Atlanta, GA, USA. It is the world's largest home improvement retailer, providing a wide range of building materials, home improvement products, lawn and garden products, and décor.</a:t>
          </a:r>
          <a:br>
            <a:rPr lang="en-US"/>
          </a:br>
          <a:endParaRPr lang="en-US"/>
        </a:p>
        <a:p>
          <a:r>
            <a:rPr lang="en-US"/>
            <a:t>The company operates through two primary segments: </a:t>
          </a:r>
          <a:r>
            <a:rPr lang="en-US" b="1"/>
            <a:t>North America (U.S., Canada)</a:t>
          </a:r>
          <a:r>
            <a:rPr lang="en-US"/>
            <a:t> and </a:t>
          </a:r>
          <a:r>
            <a:rPr lang="en-US" b="1"/>
            <a:t>International (Mexico)</a:t>
          </a:r>
          <a:r>
            <a:rPr lang="en-US"/>
            <a:t>. </a:t>
          </a:r>
          <a:br>
            <a:rPr lang="en-US"/>
          </a:br>
          <a:br>
            <a:rPr lang="en-US"/>
          </a:br>
          <a:r>
            <a:rPr lang="en-US"/>
            <a:t>Its business activities include:</a:t>
          </a:r>
        </a:p>
        <a:p>
          <a:r>
            <a:rPr lang="en-US"/>
            <a:t>Selling products through over 2,300 big-box retail stores and a globally integrated e-commerce platform.</a:t>
          </a:r>
        </a:p>
        <a:p>
          <a:r>
            <a:rPr lang="en-US"/>
            <a:t>Serving three primary customer groups: </a:t>
          </a:r>
          <a:r>
            <a:rPr lang="en-US" b="1"/>
            <a:t>DIY (Do-It-Yourself)</a:t>
          </a:r>
          <a:r>
            <a:rPr lang="en-US"/>
            <a:t>, </a:t>
          </a:r>
          <a:r>
            <a:rPr lang="en-US" b="1"/>
            <a:t>DIFM (Do-It-For-Me)</a:t>
          </a:r>
          <a:r>
            <a:rPr lang="en-US"/>
            <a:t>, and </a:t>
          </a:r>
          <a:r>
            <a:rPr lang="en-US" b="1"/>
            <a:t>Professional (Pros)</a:t>
          </a:r>
          <a:r>
            <a:rPr lang="en-US"/>
            <a:t>.</a:t>
          </a:r>
        </a:p>
        <a:p>
          <a:r>
            <a:rPr lang="en-US"/>
            <a:t>Providing installation services for products like flooring, cabinets, and windows.</a:t>
          </a:r>
        </a:p>
        <a:p>
          <a:r>
            <a:rPr lang="en-US"/>
            <a:t>Offering specialized Pro-grade tools, rental equipment, and delivery logistics for construction professionals.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593558</xdr:colOff>
      <xdr:row>4</xdr:row>
      <xdr:rowOff>152401</xdr:rowOff>
    </xdr:from>
    <xdr:to>
      <xdr:col>14</xdr:col>
      <xdr:colOff>29308</xdr:colOff>
      <xdr:row>24</xdr:row>
      <xdr:rowOff>32084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DD24B5-5A6C-40A6-A43B-3DE27DCCA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33007</xdr:colOff>
      <xdr:row>5</xdr:row>
      <xdr:rowOff>141515</xdr:rowOff>
    </xdr:from>
    <xdr:to>
      <xdr:col>12</xdr:col>
      <xdr:colOff>40105</xdr:colOff>
      <xdr:row>22</xdr:row>
      <xdr:rowOff>56148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777A47F-8CE8-461B-9499-1CE4217E51F2}"/>
            </a:ext>
          </a:extLst>
        </xdr:cNvPr>
        <xdr:cNvCxnSpPr/>
      </xdr:nvCxnSpPr>
      <xdr:spPr>
        <a:xfrm>
          <a:off x="8567407" y="983726"/>
          <a:ext cx="7098" cy="2778148"/>
        </a:xfrm>
        <a:prstGeom prst="line">
          <a:avLst/>
        </a:prstGeom>
        <a:ln w="952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103588</xdr:colOff>
      <xdr:row>4</xdr:row>
      <xdr:rowOff>124220</xdr:rowOff>
    </xdr:from>
    <xdr:to>
      <xdr:col>13</xdr:col>
      <xdr:colOff>574620</xdr:colOff>
      <xdr:row>6</xdr:row>
      <xdr:rowOff>128031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3AB6B22-E943-4D29-99F0-17A57D15BDB3}"/>
            </a:ext>
          </a:extLst>
        </xdr:cNvPr>
        <xdr:cNvSpPr txBox="1"/>
      </xdr:nvSpPr>
      <xdr:spPr>
        <a:xfrm>
          <a:off x="8006127" y="809164"/>
          <a:ext cx="1686808" cy="3462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800">
              <a:solidFill>
                <a:srgbClr val="EB6105"/>
              </a:solidFill>
            </a:rPr>
            <a:t>Current Stock Price</a:t>
          </a:r>
        </a:p>
        <a:p>
          <a:endParaRPr lang="en-CA" sz="800">
            <a:solidFill>
              <a:srgbClr val="EB6105"/>
            </a:solidFill>
          </a:endParaRPr>
        </a:p>
      </xdr:txBody>
    </xdr:sp>
    <xdr:clientData/>
  </xdr:twoCellAnchor>
  <xdr:twoCellAnchor>
    <xdr:from>
      <xdr:col>0</xdr:col>
      <xdr:colOff>561192</xdr:colOff>
      <xdr:row>27</xdr:row>
      <xdr:rowOff>142783</xdr:rowOff>
    </xdr:from>
    <xdr:to>
      <xdr:col>7</xdr:col>
      <xdr:colOff>19050</xdr:colOff>
      <xdr:row>47</xdr:row>
      <xdr:rowOff>28754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4B15F3A-CBED-48B4-8A9D-7AE82201D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605691</xdr:colOff>
      <xdr:row>27</xdr:row>
      <xdr:rowOff>131829</xdr:rowOff>
    </xdr:from>
    <xdr:to>
      <xdr:col>14</xdr:col>
      <xdr:colOff>9768</xdr:colOff>
      <xdr:row>47</xdr:row>
      <xdr:rowOff>32084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66CAE37-167F-42D6-A20B-F047F922C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15030</xdr:colOff>
      <xdr:row>37</xdr:row>
      <xdr:rowOff>15698</xdr:rowOff>
    </xdr:from>
    <xdr:to>
      <xdr:col>14</xdr:col>
      <xdr:colOff>114300</xdr:colOff>
      <xdr:row>38</xdr:row>
      <xdr:rowOff>79409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9EB9ED9-1306-4305-A2A6-2C535490FE1E}"/>
            </a:ext>
          </a:extLst>
        </xdr:cNvPr>
        <xdr:cNvSpPr txBox="1"/>
      </xdr:nvSpPr>
      <xdr:spPr>
        <a:xfrm>
          <a:off x="9159030" y="6218378"/>
          <a:ext cx="708870" cy="2313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00" b="1">
              <a:solidFill>
                <a:schemeClr val="tx1">
                  <a:lumMod val="75000"/>
                  <a:lumOff val="25000"/>
                </a:schemeClr>
              </a:solidFill>
            </a:rPr>
            <a:t>EBITDA</a:t>
          </a:r>
        </a:p>
      </xdr:txBody>
    </xdr:sp>
    <xdr:clientData/>
  </xdr:twoCellAnchor>
  <xdr:twoCellAnchor>
    <xdr:from>
      <xdr:col>13</xdr:col>
      <xdr:colOff>86858</xdr:colOff>
      <xdr:row>32</xdr:row>
      <xdr:rowOff>1257</xdr:rowOff>
    </xdr:from>
    <xdr:to>
      <xdr:col>14</xdr:col>
      <xdr:colOff>21391</xdr:colOff>
      <xdr:row>33</xdr:row>
      <xdr:rowOff>78825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980234D-62DB-43E1-83A1-C92B096A2014}"/>
            </a:ext>
          </a:extLst>
        </xdr:cNvPr>
        <xdr:cNvSpPr txBox="1"/>
      </xdr:nvSpPr>
      <xdr:spPr>
        <a:xfrm>
          <a:off x="9230858" y="5365737"/>
          <a:ext cx="544133" cy="2452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00" b="1">
              <a:solidFill>
                <a:schemeClr val="accent2"/>
              </a:solidFill>
            </a:rPr>
            <a:t>FCFF</a:t>
          </a:r>
        </a:p>
      </xdr:txBody>
    </xdr:sp>
    <xdr:clientData/>
  </xdr:twoCellAnchor>
  <xdr:twoCellAnchor>
    <xdr:from>
      <xdr:col>12</xdr:col>
      <xdr:colOff>489847</xdr:colOff>
      <xdr:row>39</xdr:row>
      <xdr:rowOff>134018</xdr:rowOff>
    </xdr:from>
    <xdr:to>
      <xdr:col>14</xdr:col>
      <xdr:colOff>224197</xdr:colOff>
      <xdr:row>42</xdr:row>
      <xdr:rowOff>42339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A99FD00-58EC-4B60-A7A7-601BC4E53E46}"/>
            </a:ext>
          </a:extLst>
        </xdr:cNvPr>
        <xdr:cNvSpPr txBox="1"/>
      </xdr:nvSpPr>
      <xdr:spPr>
        <a:xfrm>
          <a:off x="9024247" y="6671978"/>
          <a:ext cx="953550" cy="4112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00" b="1">
              <a:solidFill>
                <a:srgbClr val="D4D4D4"/>
              </a:solidFill>
            </a:rPr>
            <a:t>Net Income</a:t>
          </a:r>
        </a:p>
      </xdr:txBody>
    </xdr:sp>
    <xdr:clientData/>
  </xdr:twoCellAnchor>
  <xdr:twoCellAnchor>
    <xdr:from>
      <xdr:col>1</xdr:col>
      <xdr:colOff>2957</xdr:colOff>
      <xdr:row>4</xdr:row>
      <xdr:rowOff>167795</xdr:rowOff>
    </xdr:from>
    <xdr:to>
      <xdr:col>7</xdr:col>
      <xdr:colOff>9524</xdr:colOff>
      <xdr:row>24</xdr:row>
      <xdr:rowOff>29592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7DDE765-912A-E724-AC81-58BFC9FD6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237</xdr:colOff>
      <xdr:row>21</xdr:row>
      <xdr:rowOff>96354</xdr:rowOff>
    </xdr:from>
    <xdr:to>
      <xdr:col>14</xdr:col>
      <xdr:colOff>0</xdr:colOff>
      <xdr:row>23</xdr:row>
      <xdr:rowOff>77303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E333688-20D3-4CA3-8460-1EF52DAE89BE}"/>
            </a:ext>
          </a:extLst>
        </xdr:cNvPr>
        <xdr:cNvSpPr txBox="1"/>
      </xdr:nvSpPr>
      <xdr:spPr>
        <a:xfrm>
          <a:off x="8510664" y="3692309"/>
          <a:ext cx="1683296" cy="3234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800" b="1">
              <a:solidFill>
                <a:schemeClr val="tx1"/>
              </a:solidFill>
            </a:rPr>
            <a:t>$379.16</a:t>
          </a:r>
        </a:p>
        <a:p>
          <a:endParaRPr lang="en-CA" sz="800" b="1">
            <a:solidFill>
              <a:schemeClr val="tx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50:P78" headerRowCount="0" headerRowDxfId="46" dataDxfId="45" totalsRowDxfId="44">
  <tableColumns count="14">
    <tableColumn id="1" xr3:uid="{00000000-0010-0000-0000-000001000000}" name="Column1" dataDxfId="43"/>
    <tableColumn id="2" xr3:uid="{00000000-0010-0000-0000-000002000000}" name="Column2" dataDxfId="42"/>
    <tableColumn id="3" xr3:uid="{00000000-0010-0000-0000-000003000000}" name="Column3" dataDxfId="41"/>
    <tableColumn id="4" xr3:uid="{00000000-0010-0000-0000-000004000000}" name="Column4" dataDxfId="40"/>
    <tableColumn id="5" xr3:uid="{00000000-0010-0000-0000-000005000000}" name="Column5" dataDxfId="39"/>
    <tableColumn id="6" xr3:uid="{00000000-0010-0000-0000-000006000000}" name="Column6" dataDxfId="38"/>
    <tableColumn id="7" xr3:uid="{00000000-0010-0000-0000-000007000000}" name="Column7" dataDxfId="37"/>
    <tableColumn id="8" xr3:uid="{00000000-0010-0000-0000-000008000000}" name="Column8" dataDxfId="36"/>
    <tableColumn id="9" xr3:uid="{00000000-0010-0000-0000-000009000000}" name="Column9" dataDxfId="35"/>
    <tableColumn id="10" xr3:uid="{00000000-0010-0000-0000-00000A000000}" name="Column10" dataDxfId="34"/>
    <tableColumn id="11" xr3:uid="{00000000-0010-0000-0000-00000B000000}" name="Column11" dataDxfId="33"/>
    <tableColumn id="12" xr3:uid="{00000000-0010-0000-0000-00000C000000}" name="Column12" dataDxfId="32"/>
    <tableColumn id="13" xr3:uid="{00000000-0010-0000-0000-00000D000000}" name="Column13" dataDxfId="31"/>
    <tableColumn id="14" xr3:uid="{00000000-0010-0000-0000-00000E000000}" name="Column14" dataDxfId="30"/>
  </tableColumns>
  <tableStyleInfo name="NWC &amp; Capex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330E58-A84A-4CB5-9888-1E0A74ABC8BC}" name="Table2" displayName="Table2" ref="B26:D277" totalsRowShown="0" headerRowDxfId="29" dataDxfId="28" headerRowCellStyle="Normal 2 2 3">
  <autoFilter ref="B26:D277" xr:uid="{23330E58-A84A-4CB5-9888-1E0A74ABC8BC}"/>
  <tableColumns count="3">
    <tableColumn id="1" xr3:uid="{37BAD786-F93A-43A8-8C07-066AA2488E5F}" name="Date" dataDxfId="27"/>
    <tableColumn id="2" xr3:uid="{C7D6625A-4963-40ED-BDA4-54D03D63F74D}" name="The Home Depot" dataDxfId="26"/>
    <tableColumn id="3" xr3:uid="{58111A22-CB65-4B1B-9173-CC11544DAB61}" name="S&amp;P 500" dataDxfId="25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355AB5-A2CC-4702-9D72-3269840C8395}" name="Table3" displayName="Table3" ref="B3:C22" totalsRowShown="0" headerRowDxfId="24" headerRowBorderDxfId="23" tableBorderDxfId="22" totalsRowBorderDxfId="21">
  <autoFilter ref="B3:C22" xr:uid="{FC355AB5-A2CC-4702-9D72-3269840C8395}"/>
  <tableColumns count="2">
    <tableColumn id="1" xr3:uid="{F47988D2-0D94-4089-B774-721BB13CB7BA}" name="Year" dataDxfId="20"/>
    <tableColumn id="2" xr3:uid="{FE4004C0-4922-4055-B68D-F369179CF660}" name="Historical Capex" dataDxfId="19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438" row="6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BEBB2D6C-6CE9-A44D-AC17-5BA53AFCFA01}">
  <we:reference id="wa104380862" version="1.5.0.0" store="en-US" storeType="OMEX"/>
  <we:alternateReferences>
    <we:reference id="wa104380862" version="1.5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D2D46624-68C0-A04C-A113-D5DBCB3DF6BA}">
  <we:reference id="7d3879d5-0f37-4a77-806a-74d17b40bc4e" version="1.0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C0365631-F088-6D4D-ADAE-D1283C3780DF}">
  <we:reference id="wa200003121" version="1.0.0.0" store="en-US" storeType="OMEX"/>
  <we:alternateReferences>
    <we:reference id="WA200003121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C39C0-04B4-43BB-BF97-BDE8D8F6C5DE}">
  <sheetPr>
    <tabColor rgb="FFEA8436"/>
  </sheetPr>
  <dimension ref="B1:Y103"/>
  <sheetViews>
    <sheetView showGridLines="0" tabSelected="1" zoomScale="73" zoomScaleNormal="90" workbookViewId="0">
      <selection activeCell="B6" sqref="B6"/>
    </sheetView>
  </sheetViews>
  <sheetFormatPr defaultRowHeight="13.2" customHeight="1"/>
  <cols>
    <col min="1" max="1" width="2.109375" style="465" customWidth="1"/>
    <col min="2" max="3" width="8.88671875" style="465"/>
    <col min="4" max="4" width="9.77734375" style="465" bestFit="1" customWidth="1"/>
    <col min="5" max="5" width="9.33203125" style="465" bestFit="1" customWidth="1"/>
    <col min="6" max="6" width="9.6640625" style="465" bestFit="1" customWidth="1"/>
    <col min="7" max="7" width="8.88671875" style="465"/>
    <col min="8" max="8" width="4" style="465" customWidth="1"/>
    <col min="9" max="10" width="9.6640625" style="465" bestFit="1" customWidth="1"/>
    <col min="11" max="11" width="9.77734375" style="465" bestFit="1" customWidth="1"/>
    <col min="12" max="12" width="9.5546875" style="465" customWidth="1"/>
    <col min="13" max="13" width="11.6640625" style="465" bestFit="1" customWidth="1"/>
    <col min="14" max="15" width="8.88671875" style="465"/>
    <col min="16" max="16" width="9" style="465" bestFit="1" customWidth="1"/>
    <col min="17" max="17" width="8.88671875" style="465"/>
    <col min="18" max="19" width="11" style="465" bestFit="1" customWidth="1"/>
    <col min="20" max="20" width="10.88671875" style="465" bestFit="1" customWidth="1"/>
    <col min="21" max="22" width="11.109375" style="465" bestFit="1" customWidth="1"/>
    <col min="23" max="23" width="9.33203125" style="465" bestFit="1" customWidth="1"/>
    <col min="24" max="25" width="9.21875" style="465" bestFit="1" customWidth="1"/>
    <col min="26" max="16384" width="8.88671875" style="465"/>
  </cols>
  <sheetData>
    <row r="1" spans="2:25" ht="11.4"/>
    <row r="2" spans="2:25" ht="16.2" thickBot="1">
      <c r="B2" s="646" t="s">
        <v>241</v>
      </c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</row>
    <row r="3" spans="2:25" ht="12.6" thickBot="1">
      <c r="B3" s="467"/>
      <c r="C3" s="467"/>
      <c r="D3" s="467"/>
      <c r="E3" s="467"/>
      <c r="F3" s="467"/>
      <c r="G3" s="467"/>
      <c r="H3" s="467"/>
      <c r="I3" s="467"/>
      <c r="J3" s="467"/>
      <c r="K3" s="467"/>
      <c r="L3" s="467"/>
      <c r="M3" s="467"/>
      <c r="N3" s="467"/>
      <c r="O3" s="467"/>
      <c r="P3" s="467"/>
      <c r="Q3" s="467"/>
      <c r="R3" s="467"/>
      <c r="S3" s="467"/>
      <c r="T3" s="467"/>
      <c r="U3" s="467"/>
      <c r="V3" s="467"/>
      <c r="W3" s="467"/>
      <c r="X3" s="467"/>
      <c r="Y3" s="467"/>
    </row>
    <row r="4" spans="2:25" ht="14.4" thickBot="1">
      <c r="B4" s="664" t="str">
        <f>_xlfn.CONCAT(Projections!P6,Projections!R6)</f>
        <v>Recommendation: HOLD</v>
      </c>
      <c r="C4" s="664"/>
      <c r="D4" s="664"/>
      <c r="E4" s="665"/>
      <c r="F4" s="666"/>
      <c r="G4" s="666"/>
      <c r="H4" s="666"/>
      <c r="I4" s="664"/>
      <c r="J4" s="667"/>
      <c r="K4" s="668"/>
      <c r="L4" s="669"/>
      <c r="M4" s="670"/>
      <c r="N4" s="666"/>
      <c r="O4" s="665"/>
      <c r="P4" s="665"/>
      <c r="Q4" s="667"/>
      <c r="R4" s="668"/>
      <c r="S4" s="669"/>
      <c r="T4" s="669"/>
      <c r="U4" s="669"/>
      <c r="V4" s="669"/>
      <c r="W4" s="671" t="str">
        <f>_xlfn.CONCAT(Projections!P7,Projections!R7)</f>
        <v>Target Price: 388.4</v>
      </c>
      <c r="X4" s="667"/>
      <c r="Y4" s="667"/>
    </row>
    <row r="5" spans="2:25" ht="12">
      <c r="B5" s="467"/>
      <c r="C5" s="467"/>
      <c r="D5" s="467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67"/>
      <c r="X5" s="467"/>
      <c r="Y5" s="467"/>
    </row>
    <row r="6" spans="2:25" ht="16.2" thickBot="1">
      <c r="B6" s="467"/>
      <c r="C6" s="467"/>
      <c r="D6" s="467"/>
      <c r="E6" s="467"/>
      <c r="F6" s="467"/>
      <c r="G6" s="467"/>
      <c r="H6" s="467"/>
      <c r="I6" s="467"/>
      <c r="J6" s="467"/>
      <c r="K6" s="467"/>
      <c r="L6" s="467"/>
      <c r="M6" s="467"/>
      <c r="N6" s="467"/>
      <c r="O6" s="467"/>
      <c r="P6" s="649" t="s">
        <v>245</v>
      </c>
      <c r="Q6" s="473"/>
      <c r="R6" s="474"/>
      <c r="S6" s="474"/>
      <c r="T6" s="474"/>
      <c r="U6" s="473"/>
      <c r="V6" s="475"/>
      <c r="W6" s="475"/>
      <c r="X6" s="475"/>
      <c r="Y6" s="475"/>
    </row>
    <row r="7" spans="2:25">
      <c r="B7" s="467"/>
      <c r="C7" s="467"/>
      <c r="D7" s="467"/>
      <c r="E7" s="467"/>
      <c r="F7" s="467"/>
      <c r="G7" s="467"/>
      <c r="H7" s="467"/>
      <c r="I7" s="467"/>
      <c r="J7" s="467"/>
      <c r="K7" s="467"/>
      <c r="L7" s="467"/>
      <c r="M7" s="467"/>
      <c r="N7" s="467"/>
      <c r="O7" s="467"/>
      <c r="P7" s="651" t="s">
        <v>187</v>
      </c>
      <c r="Q7" s="439"/>
      <c r="R7" s="439"/>
      <c r="S7" s="439"/>
      <c r="T7" s="439"/>
      <c r="U7" s="439"/>
      <c r="V7" s="439"/>
      <c r="W7" s="439"/>
      <c r="X7" s="439"/>
      <c r="Y7" s="439"/>
    </row>
    <row r="8" spans="2:25">
      <c r="B8" s="467"/>
      <c r="C8" s="467"/>
      <c r="D8" s="467"/>
      <c r="E8" s="467"/>
      <c r="F8" s="467"/>
      <c r="G8" s="467"/>
      <c r="H8" s="467"/>
      <c r="I8" s="467"/>
      <c r="J8" s="467"/>
      <c r="K8" s="467"/>
      <c r="L8" s="467"/>
      <c r="M8" s="467"/>
      <c r="N8" s="467"/>
      <c r="O8" s="467"/>
      <c r="P8" s="652"/>
      <c r="Q8" s="652"/>
      <c r="R8" s="652"/>
      <c r="S8" s="652"/>
      <c r="T8" s="652"/>
      <c r="U8" s="652"/>
      <c r="V8" s="652"/>
      <c r="W8" s="652"/>
      <c r="X8" s="652"/>
      <c r="Y8" s="652"/>
    </row>
    <row r="9" spans="2:25" ht="13.8" thickBot="1">
      <c r="B9" s="467"/>
      <c r="C9" s="467"/>
      <c r="D9" s="467"/>
      <c r="E9" s="467"/>
      <c r="F9" s="467"/>
      <c r="G9" s="467"/>
      <c r="H9" s="467"/>
      <c r="I9" s="467"/>
      <c r="J9" s="467"/>
      <c r="K9" s="467"/>
      <c r="L9" s="467"/>
      <c r="M9" s="467"/>
      <c r="N9" s="467"/>
      <c r="O9" s="467"/>
      <c r="P9" s="436" t="s">
        <v>78</v>
      </c>
      <c r="Q9" s="437"/>
      <c r="R9" s="437"/>
      <c r="S9" s="437"/>
      <c r="T9" s="437"/>
      <c r="U9" s="438">
        <v>2021</v>
      </c>
      <c r="V9" s="438">
        <v>2022</v>
      </c>
      <c r="W9" s="438">
        <v>2023</v>
      </c>
      <c r="X9" s="438">
        <v>2024</v>
      </c>
      <c r="Y9" s="438">
        <v>2025</v>
      </c>
    </row>
    <row r="10" spans="2:25">
      <c r="B10" s="467"/>
      <c r="C10" s="467"/>
      <c r="D10" s="467"/>
      <c r="E10" s="467"/>
      <c r="F10" s="467"/>
      <c r="G10" s="467"/>
      <c r="H10" s="467"/>
      <c r="I10" s="467"/>
      <c r="J10" s="467"/>
      <c r="K10" s="467"/>
      <c r="L10" s="467"/>
      <c r="M10" s="467"/>
      <c r="N10" s="467"/>
      <c r="O10" s="467"/>
      <c r="P10" s="434" t="s">
        <v>205</v>
      </c>
      <c r="Q10" s="439"/>
      <c r="R10" s="439"/>
      <c r="S10" s="439"/>
      <c r="T10" s="439"/>
      <c r="U10" s="440">
        <v>122158</v>
      </c>
      <c r="V10" s="440">
        <v>138920</v>
      </c>
      <c r="W10" s="440">
        <v>144840</v>
      </c>
      <c r="X10" s="440">
        <v>140083</v>
      </c>
      <c r="Y10" s="440">
        <v>147007</v>
      </c>
    </row>
    <row r="11" spans="2:25">
      <c r="B11" s="467"/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7"/>
      <c r="O11" s="467"/>
      <c r="P11" s="434" t="s">
        <v>206</v>
      </c>
      <c r="Q11" s="439"/>
      <c r="R11" s="439"/>
      <c r="S11" s="439"/>
      <c r="T11" s="439"/>
      <c r="U11" s="440">
        <v>9952</v>
      </c>
      <c r="V11" s="440">
        <v>12237</v>
      </c>
      <c r="W11" s="440">
        <v>12563</v>
      </c>
      <c r="X11" s="440">
        <v>12586</v>
      </c>
      <c r="Y11" s="440">
        <v>12507</v>
      </c>
    </row>
    <row r="12" spans="2:25">
      <c r="B12" s="467"/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7"/>
      <c r="O12" s="467"/>
      <c r="P12" s="434" t="s">
        <v>210</v>
      </c>
      <c r="Q12" s="439"/>
      <c r="R12" s="439"/>
      <c r="S12" s="439"/>
      <c r="T12" s="439"/>
      <c r="U12" s="441">
        <f>SUM(U10:U11)</f>
        <v>132110</v>
      </c>
      <c r="V12" s="441">
        <f>SUM(V10:V11)</f>
        <v>151157</v>
      </c>
      <c r="W12" s="441">
        <f>SUM(W10:W11)</f>
        <v>157403</v>
      </c>
      <c r="X12" s="441">
        <f>SUM(X10:X11)</f>
        <v>152669</v>
      </c>
      <c r="Y12" s="441">
        <f>SUM(Y10:Y11)</f>
        <v>159514</v>
      </c>
    </row>
    <row r="13" spans="2:25">
      <c r="B13" s="467"/>
      <c r="C13" s="467"/>
      <c r="D13" s="467"/>
      <c r="E13" s="467"/>
      <c r="F13" s="467"/>
      <c r="G13" s="467"/>
      <c r="H13" s="467"/>
      <c r="I13" s="467"/>
      <c r="J13" s="467"/>
      <c r="K13" s="467"/>
      <c r="L13" s="467"/>
      <c r="M13" s="467"/>
      <c r="N13" s="467"/>
      <c r="O13" s="467"/>
      <c r="P13" s="442"/>
      <c r="Q13" s="439"/>
      <c r="R13" s="439"/>
      <c r="S13" s="439"/>
      <c r="T13" s="439"/>
      <c r="U13" s="443"/>
      <c r="V13" s="443"/>
      <c r="W13" s="443"/>
      <c r="X13" s="443"/>
      <c r="Y13" s="444"/>
    </row>
    <row r="14" spans="2:25">
      <c r="B14" s="467"/>
      <c r="C14" s="467"/>
      <c r="D14" s="467"/>
      <c r="E14" s="467"/>
      <c r="F14" s="467"/>
      <c r="G14" s="467"/>
      <c r="H14" s="467"/>
      <c r="I14" s="467"/>
      <c r="J14" s="467"/>
      <c r="K14" s="467"/>
      <c r="L14" s="467"/>
      <c r="M14" s="467"/>
      <c r="N14" s="467"/>
      <c r="O14" s="467"/>
      <c r="P14" s="442" t="s">
        <v>188</v>
      </c>
      <c r="Q14" s="439"/>
      <c r="R14" s="439"/>
      <c r="S14" s="439"/>
      <c r="T14" s="439"/>
      <c r="U14" s="445">
        <f>-Financials!C62</f>
        <v>87257</v>
      </c>
      <c r="V14" s="445">
        <f>-Financials!D62</f>
        <v>100325</v>
      </c>
      <c r="W14" s="445">
        <f>-Financials!E62</f>
        <v>104625</v>
      </c>
      <c r="X14" s="445">
        <f>-Financials!F62</f>
        <v>101709</v>
      </c>
      <c r="Y14" s="445">
        <f>-Financials!G62</f>
        <v>106206</v>
      </c>
    </row>
    <row r="15" spans="2:25">
      <c r="B15" s="467"/>
      <c r="C15" s="467"/>
      <c r="D15" s="467"/>
      <c r="E15" s="467"/>
      <c r="F15" s="467"/>
      <c r="G15" s="467"/>
      <c r="H15" s="467"/>
      <c r="I15" s="467"/>
      <c r="J15" s="467"/>
      <c r="K15" s="467"/>
      <c r="L15" s="467"/>
      <c r="M15" s="467"/>
      <c r="N15" s="467"/>
      <c r="O15" s="467"/>
      <c r="P15" s="442"/>
      <c r="Q15" s="439"/>
      <c r="R15" s="439"/>
      <c r="S15" s="439"/>
      <c r="T15" s="439"/>
      <c r="U15" s="446"/>
      <c r="V15" s="446"/>
      <c r="W15" s="446"/>
      <c r="X15" s="446"/>
      <c r="Y15" s="446"/>
    </row>
    <row r="16" spans="2:25">
      <c r="B16" s="467"/>
      <c r="C16" s="467"/>
      <c r="D16" s="467"/>
      <c r="E16" s="467"/>
      <c r="F16" s="467"/>
      <c r="G16" s="467"/>
      <c r="H16" s="467"/>
      <c r="I16" s="467"/>
      <c r="J16" s="467"/>
      <c r="K16" s="467"/>
      <c r="L16" s="467"/>
      <c r="M16" s="467"/>
      <c r="N16" s="467"/>
      <c r="O16" s="467"/>
      <c r="P16" s="442" t="s">
        <v>189</v>
      </c>
      <c r="Q16" s="439"/>
      <c r="R16" s="439"/>
      <c r="S16" s="439"/>
      <c r="T16" s="439"/>
      <c r="U16" s="447">
        <f>U12-U14-U26</f>
        <v>16978</v>
      </c>
      <c r="V16" s="447">
        <f>V12-V14-V26</f>
        <v>21737</v>
      </c>
      <c r="W16" s="447">
        <f>W12-W14-W26</f>
        <v>22477</v>
      </c>
      <c r="X16" s="447">
        <f>X12-X14-X26</f>
        <v>19924</v>
      </c>
      <c r="Y16" s="448">
        <f>Y12-Y14-Y26</f>
        <v>19406</v>
      </c>
    </row>
    <row r="17" spans="2:25">
      <c r="B17" s="467"/>
      <c r="C17" s="467"/>
      <c r="D17" s="467"/>
      <c r="E17" s="467"/>
      <c r="F17" s="467"/>
      <c r="G17" s="467"/>
      <c r="H17" s="467"/>
      <c r="I17" s="467"/>
      <c r="J17" s="467"/>
      <c r="K17" s="467"/>
      <c r="L17" s="467"/>
      <c r="M17" s="467"/>
      <c r="N17" s="467"/>
      <c r="O17" s="467"/>
      <c r="P17" s="442" t="s">
        <v>190</v>
      </c>
      <c r="Q17" s="439"/>
      <c r="R17" s="439"/>
      <c r="S17" s="439"/>
      <c r="T17" s="439"/>
      <c r="U17" s="449">
        <f>U16/U12</f>
        <v>0.12851411702369236</v>
      </c>
      <c r="V17" s="449">
        <f>V16/V12</f>
        <v>0.14380412418875738</v>
      </c>
      <c r="W17" s="449">
        <f>W16/W12</f>
        <v>0.14279905719713093</v>
      </c>
      <c r="X17" s="449">
        <f>X16/X12</f>
        <v>0.13050455560722871</v>
      </c>
      <c r="Y17" s="450">
        <f>Y16/Y12</f>
        <v>0.12165703323846183</v>
      </c>
    </row>
    <row r="18" spans="2:25">
      <c r="B18" s="467"/>
      <c r="C18" s="467"/>
      <c r="D18" s="467"/>
      <c r="E18" s="467"/>
      <c r="F18" s="467"/>
      <c r="G18" s="467"/>
      <c r="H18" s="467"/>
      <c r="I18" s="467"/>
      <c r="J18" s="467"/>
      <c r="K18" s="467"/>
      <c r="L18" s="467"/>
      <c r="M18" s="467"/>
      <c r="N18" s="467"/>
      <c r="O18" s="467"/>
      <c r="P18" s="442"/>
      <c r="Q18" s="439"/>
      <c r="R18" s="439"/>
      <c r="S18" s="439"/>
      <c r="T18" s="439"/>
      <c r="U18" s="446"/>
      <c r="V18" s="446"/>
      <c r="W18" s="446"/>
      <c r="X18" s="446"/>
      <c r="Y18" s="446"/>
    </row>
    <row r="19" spans="2:25" ht="16.2" thickBot="1">
      <c r="B19" s="647" t="s">
        <v>186</v>
      </c>
      <c r="C19" s="468"/>
      <c r="D19" s="469"/>
      <c r="E19" s="468"/>
      <c r="F19" s="470"/>
      <c r="G19" s="470"/>
      <c r="H19" s="470"/>
      <c r="I19" s="470"/>
      <c r="J19" s="470"/>
      <c r="K19" s="470"/>
      <c r="L19" s="470"/>
      <c r="M19" s="471"/>
      <c r="N19" s="471"/>
      <c r="O19" s="467"/>
      <c r="P19" s="653"/>
      <c r="Q19" s="653"/>
      <c r="R19" s="653"/>
      <c r="S19" s="653"/>
      <c r="T19" s="653"/>
      <c r="U19" s="654"/>
      <c r="V19" s="654"/>
      <c r="W19" s="654"/>
      <c r="X19" s="654"/>
      <c r="Y19" s="654"/>
    </row>
    <row r="20" spans="2:25">
      <c r="B20" s="476"/>
      <c r="C20" s="477"/>
      <c r="D20" s="478"/>
      <c r="E20" s="477"/>
      <c r="F20" s="479"/>
      <c r="G20" s="479"/>
      <c r="H20" s="479"/>
      <c r="I20" s="479"/>
      <c r="J20" s="479"/>
      <c r="K20" s="479"/>
      <c r="L20" s="479"/>
      <c r="M20" s="480"/>
      <c r="N20" s="435" t="s">
        <v>187</v>
      </c>
      <c r="O20" s="467"/>
      <c r="P20" s="655"/>
      <c r="Q20" s="655"/>
      <c r="R20" s="655"/>
      <c r="S20" s="655"/>
      <c r="T20" s="655"/>
      <c r="U20" s="656"/>
      <c r="V20" s="656"/>
      <c r="W20" s="656"/>
      <c r="X20" s="656"/>
      <c r="Y20" s="656"/>
    </row>
    <row r="21" spans="2:25">
      <c r="B21" s="480"/>
      <c r="C21" s="480"/>
      <c r="D21" s="480"/>
      <c r="E21" s="480"/>
      <c r="F21" s="480"/>
      <c r="G21" s="480"/>
      <c r="H21" s="480"/>
      <c r="I21" s="480"/>
      <c r="J21" s="480"/>
      <c r="K21" s="480"/>
      <c r="L21" s="480"/>
      <c r="M21" s="480"/>
      <c r="N21" s="480"/>
      <c r="O21" s="467"/>
      <c r="P21" s="451" t="s">
        <v>191</v>
      </c>
      <c r="Q21" s="439"/>
      <c r="R21" s="439"/>
      <c r="S21" s="439"/>
      <c r="T21" s="439"/>
      <c r="U21" s="446"/>
      <c r="V21" s="446"/>
      <c r="W21" s="446"/>
      <c r="X21" s="446"/>
      <c r="Y21" s="446"/>
    </row>
    <row r="22" spans="2:25" ht="13.2" customHeight="1" thickBot="1">
      <c r="B22" s="648" t="s">
        <v>244</v>
      </c>
      <c r="C22" s="482"/>
      <c r="D22" s="482"/>
      <c r="E22" s="482"/>
      <c r="F22" s="482"/>
      <c r="G22" s="482"/>
      <c r="I22" s="648" t="s">
        <v>246</v>
      </c>
      <c r="J22" s="483"/>
      <c r="K22" s="483"/>
      <c r="L22" s="483"/>
      <c r="M22" s="483"/>
      <c r="N22" s="483"/>
      <c r="P22" s="442" t="s">
        <v>207</v>
      </c>
      <c r="Q22" s="439"/>
      <c r="R22" s="439"/>
      <c r="S22" s="439"/>
      <c r="T22" s="439"/>
      <c r="U22" s="445">
        <f>-Financials!C65</f>
        <v>22447</v>
      </c>
      <c r="V22" s="445">
        <f>-Financials!D65</f>
        <v>25144</v>
      </c>
      <c r="W22" s="445">
        <f>-Financials!E65</f>
        <v>26284</v>
      </c>
      <c r="X22" s="445">
        <f>-Financials!F65</f>
        <v>26598</v>
      </c>
      <c r="Y22" s="445">
        <f>-Financials!G65</f>
        <v>28748</v>
      </c>
    </row>
    <row r="23" spans="2:25" ht="13.2" customHeight="1">
      <c r="B23" s="481"/>
      <c r="C23" s="481"/>
      <c r="D23" s="481"/>
      <c r="E23" s="481"/>
      <c r="F23" s="481"/>
      <c r="G23" s="480"/>
      <c r="H23" s="481"/>
      <c r="I23" s="481"/>
      <c r="J23" s="481"/>
      <c r="K23" s="481"/>
      <c r="L23" s="481"/>
      <c r="M23" s="480"/>
      <c r="N23" s="480"/>
      <c r="O23" s="472"/>
      <c r="P23" s="442" t="s">
        <v>83</v>
      </c>
      <c r="Q23" s="439"/>
      <c r="R23" s="439"/>
      <c r="S23" s="439"/>
      <c r="T23" s="439"/>
      <c r="U23" s="445" t="s">
        <v>208</v>
      </c>
      <c r="V23" s="445" t="s">
        <v>208</v>
      </c>
      <c r="W23" s="445" t="s">
        <v>208</v>
      </c>
      <c r="X23" s="445" t="s">
        <v>208</v>
      </c>
      <c r="Y23" s="445" t="s">
        <v>208</v>
      </c>
    </row>
    <row r="24" spans="2:25" ht="13.2" customHeight="1">
      <c r="B24" s="485"/>
      <c r="C24" s="485"/>
      <c r="D24" s="485"/>
      <c r="E24" s="485"/>
      <c r="F24" s="485"/>
      <c r="G24" s="486"/>
      <c r="H24" s="487"/>
      <c r="I24" s="485"/>
      <c r="J24" s="485"/>
      <c r="K24" s="488"/>
      <c r="L24" s="488"/>
      <c r="M24" s="486"/>
      <c r="N24" s="486"/>
      <c r="P24" s="442" t="s">
        <v>209</v>
      </c>
      <c r="Q24" s="439"/>
      <c r="R24" s="439"/>
      <c r="S24" s="439"/>
      <c r="T24" s="439"/>
      <c r="U24" s="445">
        <f>-Financials!C67</f>
        <v>4128</v>
      </c>
      <c r="V24" s="445">
        <f>-Financials!D67</f>
        <v>2648</v>
      </c>
      <c r="W24" s="445">
        <f>-Financials!E67</f>
        <v>2455</v>
      </c>
      <c r="X24" s="445">
        <f>-Financials!F67</f>
        <v>2673</v>
      </c>
      <c r="Y24" s="445">
        <f>-Financials!G67</f>
        <v>3034</v>
      </c>
    </row>
    <row r="25" spans="2:25" ht="13.2" customHeight="1">
      <c r="B25" s="485"/>
      <c r="C25" s="485"/>
      <c r="D25" s="485"/>
      <c r="E25" s="485"/>
      <c r="F25" s="485"/>
      <c r="G25" s="486"/>
      <c r="H25" s="487"/>
      <c r="I25" s="485"/>
      <c r="J25" s="485"/>
      <c r="K25" s="488"/>
      <c r="L25" s="488"/>
      <c r="M25" s="486"/>
      <c r="N25" s="486"/>
      <c r="P25" s="442" t="s">
        <v>192</v>
      </c>
      <c r="Q25" s="439"/>
      <c r="R25" s="439"/>
      <c r="S25" s="439"/>
      <c r="T25" s="439"/>
      <c r="U25" s="452">
        <f>-Financials!C72</f>
        <v>1300</v>
      </c>
      <c r="V25" s="452">
        <f>-Financials!D72</f>
        <v>1303</v>
      </c>
      <c r="W25" s="452">
        <f>-Financials!E72</f>
        <v>1562</v>
      </c>
      <c r="X25" s="452">
        <f>-Financials!F72</f>
        <v>1765</v>
      </c>
      <c r="Y25" s="452">
        <f>-Financials!G72</f>
        <v>2120</v>
      </c>
    </row>
    <row r="26" spans="2:25" ht="13.2" customHeight="1">
      <c r="B26" s="485"/>
      <c r="C26" s="485"/>
      <c r="D26" s="485"/>
      <c r="E26" s="485"/>
      <c r="F26" s="485"/>
      <c r="G26" s="486"/>
      <c r="H26" s="487"/>
      <c r="I26" s="485"/>
      <c r="J26" s="485"/>
      <c r="K26" s="488"/>
      <c r="L26" s="488"/>
      <c r="M26" s="486"/>
      <c r="N26" s="486"/>
      <c r="P26" s="442" t="s">
        <v>193</v>
      </c>
      <c r="Q26" s="439"/>
      <c r="R26" s="439"/>
      <c r="S26" s="439"/>
      <c r="T26" s="439"/>
      <c r="U26" s="441">
        <f>SUM(U22:U25)</f>
        <v>27875</v>
      </c>
      <c r="V26" s="441">
        <f>SUM(V22:V25)</f>
        <v>29095</v>
      </c>
      <c r="W26" s="441">
        <f>SUM(W22:W25)</f>
        <v>30301</v>
      </c>
      <c r="X26" s="441">
        <f>SUM(X22:X25)</f>
        <v>31036</v>
      </c>
      <c r="Y26" s="441">
        <f>SUM(Y22:Y25)</f>
        <v>33902</v>
      </c>
    </row>
    <row r="27" spans="2:25" ht="13.2" customHeight="1">
      <c r="B27" s="485"/>
      <c r="C27" s="485"/>
      <c r="D27" s="485"/>
      <c r="E27" s="485"/>
      <c r="F27" s="485"/>
      <c r="G27" s="486"/>
      <c r="H27" s="487"/>
      <c r="I27" s="485"/>
      <c r="J27" s="485"/>
      <c r="K27" s="488"/>
      <c r="L27" s="488"/>
      <c r="M27" s="486"/>
      <c r="N27" s="486"/>
      <c r="P27" s="439"/>
      <c r="Q27" s="439"/>
      <c r="R27" s="439"/>
      <c r="S27" s="439"/>
      <c r="T27" s="439"/>
      <c r="U27" s="439"/>
      <c r="V27" s="439"/>
      <c r="W27" s="434"/>
      <c r="X27" s="434"/>
      <c r="Y27" s="434"/>
    </row>
    <row r="28" spans="2:25" ht="13.2" customHeight="1">
      <c r="B28" s="485"/>
      <c r="C28" s="485"/>
      <c r="D28" s="485"/>
      <c r="E28" s="485"/>
      <c r="F28" s="485"/>
      <c r="G28" s="486"/>
      <c r="H28" s="487"/>
      <c r="I28" s="485"/>
      <c r="J28" s="485"/>
      <c r="K28" s="488"/>
      <c r="L28" s="488"/>
      <c r="M28" s="486"/>
      <c r="N28" s="486"/>
      <c r="O28" s="484"/>
      <c r="P28" s="657"/>
      <c r="Q28" s="657"/>
      <c r="R28" s="657"/>
      <c r="S28" s="657"/>
      <c r="T28" s="657"/>
      <c r="U28" s="657"/>
      <c r="V28" s="657"/>
      <c r="W28" s="453"/>
      <c r="X28" s="453"/>
      <c r="Y28" s="453"/>
    </row>
    <row r="29" spans="2:25" ht="13.2" customHeight="1">
      <c r="B29" s="485"/>
      <c r="C29" s="485"/>
      <c r="D29" s="485"/>
      <c r="E29" s="485"/>
      <c r="F29" s="485"/>
      <c r="G29" s="486"/>
      <c r="H29" s="487"/>
      <c r="I29" s="485"/>
      <c r="J29" s="485"/>
      <c r="K29" s="485"/>
      <c r="L29" s="485"/>
      <c r="M29" s="486"/>
      <c r="N29" s="486"/>
      <c r="P29" s="655"/>
      <c r="Q29" s="655"/>
      <c r="R29" s="655"/>
      <c r="S29" s="655"/>
      <c r="T29" s="655"/>
      <c r="U29" s="655"/>
      <c r="V29" s="439"/>
      <c r="W29" s="434"/>
      <c r="X29" s="434"/>
      <c r="Y29" s="434"/>
    </row>
    <row r="30" spans="2:25" ht="13.2" customHeight="1">
      <c r="B30" s="485"/>
      <c r="C30" s="485"/>
      <c r="D30" s="485"/>
      <c r="E30" s="485"/>
      <c r="F30" s="485"/>
      <c r="G30" s="486"/>
      <c r="H30" s="487"/>
      <c r="I30" s="485"/>
      <c r="J30" s="485"/>
      <c r="K30" s="485"/>
      <c r="L30" s="485"/>
      <c r="M30" s="486"/>
      <c r="N30" s="486"/>
      <c r="P30" s="439"/>
      <c r="Q30" s="439"/>
      <c r="R30" s="439"/>
      <c r="S30" s="439"/>
      <c r="T30" s="439"/>
      <c r="U30" s="439"/>
      <c r="V30" s="439"/>
      <c r="W30" s="434"/>
      <c r="X30" s="434"/>
      <c r="Y30" s="434"/>
    </row>
    <row r="31" spans="2:25" ht="13.2" customHeight="1" thickBot="1">
      <c r="B31" s="485"/>
      <c r="C31" s="485"/>
      <c r="D31" s="485"/>
      <c r="E31" s="485"/>
      <c r="F31" s="485"/>
      <c r="G31" s="486"/>
      <c r="H31" s="487"/>
      <c r="I31" s="485"/>
      <c r="J31" s="485"/>
      <c r="K31" s="485"/>
      <c r="L31" s="485"/>
      <c r="M31" s="486"/>
      <c r="N31" s="486"/>
      <c r="P31" s="454" t="s">
        <v>242</v>
      </c>
      <c r="Q31" s="455"/>
      <c r="R31" s="455"/>
      <c r="S31" s="455"/>
      <c r="T31" s="434"/>
      <c r="U31" s="454" t="s">
        <v>243</v>
      </c>
      <c r="V31" s="455"/>
      <c r="W31" s="455"/>
      <c r="X31" s="455"/>
      <c r="Y31" s="455"/>
    </row>
    <row r="32" spans="2:25" ht="13.2" customHeight="1">
      <c r="B32" s="491"/>
      <c r="C32" s="485"/>
      <c r="D32" s="485"/>
      <c r="E32" s="485"/>
      <c r="F32" s="485"/>
      <c r="G32" s="492"/>
      <c r="H32" s="487"/>
      <c r="I32" s="485"/>
      <c r="J32" s="485"/>
      <c r="K32" s="485"/>
      <c r="L32" s="485"/>
      <c r="M32" s="486"/>
      <c r="N32" s="486"/>
      <c r="P32" s="439"/>
      <c r="Q32" s="439"/>
      <c r="R32" s="439"/>
      <c r="S32" s="439"/>
      <c r="T32" s="434"/>
      <c r="U32" s="439"/>
      <c r="V32" s="439"/>
      <c r="W32" s="439"/>
      <c r="X32" s="439"/>
      <c r="Y32" s="439"/>
    </row>
    <row r="33" spans="2:25" ht="13.2" customHeight="1">
      <c r="B33" s="485"/>
      <c r="C33" s="485"/>
      <c r="D33" s="488"/>
      <c r="E33" s="488"/>
      <c r="F33" s="488"/>
      <c r="G33" s="486"/>
      <c r="H33" s="493"/>
      <c r="I33" s="485"/>
      <c r="J33" s="485"/>
      <c r="K33" s="485"/>
      <c r="L33" s="485"/>
      <c r="M33" s="486"/>
      <c r="N33" s="486"/>
      <c r="P33" s="456" t="s">
        <v>78</v>
      </c>
      <c r="Q33" s="451"/>
      <c r="R33" s="451"/>
      <c r="S33" s="457">
        <f>Y12</f>
        <v>159514</v>
      </c>
      <c r="T33" s="434"/>
      <c r="U33" s="458" t="s">
        <v>194</v>
      </c>
      <c r="V33" s="451"/>
      <c r="W33" s="451"/>
      <c r="X33" s="451"/>
      <c r="Y33" s="451"/>
    </row>
    <row r="34" spans="2:25" ht="13.2" customHeight="1">
      <c r="B34" s="485"/>
      <c r="C34" s="485"/>
      <c r="D34" s="485"/>
      <c r="E34" s="485"/>
      <c r="F34" s="485"/>
      <c r="G34" s="486"/>
      <c r="H34" s="487"/>
      <c r="I34" s="485"/>
      <c r="J34" s="485"/>
      <c r="K34" s="485"/>
      <c r="L34" s="485"/>
      <c r="M34" s="486"/>
      <c r="N34" s="486"/>
      <c r="P34" s="442" t="s">
        <v>188</v>
      </c>
      <c r="Q34" s="439"/>
      <c r="R34" s="439"/>
      <c r="S34" s="459">
        <f>Y14</f>
        <v>106206</v>
      </c>
      <c r="T34" s="434"/>
      <c r="U34" s="460" t="s">
        <v>195</v>
      </c>
      <c r="V34" s="439"/>
      <c r="W34" s="439"/>
      <c r="X34" s="439"/>
      <c r="Y34" s="459">
        <f>Financials!G13</f>
        <v>31683</v>
      </c>
    </row>
    <row r="35" spans="2:25" ht="13.2" customHeight="1">
      <c r="B35" s="485"/>
      <c r="C35" s="485"/>
      <c r="D35" s="485"/>
      <c r="E35" s="485"/>
      <c r="F35" s="485"/>
      <c r="G35" s="486"/>
      <c r="H35" s="487"/>
      <c r="I35" s="485"/>
      <c r="J35" s="485"/>
      <c r="K35" s="485"/>
      <c r="L35" s="485"/>
      <c r="M35" s="486"/>
      <c r="N35" s="486"/>
      <c r="P35" s="442"/>
      <c r="Q35" s="439"/>
      <c r="R35" s="439"/>
      <c r="S35" s="446"/>
      <c r="T35" s="434"/>
      <c r="U35" s="460" t="s">
        <v>196</v>
      </c>
      <c r="V35" s="439"/>
      <c r="W35" s="439"/>
      <c r="X35" s="439"/>
      <c r="Y35" s="459">
        <f>Financials!G22</f>
        <v>64436</v>
      </c>
    </row>
    <row r="36" spans="2:25" ht="13.2" customHeight="1">
      <c r="B36" s="485"/>
      <c r="C36" s="485"/>
      <c r="D36" s="485"/>
      <c r="E36" s="485"/>
      <c r="F36" s="485"/>
      <c r="G36" s="486"/>
      <c r="H36" s="480"/>
      <c r="I36" s="485"/>
      <c r="J36" s="485"/>
      <c r="K36" s="485"/>
      <c r="L36" s="485"/>
      <c r="M36" s="486"/>
      <c r="N36" s="486"/>
      <c r="P36" s="456" t="s">
        <v>191</v>
      </c>
      <c r="Q36" s="451"/>
      <c r="R36" s="451"/>
      <c r="S36" s="461"/>
      <c r="T36" s="434"/>
      <c r="U36" s="442"/>
      <c r="V36" s="439"/>
      <c r="W36" s="439"/>
      <c r="X36" s="439"/>
      <c r="Y36" s="446"/>
    </row>
    <row r="37" spans="2:25" ht="13.2" customHeight="1" thickBot="1">
      <c r="B37" s="485"/>
      <c r="C37" s="485"/>
      <c r="D37" s="485"/>
      <c r="E37" s="485"/>
      <c r="F37" s="485"/>
      <c r="G37" s="486"/>
      <c r="H37" s="490"/>
      <c r="I37" s="485"/>
      <c r="J37" s="485"/>
      <c r="K37" s="485"/>
      <c r="L37" s="485"/>
      <c r="M37" s="486"/>
      <c r="N37" s="486"/>
      <c r="P37" s="442" t="s">
        <v>207</v>
      </c>
      <c r="Q37" s="439"/>
      <c r="R37" s="439"/>
      <c r="S37" s="459">
        <v>28748</v>
      </c>
      <c r="T37" s="434"/>
      <c r="U37" s="462" t="s">
        <v>197</v>
      </c>
      <c r="V37" s="451"/>
      <c r="W37" s="451"/>
      <c r="X37" s="451"/>
      <c r="Y37" s="463">
        <f>Y34+Y35</f>
        <v>96119</v>
      </c>
    </row>
    <row r="38" spans="2:25" ht="13.2" customHeight="1">
      <c r="B38" s="486"/>
      <c r="C38" s="486"/>
      <c r="D38" s="486"/>
      <c r="E38" s="486"/>
      <c r="F38" s="486"/>
      <c r="G38" s="486"/>
      <c r="H38" s="490"/>
      <c r="I38" s="485"/>
      <c r="J38" s="485"/>
      <c r="K38" s="485"/>
      <c r="L38" s="485"/>
      <c r="M38" s="492"/>
      <c r="N38" s="486"/>
      <c r="P38" s="442" t="s">
        <v>83</v>
      </c>
      <c r="Q38" s="439"/>
      <c r="R38" s="439"/>
      <c r="S38" s="459" t="s">
        <v>208</v>
      </c>
      <c r="T38" s="434"/>
      <c r="U38" s="442"/>
      <c r="V38" s="439"/>
      <c r="W38" s="439"/>
      <c r="X38" s="439"/>
      <c r="Y38" s="658"/>
    </row>
    <row r="39" spans="2:25" ht="13.2" customHeight="1">
      <c r="B39" s="486"/>
      <c r="C39" s="486"/>
      <c r="D39" s="486"/>
      <c r="E39" s="486"/>
      <c r="F39" s="486"/>
      <c r="G39" s="486"/>
      <c r="I39" s="488"/>
      <c r="J39" s="488"/>
      <c r="K39" s="488"/>
      <c r="L39" s="488"/>
      <c r="M39" s="486"/>
      <c r="N39" s="486"/>
      <c r="P39" s="442" t="s">
        <v>209</v>
      </c>
      <c r="Q39" s="439"/>
      <c r="R39" s="439"/>
      <c r="S39" s="459">
        <v>3034</v>
      </c>
      <c r="T39" s="434"/>
      <c r="U39" s="458" t="s">
        <v>198</v>
      </c>
      <c r="V39" s="451"/>
      <c r="W39" s="451"/>
      <c r="X39" s="451"/>
      <c r="Y39" s="461"/>
    </row>
    <row r="40" spans="2:25" ht="13.2" customHeight="1">
      <c r="B40" s="495"/>
      <c r="C40" s="495"/>
      <c r="D40" s="495"/>
      <c r="E40" s="495"/>
      <c r="F40" s="495"/>
      <c r="G40" s="495"/>
      <c r="H40" s="490"/>
      <c r="I40" s="485"/>
      <c r="J40" s="485"/>
      <c r="K40" s="485"/>
      <c r="L40" s="485"/>
      <c r="M40" s="486"/>
      <c r="N40" s="486"/>
      <c r="P40" s="442" t="s">
        <v>192</v>
      </c>
      <c r="Q40" s="439"/>
      <c r="R40" s="439"/>
      <c r="S40" s="459">
        <v>2120</v>
      </c>
      <c r="T40" s="434"/>
      <c r="U40" s="460" t="s">
        <v>199</v>
      </c>
      <c r="V40" s="439"/>
      <c r="W40" s="439"/>
      <c r="X40" s="439"/>
      <c r="Y40" s="459">
        <f>Financials!G31</f>
        <v>28661</v>
      </c>
    </row>
    <row r="41" spans="2:25" ht="13.2" customHeight="1">
      <c r="B41" s="495"/>
      <c r="C41" s="495"/>
      <c r="D41" s="495"/>
      <c r="E41" s="495"/>
      <c r="F41" s="495"/>
      <c r="G41" s="495"/>
      <c r="H41" s="487"/>
      <c r="I41" s="485"/>
      <c r="J41" s="485"/>
      <c r="K41" s="485"/>
      <c r="L41" s="485"/>
      <c r="M41" s="486"/>
      <c r="N41" s="486"/>
      <c r="P41" s="460" t="s">
        <v>201</v>
      </c>
      <c r="Q41" s="439"/>
      <c r="R41" s="439"/>
      <c r="S41" s="464">
        <f>SUM(S37:S40)</f>
        <v>33902</v>
      </c>
      <c r="T41" s="434"/>
      <c r="U41" s="460" t="s">
        <v>200</v>
      </c>
      <c r="V41" s="439"/>
      <c r="W41" s="439"/>
      <c r="X41" s="439"/>
      <c r="Y41" s="459">
        <f>Financials!G33+Financials!G34</f>
        <v>60818</v>
      </c>
    </row>
    <row r="42" spans="2:25" ht="13.2" customHeight="1">
      <c r="B42" s="495"/>
      <c r="C42" s="495"/>
      <c r="D42" s="495"/>
      <c r="E42" s="495"/>
      <c r="F42" s="495"/>
      <c r="G42" s="495"/>
      <c r="H42" s="487"/>
      <c r="I42" s="486"/>
      <c r="J42" s="486"/>
      <c r="K42" s="486"/>
      <c r="L42" s="486"/>
      <c r="M42" s="486"/>
      <c r="N42" s="486"/>
      <c r="P42" s="442"/>
      <c r="Q42" s="439"/>
      <c r="R42" s="439"/>
      <c r="S42" s="658"/>
      <c r="T42" s="434"/>
      <c r="U42" s="460" t="s">
        <v>202</v>
      </c>
      <c r="V42" s="451"/>
      <c r="W42" s="451"/>
      <c r="X42" s="451"/>
      <c r="Y42" s="459">
        <f>Financials!G46</f>
        <v>6640</v>
      </c>
    </row>
    <row r="43" spans="2:25" ht="13.2" customHeight="1">
      <c r="B43" s="496"/>
      <c r="C43" s="496"/>
      <c r="D43" s="496"/>
      <c r="E43" s="496"/>
      <c r="F43" s="496"/>
      <c r="G43" s="496"/>
      <c r="H43" s="487"/>
      <c r="I43" s="490"/>
      <c r="J43" s="490"/>
      <c r="K43" s="490"/>
      <c r="L43" s="490"/>
      <c r="M43" s="490"/>
      <c r="N43" s="480"/>
      <c r="P43" s="442"/>
      <c r="Q43" s="439"/>
      <c r="R43" s="439"/>
      <c r="S43" s="446"/>
      <c r="T43" s="434"/>
      <c r="U43" s="442"/>
      <c r="V43" s="439"/>
      <c r="W43" s="439"/>
      <c r="X43" s="439"/>
      <c r="Y43" s="446"/>
    </row>
    <row r="44" spans="2:25" ht="13.2" customHeight="1" thickBot="1">
      <c r="B44" s="496"/>
      <c r="C44" s="496"/>
      <c r="D44" s="496"/>
      <c r="E44" s="496"/>
      <c r="F44" s="496"/>
      <c r="G44" s="496"/>
      <c r="H44" s="487"/>
      <c r="I44" s="490"/>
      <c r="J44" s="490"/>
      <c r="K44" s="490"/>
      <c r="L44" s="490"/>
      <c r="M44" s="490"/>
      <c r="N44" s="480"/>
      <c r="P44" s="456" t="s">
        <v>204</v>
      </c>
      <c r="Q44" s="451"/>
      <c r="R44" s="451"/>
      <c r="S44" s="463">
        <f>S33-S34-S41</f>
        <v>19406</v>
      </c>
      <c r="T44" s="434"/>
      <c r="U44" s="462" t="s">
        <v>203</v>
      </c>
      <c r="V44" s="451"/>
      <c r="W44" s="451"/>
      <c r="X44" s="451"/>
      <c r="Y44" s="463">
        <f>SUM(Y40:Y42)</f>
        <v>96119</v>
      </c>
    </row>
    <row r="45" spans="2:25" ht="13.2" customHeight="1" thickBot="1">
      <c r="B45" s="661" t="s">
        <v>247</v>
      </c>
      <c r="C45" s="498"/>
      <c r="D45" s="498"/>
      <c r="E45" s="498"/>
      <c r="F45" s="498"/>
      <c r="G45" s="498"/>
      <c r="H45" s="487"/>
      <c r="I45" s="650" t="s">
        <v>191</v>
      </c>
      <c r="J45" s="499"/>
      <c r="K45" s="499"/>
      <c r="L45" s="499"/>
      <c r="M45" s="499"/>
      <c r="N45" s="499"/>
      <c r="O45" s="494"/>
      <c r="P45" s="480"/>
      <c r="Q45" s="480"/>
      <c r="R45" s="481"/>
      <c r="S45" s="480"/>
      <c r="T45" s="480"/>
      <c r="U45" s="480"/>
      <c r="V45" s="481"/>
    </row>
    <row r="46" spans="2:25" ht="13.2" customHeight="1">
      <c r="B46" s="490"/>
      <c r="C46" s="490"/>
      <c r="D46" s="490"/>
      <c r="E46" s="490"/>
      <c r="F46" s="490"/>
      <c r="G46" s="480"/>
      <c r="H46" s="487"/>
      <c r="I46" s="490"/>
      <c r="J46" s="490"/>
      <c r="K46" s="490"/>
      <c r="L46" s="490"/>
      <c r="M46" s="480"/>
      <c r="N46" s="480"/>
      <c r="P46" s="500"/>
      <c r="Q46" s="500"/>
      <c r="R46" s="500"/>
      <c r="S46" s="500"/>
      <c r="T46" s="500"/>
      <c r="U46" s="500"/>
      <c r="V46" s="504"/>
      <c r="W46" s="505"/>
      <c r="X46" s="505"/>
      <c r="Y46" s="505"/>
    </row>
    <row r="47" spans="2:25" ht="13.2" customHeight="1">
      <c r="B47" s="485"/>
      <c r="C47" s="485"/>
      <c r="D47" s="485"/>
      <c r="E47" s="485"/>
      <c r="F47" s="485"/>
      <c r="G47" s="486"/>
      <c r="H47" s="487"/>
      <c r="I47" s="485"/>
      <c r="J47" s="485"/>
      <c r="K47" s="485"/>
      <c r="L47" s="485"/>
      <c r="M47" s="486"/>
      <c r="N47" s="486"/>
      <c r="P47" s="480"/>
      <c r="Q47" s="480"/>
      <c r="R47" s="480"/>
      <c r="S47" s="480"/>
      <c r="T47" s="480"/>
      <c r="U47" s="480"/>
      <c r="V47" s="480"/>
    </row>
    <row r="48" spans="2:25" ht="13.2" customHeight="1">
      <c r="B48" s="485"/>
      <c r="C48" s="485"/>
      <c r="D48" s="485"/>
      <c r="E48" s="485"/>
      <c r="F48" s="485"/>
      <c r="G48" s="486"/>
      <c r="H48" s="487"/>
      <c r="I48" s="485"/>
      <c r="J48" s="485"/>
      <c r="K48" s="485"/>
      <c r="L48" s="485"/>
      <c r="M48" s="486"/>
      <c r="N48" s="486"/>
      <c r="P48" s="480"/>
      <c r="Q48" s="480"/>
      <c r="R48" s="506"/>
      <c r="S48" s="480"/>
      <c r="T48" s="480"/>
      <c r="U48" s="480"/>
      <c r="V48" s="480"/>
    </row>
    <row r="49" spans="2:25" ht="13.2" customHeight="1">
      <c r="B49" s="485"/>
      <c r="C49" s="485"/>
      <c r="D49" s="485"/>
      <c r="E49" s="485"/>
      <c r="F49" s="485"/>
      <c r="G49" s="486"/>
      <c r="H49" s="487"/>
      <c r="I49" s="485"/>
      <c r="J49" s="485"/>
      <c r="K49" s="485"/>
      <c r="L49" s="485"/>
      <c r="M49" s="486"/>
      <c r="N49" s="486"/>
      <c r="P49" s="480"/>
      <c r="Q49" s="480"/>
      <c r="R49" s="506"/>
      <c r="S49" s="480"/>
      <c r="T49" s="480"/>
      <c r="U49" s="490"/>
      <c r="V49" s="480"/>
    </row>
    <row r="50" spans="2:25" ht="13.2" customHeight="1">
      <c r="B50" s="491"/>
      <c r="C50" s="485"/>
      <c r="D50" s="485"/>
      <c r="E50" s="485"/>
      <c r="F50" s="485"/>
      <c r="G50" s="486"/>
      <c r="H50" s="487"/>
      <c r="I50" s="485"/>
      <c r="J50" s="485"/>
      <c r="K50" s="485"/>
      <c r="L50" s="485"/>
      <c r="M50" s="486"/>
      <c r="N50" s="486"/>
      <c r="P50" s="480"/>
      <c r="Q50" s="480"/>
      <c r="R50" s="506"/>
      <c r="S50" s="480"/>
      <c r="T50" s="480"/>
      <c r="U50" s="480"/>
      <c r="V50" s="480"/>
    </row>
    <row r="51" spans="2:25" ht="13.2" customHeight="1">
      <c r="B51" s="491"/>
      <c r="C51" s="485"/>
      <c r="D51" s="485"/>
      <c r="E51" s="485"/>
      <c r="F51" s="485"/>
      <c r="G51" s="486"/>
      <c r="H51" s="487"/>
      <c r="I51" s="485"/>
      <c r="J51" s="485"/>
      <c r="K51" s="485"/>
      <c r="L51" s="485"/>
      <c r="M51" s="492"/>
      <c r="N51" s="486"/>
      <c r="P51" s="480"/>
      <c r="Q51" s="480"/>
      <c r="R51" s="508"/>
      <c r="S51" s="480"/>
      <c r="T51" s="480"/>
      <c r="U51" s="480"/>
      <c r="V51" s="480"/>
    </row>
    <row r="52" spans="2:25" ht="13.2" customHeight="1">
      <c r="B52" s="485"/>
      <c r="C52" s="485"/>
      <c r="D52" s="485"/>
      <c r="E52" s="485"/>
      <c r="F52" s="485"/>
      <c r="G52" s="486"/>
      <c r="H52" s="487"/>
      <c r="I52" s="485"/>
      <c r="J52" s="485"/>
      <c r="K52" s="485"/>
      <c r="L52" s="485"/>
      <c r="M52" s="486"/>
      <c r="N52" s="486"/>
      <c r="O52" s="480"/>
      <c r="P52" s="490"/>
      <c r="Q52" s="490"/>
      <c r="R52" s="490"/>
      <c r="S52" s="480"/>
      <c r="T52" s="480"/>
      <c r="U52" s="480"/>
      <c r="V52" s="480"/>
    </row>
    <row r="53" spans="2:25" ht="13.2" customHeight="1">
      <c r="B53" s="485"/>
      <c r="C53" s="485"/>
      <c r="D53" s="485"/>
      <c r="E53" s="485"/>
      <c r="F53" s="485"/>
      <c r="G53" s="486"/>
      <c r="H53" s="500"/>
      <c r="I53" s="501"/>
      <c r="J53" s="501"/>
      <c r="K53" s="501"/>
      <c r="L53" s="501"/>
      <c r="M53" s="502"/>
      <c r="N53" s="502"/>
      <c r="O53" s="490"/>
      <c r="P53" s="480"/>
      <c r="Q53" s="480"/>
      <c r="R53" s="509"/>
      <c r="S53" s="480"/>
      <c r="T53" s="480"/>
      <c r="U53" s="480"/>
      <c r="V53" s="480"/>
    </row>
    <row r="54" spans="2:25" ht="13.2" customHeight="1">
      <c r="B54" s="485"/>
      <c r="C54" s="485"/>
      <c r="D54" s="485"/>
      <c r="E54" s="485"/>
      <c r="F54" s="485"/>
      <c r="G54" s="486"/>
      <c r="H54" s="503"/>
      <c r="I54" s="501"/>
      <c r="J54" s="501"/>
      <c r="K54" s="501"/>
      <c r="L54" s="501"/>
      <c r="M54" s="502"/>
      <c r="N54" s="502"/>
      <c r="O54" s="490"/>
      <c r="P54" s="480"/>
      <c r="Q54" s="480"/>
      <c r="R54" s="506"/>
      <c r="S54" s="480"/>
      <c r="T54" s="480"/>
      <c r="U54" s="480"/>
      <c r="V54" s="480"/>
    </row>
    <row r="55" spans="2:25" ht="13.2" customHeight="1">
      <c r="B55" s="485"/>
      <c r="C55" s="485"/>
      <c r="D55" s="485"/>
      <c r="E55" s="485"/>
      <c r="F55" s="485"/>
      <c r="G55" s="486"/>
      <c r="H55" s="490"/>
      <c r="I55" s="485"/>
      <c r="J55" s="485"/>
      <c r="K55" s="485"/>
      <c r="L55" s="485"/>
      <c r="M55" s="486"/>
      <c r="N55" s="486"/>
      <c r="O55" s="490"/>
      <c r="P55" s="500"/>
      <c r="Q55" s="500"/>
      <c r="R55" s="506"/>
      <c r="S55" s="500"/>
      <c r="T55" s="500"/>
      <c r="U55" s="500"/>
      <c r="V55" s="500"/>
      <c r="W55" s="505"/>
      <c r="X55" s="505"/>
      <c r="Y55" s="505"/>
    </row>
    <row r="56" spans="2:25" ht="13.2" customHeight="1">
      <c r="B56" s="485"/>
      <c r="C56" s="485"/>
      <c r="D56" s="485"/>
      <c r="E56" s="485"/>
      <c r="F56" s="485"/>
      <c r="G56" s="486"/>
      <c r="I56" s="485"/>
      <c r="J56" s="485"/>
      <c r="K56" s="485"/>
      <c r="L56" s="485"/>
      <c r="M56" s="486"/>
      <c r="N56" s="486"/>
      <c r="O56" s="490"/>
      <c r="P56" s="500"/>
      <c r="Q56" s="500"/>
      <c r="R56" s="506"/>
      <c r="S56" s="500"/>
      <c r="T56" s="500"/>
      <c r="U56" s="500"/>
      <c r="V56" s="500"/>
      <c r="W56" s="505"/>
      <c r="X56" s="505"/>
      <c r="Y56" s="505"/>
    </row>
    <row r="57" spans="2:25" ht="13.2" customHeight="1">
      <c r="B57" s="485"/>
      <c r="C57" s="485"/>
      <c r="D57" s="485"/>
      <c r="E57" s="485"/>
      <c r="F57" s="485"/>
      <c r="G57" s="486"/>
      <c r="I57" s="485"/>
      <c r="J57" s="485"/>
      <c r="K57" s="485"/>
      <c r="L57" s="485"/>
      <c r="M57" s="486"/>
      <c r="N57" s="486"/>
      <c r="O57" s="490"/>
      <c r="P57" s="480"/>
      <c r="Q57" s="480"/>
      <c r="R57" s="511"/>
      <c r="S57" s="480"/>
      <c r="T57" s="480"/>
      <c r="U57" s="480"/>
      <c r="V57" s="480"/>
    </row>
    <row r="58" spans="2:25" ht="13.2" customHeight="1">
      <c r="B58" s="485"/>
      <c r="C58" s="485"/>
      <c r="D58" s="485"/>
      <c r="E58" s="485"/>
      <c r="F58" s="485"/>
      <c r="G58" s="486"/>
      <c r="I58" s="485"/>
      <c r="J58" s="485"/>
      <c r="K58" s="485"/>
      <c r="L58" s="485"/>
      <c r="M58" s="486"/>
      <c r="N58" s="486"/>
      <c r="O58" s="490"/>
      <c r="P58" s="480"/>
      <c r="Q58" s="480"/>
      <c r="R58" s="508"/>
      <c r="S58" s="480"/>
      <c r="T58" s="480"/>
      <c r="U58" s="480"/>
      <c r="V58" s="480"/>
    </row>
    <row r="59" spans="2:25" ht="13.2" customHeight="1">
      <c r="B59" s="486"/>
      <c r="C59" s="486"/>
      <c r="D59" s="486"/>
      <c r="E59" s="486"/>
      <c r="F59" s="486"/>
      <c r="G59" s="486"/>
      <c r="I59" s="486"/>
      <c r="J59" s="486"/>
      <c r="K59" s="486"/>
      <c r="L59" s="486"/>
      <c r="M59" s="486"/>
      <c r="N59" s="486"/>
      <c r="O59" s="503"/>
      <c r="P59" s="480"/>
      <c r="Q59" s="480"/>
      <c r="R59" s="480"/>
      <c r="S59" s="480"/>
      <c r="T59" s="480"/>
      <c r="U59" s="480"/>
      <c r="V59" s="480"/>
    </row>
    <row r="60" spans="2:25" ht="13.2" customHeight="1">
      <c r="B60" s="495"/>
      <c r="C60" s="495"/>
      <c r="D60" s="495"/>
      <c r="E60" s="495"/>
      <c r="F60" s="495"/>
      <c r="G60" s="495"/>
      <c r="I60" s="495"/>
      <c r="J60" s="495"/>
      <c r="K60" s="495"/>
      <c r="L60" s="495"/>
      <c r="M60" s="495"/>
      <c r="N60" s="486"/>
      <c r="O60" s="503"/>
      <c r="P60" s="480"/>
      <c r="Q60" s="480"/>
      <c r="R60" s="480"/>
      <c r="S60" s="490"/>
      <c r="T60" s="480"/>
      <c r="U60" s="480"/>
      <c r="V60" s="480"/>
    </row>
    <row r="61" spans="2:25" ht="13.2" customHeight="1">
      <c r="B61" s="495"/>
      <c r="C61" s="495"/>
      <c r="D61" s="495"/>
      <c r="E61" s="495"/>
      <c r="F61" s="495"/>
      <c r="G61" s="495"/>
      <c r="I61" s="495"/>
      <c r="J61" s="495"/>
      <c r="K61" s="495"/>
      <c r="L61" s="495"/>
      <c r="M61" s="486"/>
      <c r="N61" s="486"/>
      <c r="O61" s="480"/>
      <c r="P61" s="480"/>
      <c r="Q61" s="490"/>
      <c r="R61" s="490"/>
      <c r="S61" s="490"/>
      <c r="T61" s="480"/>
      <c r="U61" s="480"/>
      <c r="V61" s="480"/>
    </row>
    <row r="62" spans="2:25" ht="13.2" customHeight="1">
      <c r="B62" s="507"/>
      <c r="C62" s="507"/>
      <c r="D62" s="507"/>
      <c r="E62" s="507"/>
      <c r="F62" s="507"/>
      <c r="G62" s="507"/>
      <c r="I62" s="507"/>
      <c r="J62" s="507"/>
      <c r="K62" s="507"/>
      <c r="L62" s="507"/>
      <c r="M62" s="507"/>
      <c r="N62" s="507"/>
    </row>
    <row r="63" spans="2:25" ht="13.2" customHeight="1">
      <c r="B63" s="507"/>
      <c r="C63" s="507"/>
      <c r="D63" s="507"/>
      <c r="E63" s="507"/>
      <c r="F63" s="507"/>
      <c r="G63" s="507"/>
      <c r="I63" s="507"/>
      <c r="J63" s="507"/>
      <c r="K63" s="507"/>
      <c r="L63" s="507"/>
      <c r="M63" s="507"/>
      <c r="N63" s="507"/>
    </row>
    <row r="64" spans="2:25" ht="13.2" customHeight="1">
      <c r="B64" s="507"/>
      <c r="C64" s="507"/>
      <c r="D64" s="507"/>
      <c r="E64" s="507"/>
      <c r="F64" s="507"/>
      <c r="G64" s="507"/>
      <c r="I64" s="507"/>
      <c r="J64" s="507"/>
      <c r="K64" s="507"/>
      <c r="L64" s="507"/>
      <c r="M64" s="507"/>
      <c r="N64" s="507"/>
    </row>
    <row r="65" spans="2:25" ht="13.2" customHeight="1">
      <c r="B65" s="660"/>
      <c r="C65" s="660"/>
      <c r="D65" s="660"/>
      <c r="E65" s="660"/>
      <c r="F65" s="660"/>
      <c r="G65" s="660"/>
      <c r="I65" s="507"/>
      <c r="J65" s="507"/>
      <c r="K65" s="507"/>
      <c r="L65" s="507"/>
      <c r="M65" s="507"/>
      <c r="N65" s="507"/>
    </row>
    <row r="66" spans="2:25" ht="13.2" customHeight="1" thickBot="1">
      <c r="B66" s="510"/>
      <c r="C66" s="510"/>
      <c r="D66" s="510"/>
      <c r="E66" s="510"/>
      <c r="F66" s="510"/>
      <c r="G66" s="510"/>
      <c r="H66" s="510"/>
      <c r="I66" s="510"/>
      <c r="J66" s="510"/>
      <c r="K66" s="510"/>
      <c r="L66" s="510"/>
      <c r="M66" s="510"/>
      <c r="N66" s="510"/>
      <c r="O66" s="510"/>
      <c r="P66" s="510"/>
      <c r="Q66" s="510"/>
      <c r="R66" s="510"/>
      <c r="S66" s="510"/>
      <c r="T66" s="510"/>
      <c r="U66" s="510"/>
      <c r="V66" s="510"/>
      <c r="W66" s="510"/>
      <c r="X66" s="510"/>
      <c r="Y66" s="510"/>
    </row>
    <row r="69" spans="2:25" ht="13.2" customHeight="1">
      <c r="B69" s="505"/>
      <c r="C69" s="505"/>
      <c r="D69" s="505"/>
      <c r="E69" s="505"/>
      <c r="F69" s="505"/>
      <c r="G69" s="505"/>
      <c r="H69" s="505"/>
      <c r="I69" s="505"/>
      <c r="J69" s="505"/>
      <c r="K69" s="505"/>
      <c r="L69" s="505"/>
      <c r="M69" s="505"/>
      <c r="N69" s="505"/>
    </row>
    <row r="70" spans="2:25" ht="13.2" customHeight="1">
      <c r="B70" s="505"/>
      <c r="C70" s="505"/>
      <c r="D70" s="505"/>
      <c r="E70" s="505"/>
      <c r="F70" s="505"/>
      <c r="G70" s="505"/>
      <c r="H70" s="500"/>
      <c r="I70" s="505"/>
      <c r="J70" s="505"/>
      <c r="K70" s="505"/>
      <c r="L70" s="505"/>
      <c r="M70" s="505"/>
      <c r="N70" s="505"/>
    </row>
    <row r="71" spans="2:25" ht="13.2" customHeight="1">
      <c r="B71" s="505"/>
      <c r="C71" s="505"/>
      <c r="D71" s="505"/>
      <c r="E71" s="505"/>
      <c r="F71" s="505"/>
      <c r="G71" s="505"/>
      <c r="H71" s="500"/>
      <c r="I71" s="505"/>
      <c r="J71" s="505"/>
      <c r="K71" s="505"/>
      <c r="L71" s="505"/>
      <c r="M71" s="505"/>
      <c r="N71" s="505"/>
    </row>
    <row r="72" spans="2:25" ht="13.2" customHeight="1">
      <c r="B72" s="505"/>
      <c r="C72" s="505"/>
      <c r="D72" s="505"/>
      <c r="E72" s="505"/>
      <c r="F72" s="505"/>
      <c r="G72" s="505"/>
      <c r="H72" s="505"/>
      <c r="I72" s="505"/>
      <c r="J72" s="505"/>
      <c r="K72" s="505"/>
      <c r="L72" s="505"/>
      <c r="M72" s="505"/>
      <c r="N72" s="505"/>
      <c r="O72" s="505"/>
    </row>
    <row r="73" spans="2:25" ht="13.2" customHeight="1"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</row>
    <row r="74" spans="2:25" ht="13.2" customHeight="1">
      <c r="B74" s="500"/>
      <c r="C74" s="500"/>
      <c r="D74" s="500"/>
      <c r="E74" s="500"/>
      <c r="F74" s="500"/>
      <c r="G74" s="500"/>
      <c r="H74" s="505"/>
      <c r="I74" s="505"/>
      <c r="J74" s="505"/>
      <c r="K74" s="505"/>
      <c r="L74" s="505"/>
      <c r="M74" s="505"/>
      <c r="N74" s="505"/>
    </row>
    <row r="75" spans="2:25" ht="13.2" customHeight="1">
      <c r="B75" s="500"/>
      <c r="C75" s="500"/>
      <c r="D75" s="500"/>
      <c r="E75" s="500"/>
      <c r="F75" s="500"/>
      <c r="G75" s="500"/>
      <c r="H75" s="505"/>
      <c r="I75" s="505"/>
      <c r="J75" s="505"/>
      <c r="K75" s="505"/>
      <c r="L75" s="505"/>
      <c r="M75" s="505"/>
      <c r="N75" s="505"/>
      <c r="O75" s="505"/>
    </row>
    <row r="76" spans="2:25" ht="13.2" customHeight="1">
      <c r="B76" s="500"/>
      <c r="C76" s="500"/>
      <c r="D76" s="500"/>
      <c r="E76" s="500"/>
      <c r="F76" s="500"/>
      <c r="G76" s="500"/>
      <c r="H76" s="505"/>
      <c r="I76" s="500"/>
      <c r="J76" s="500"/>
      <c r="K76" s="500"/>
      <c r="L76" s="500"/>
      <c r="M76" s="516"/>
      <c r="N76" s="500"/>
      <c r="O76" s="512"/>
    </row>
    <row r="77" spans="2:25" ht="13.2" customHeight="1">
      <c r="B77" s="500"/>
      <c r="C77" s="500"/>
      <c r="D77" s="500"/>
      <c r="E77" s="500"/>
      <c r="F77" s="500"/>
      <c r="G77" s="500"/>
      <c r="H77" s="505"/>
      <c r="I77" s="500"/>
      <c r="J77" s="500"/>
      <c r="K77" s="500"/>
      <c r="L77" s="500"/>
      <c r="M77" s="500"/>
      <c r="N77" s="500"/>
      <c r="O77" s="513"/>
    </row>
    <row r="78" spans="2:25" ht="13.2" customHeight="1">
      <c r="B78" s="505"/>
      <c r="C78" s="505"/>
      <c r="D78" s="505"/>
      <c r="E78" s="505"/>
      <c r="F78" s="505"/>
      <c r="G78" s="500"/>
      <c r="H78" s="505"/>
      <c r="I78" s="505"/>
      <c r="J78" s="505"/>
      <c r="K78" s="505"/>
      <c r="L78" s="505"/>
      <c r="M78" s="500"/>
      <c r="N78" s="500"/>
      <c r="O78" s="514"/>
    </row>
    <row r="79" spans="2:25" ht="13.2" customHeight="1">
      <c r="B79" s="505"/>
      <c r="C79" s="505"/>
      <c r="D79" s="505"/>
      <c r="E79" s="505"/>
      <c r="F79" s="505"/>
      <c r="G79" s="500"/>
      <c r="H79" s="505"/>
      <c r="I79" s="505"/>
      <c r="J79" s="505"/>
      <c r="K79" s="505"/>
      <c r="L79" s="505"/>
      <c r="M79" s="500"/>
      <c r="N79" s="500"/>
      <c r="O79" s="515"/>
    </row>
    <row r="80" spans="2:25" ht="13.2" customHeight="1">
      <c r="G80" s="480"/>
      <c r="M80" s="480"/>
      <c r="N80" s="480"/>
      <c r="O80" s="514"/>
    </row>
    <row r="81" spans="2:15" ht="13.2" customHeight="1">
      <c r="G81" s="480"/>
      <c r="M81" s="480"/>
      <c r="N81" s="480"/>
      <c r="O81" s="515"/>
    </row>
    <row r="82" spans="2:15" ht="13.2" customHeight="1">
      <c r="G82" s="480"/>
      <c r="M82" s="480"/>
      <c r="N82" s="480"/>
      <c r="O82" s="515"/>
    </row>
    <row r="83" spans="2:15" ht="13.2" customHeight="1">
      <c r="G83" s="480"/>
      <c r="M83" s="480"/>
      <c r="N83" s="480"/>
      <c r="O83" s="503"/>
    </row>
    <row r="84" spans="2:15" ht="13.2" customHeight="1">
      <c r="C84" s="505"/>
      <c r="D84" s="505"/>
      <c r="E84" s="505"/>
      <c r="F84" s="505"/>
      <c r="G84" s="500"/>
      <c r="H84" s="505"/>
      <c r="I84" s="505"/>
      <c r="M84" s="480"/>
      <c r="N84" s="480"/>
      <c r="O84" s="513"/>
    </row>
    <row r="85" spans="2:15" ht="13.2" customHeight="1">
      <c r="C85" s="505"/>
      <c r="D85" s="505"/>
      <c r="E85" s="505"/>
      <c r="F85" s="505"/>
      <c r="G85" s="500"/>
      <c r="H85" s="518"/>
      <c r="I85" s="505"/>
      <c r="M85" s="480"/>
      <c r="N85" s="480"/>
      <c r="O85" s="515"/>
    </row>
    <row r="86" spans="2:15" ht="13.2" customHeight="1">
      <c r="C86" s="505"/>
      <c r="D86" s="505"/>
      <c r="E86" s="505"/>
      <c r="F86" s="505"/>
      <c r="G86" s="500"/>
      <c r="H86" s="500"/>
      <c r="I86" s="505"/>
      <c r="M86" s="480"/>
      <c r="N86" s="480"/>
      <c r="O86" s="489"/>
    </row>
    <row r="87" spans="2:15" ht="13.2" customHeight="1">
      <c r="C87" s="505"/>
      <c r="D87" s="505"/>
      <c r="E87" s="505"/>
      <c r="F87" s="505"/>
      <c r="G87" s="500"/>
      <c r="H87" s="519"/>
      <c r="I87" s="505"/>
      <c r="M87" s="480"/>
      <c r="N87" s="480"/>
      <c r="O87" s="489"/>
    </row>
    <row r="88" spans="2:15" ht="13.2" customHeight="1">
      <c r="C88" s="505"/>
      <c r="D88" s="505"/>
      <c r="E88" s="505"/>
      <c r="F88" s="505"/>
      <c r="G88" s="500"/>
      <c r="H88" s="520"/>
      <c r="I88" s="505"/>
      <c r="M88" s="480"/>
      <c r="N88" s="480"/>
      <c r="O88" s="517"/>
    </row>
    <row r="89" spans="2:15" ht="13.2" customHeight="1">
      <c r="C89" s="505"/>
      <c r="D89" s="505"/>
      <c r="E89" s="505"/>
      <c r="F89" s="505"/>
      <c r="G89" s="500"/>
      <c r="H89" s="521"/>
      <c r="I89" s="505"/>
      <c r="M89" s="480"/>
      <c r="N89" s="480"/>
      <c r="O89" s="497"/>
    </row>
    <row r="90" spans="2:15" ht="13.2" customHeight="1">
      <c r="C90" s="505"/>
      <c r="D90" s="505"/>
      <c r="E90" s="505"/>
      <c r="F90" s="505"/>
      <c r="G90" s="500"/>
      <c r="H90" s="522"/>
      <c r="I90" s="505"/>
      <c r="M90" s="480"/>
      <c r="N90" s="480"/>
      <c r="O90" s="480"/>
    </row>
    <row r="91" spans="2:15" ht="13.2" customHeight="1">
      <c r="C91" s="505"/>
      <c r="D91" s="518"/>
      <c r="E91" s="518"/>
      <c r="F91" s="518"/>
      <c r="G91" s="518"/>
      <c r="H91" s="521"/>
      <c r="I91" s="518"/>
      <c r="M91" s="480"/>
      <c r="N91" s="480"/>
      <c r="O91" s="480"/>
    </row>
    <row r="92" spans="2:15" ht="13.2" customHeight="1">
      <c r="B92" s="480"/>
      <c r="C92" s="500"/>
      <c r="D92" s="505"/>
      <c r="E92" s="500"/>
      <c r="F92" s="500"/>
      <c r="G92" s="500"/>
      <c r="H92" s="522"/>
      <c r="I92" s="505"/>
      <c r="J92" s="480"/>
      <c r="K92" s="480"/>
      <c r="L92" s="480"/>
      <c r="M92" s="480"/>
      <c r="N92" s="480"/>
      <c r="O92" s="480"/>
    </row>
    <row r="93" spans="2:15" ht="13.2" customHeight="1">
      <c r="B93" s="480"/>
      <c r="C93" s="500"/>
      <c r="D93" s="505"/>
      <c r="E93" s="503"/>
      <c r="F93" s="500"/>
      <c r="G93" s="521"/>
      <c r="H93" s="521"/>
      <c r="I93" s="505"/>
      <c r="J93" s="480"/>
      <c r="K93" s="480"/>
      <c r="L93" s="480"/>
      <c r="M93" s="480"/>
      <c r="N93" s="480"/>
    </row>
    <row r="94" spans="2:15" ht="13.2" customHeight="1">
      <c r="C94" s="505"/>
      <c r="D94" s="505"/>
      <c r="E94" s="503"/>
      <c r="F94" s="523"/>
      <c r="G94" s="524"/>
      <c r="H94" s="522"/>
      <c r="I94" s="505"/>
    </row>
    <row r="95" spans="2:15" ht="13.2" customHeight="1">
      <c r="C95" s="505"/>
      <c r="D95" s="505"/>
      <c r="E95" s="503"/>
      <c r="F95" s="523"/>
      <c r="G95" s="525"/>
      <c r="H95" s="521"/>
      <c r="I95" s="505"/>
    </row>
    <row r="96" spans="2:15" ht="13.2" customHeight="1">
      <c r="C96" s="505"/>
      <c r="D96" s="505"/>
      <c r="E96" s="503"/>
      <c r="F96" s="523"/>
      <c r="G96" s="524"/>
      <c r="H96" s="522"/>
      <c r="I96" s="505"/>
    </row>
    <row r="97" spans="3:9" ht="13.2" customHeight="1">
      <c r="C97" s="505"/>
      <c r="D97" s="505"/>
      <c r="E97" s="503"/>
      <c r="F97" s="523"/>
      <c r="G97" s="525"/>
      <c r="H97" s="505"/>
      <c r="I97" s="505"/>
    </row>
    <row r="98" spans="3:9" ht="13.2" customHeight="1">
      <c r="C98" s="505"/>
      <c r="D98" s="505"/>
      <c r="E98" s="526"/>
      <c r="F98" s="523"/>
      <c r="G98" s="524"/>
      <c r="H98" s="505"/>
      <c r="I98" s="505"/>
    </row>
    <row r="99" spans="3:9" ht="13.2" customHeight="1">
      <c r="C99" s="505"/>
      <c r="D99" s="505"/>
      <c r="E99" s="526"/>
      <c r="F99" s="523"/>
      <c r="G99" s="525"/>
      <c r="H99" s="505"/>
      <c r="I99" s="505"/>
    </row>
    <row r="100" spans="3:9" ht="13.2" customHeight="1">
      <c r="C100" s="505"/>
      <c r="D100" s="505"/>
      <c r="E100" s="526"/>
      <c r="F100" s="523"/>
      <c r="G100" s="524"/>
      <c r="H100" s="505"/>
      <c r="I100" s="505"/>
    </row>
    <row r="101" spans="3:9" ht="13.2" customHeight="1">
      <c r="C101" s="505"/>
      <c r="D101" s="505"/>
      <c r="E101" s="526"/>
      <c r="F101" s="523"/>
      <c r="G101" s="521"/>
      <c r="H101" s="505"/>
      <c r="I101" s="505"/>
    </row>
    <row r="102" spans="3:9" ht="13.2" customHeight="1">
      <c r="C102" s="505"/>
      <c r="D102" s="505"/>
      <c r="E102" s="526"/>
      <c r="F102" s="523"/>
      <c r="G102" s="527"/>
      <c r="H102" s="505"/>
      <c r="I102" s="505"/>
    </row>
    <row r="103" spans="3:9" ht="13.2" customHeight="1">
      <c r="C103" s="505"/>
      <c r="D103" s="505"/>
      <c r="E103" s="505"/>
      <c r="F103" s="505"/>
      <c r="G103" s="505"/>
      <c r="H103" s="505"/>
      <c r="I103" s="505"/>
    </row>
  </sheetData>
  <pageMargins left="0.7" right="0.7" top="0.75" bottom="0.75" header="0.3" footer="0.3"/>
  <ignoredErrors>
    <ignoredError sqref="U12:Y12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178A6-AD25-48EB-8498-64F0E1D7F70A}">
  <sheetPr>
    <tabColor rgb="FFEA8436"/>
  </sheetPr>
  <dimension ref="B2:AA61"/>
  <sheetViews>
    <sheetView showGridLines="0" zoomScale="93" zoomScaleNormal="115" workbookViewId="0">
      <selection activeCell="B27" sqref="B27"/>
    </sheetView>
  </sheetViews>
  <sheetFormatPr defaultRowHeight="13.2" customHeight="1"/>
  <cols>
    <col min="1" max="7" width="8.88671875" style="528"/>
    <col min="8" max="8" width="5" style="528" customWidth="1"/>
    <col min="9" max="16" width="8.88671875" style="528"/>
    <col min="17" max="17" width="9.5546875" style="528" customWidth="1"/>
    <col min="18" max="18" width="12.109375" style="528" bestFit="1" customWidth="1"/>
    <col min="19" max="19" width="9.6640625" style="528" bestFit="1" customWidth="1"/>
    <col min="20" max="23" width="11.109375" style="528" bestFit="1" customWidth="1"/>
    <col min="24" max="27" width="9.21875" style="528" bestFit="1" customWidth="1"/>
    <col min="28" max="16384" width="8.88671875" style="528"/>
  </cols>
  <sheetData>
    <row r="2" spans="2:27" ht="13.2" customHeight="1" thickBot="1">
      <c r="B2" s="570" t="s">
        <v>215</v>
      </c>
      <c r="C2" s="529"/>
      <c r="D2" s="530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2"/>
      <c r="P2" s="571" t="s">
        <v>216</v>
      </c>
      <c r="Q2" s="567"/>
      <c r="R2" s="568"/>
      <c r="S2" s="569"/>
      <c r="T2" s="569"/>
      <c r="U2" s="569"/>
      <c r="V2" s="572"/>
      <c r="W2" s="572"/>
      <c r="X2" s="401"/>
      <c r="Y2" s="401"/>
      <c r="Z2" s="401"/>
      <c r="AA2" s="401"/>
    </row>
    <row r="3" spans="2:27" ht="13.2" customHeight="1">
      <c r="B3" s="1"/>
      <c r="C3" s="533"/>
      <c r="D3" s="534"/>
      <c r="E3" s="532"/>
      <c r="F3" s="532"/>
      <c r="G3" s="532"/>
      <c r="H3" s="532"/>
      <c r="I3" s="532"/>
      <c r="J3" s="532"/>
      <c r="K3" s="556"/>
      <c r="L3" s="556"/>
      <c r="M3" s="573"/>
      <c r="N3" s="573"/>
      <c r="O3" s="573"/>
      <c r="P3" s="573"/>
      <c r="Q3" s="573"/>
      <c r="R3" s="573"/>
      <c r="S3" s="573"/>
      <c r="T3" s="573"/>
      <c r="U3" s="573"/>
      <c r="V3" s="556"/>
      <c r="W3" s="556"/>
      <c r="X3" s="401"/>
      <c r="Y3" s="401"/>
      <c r="Z3" s="401"/>
      <c r="AA3" s="401"/>
    </row>
    <row r="4" spans="2:27" ht="13.2" customHeight="1" thickBot="1">
      <c r="B4" s="662" t="s">
        <v>248</v>
      </c>
      <c r="C4" s="574"/>
      <c r="D4" s="574"/>
      <c r="E4" s="574"/>
      <c r="F4" s="574"/>
      <c r="G4" s="574"/>
      <c r="H4" s="573"/>
      <c r="I4" s="662" t="s">
        <v>222</v>
      </c>
      <c r="J4" s="574"/>
      <c r="K4" s="574"/>
      <c r="L4" s="574"/>
      <c r="M4" s="574"/>
      <c r="N4" s="574"/>
      <c r="O4" s="573"/>
      <c r="P4" s="573"/>
      <c r="Q4" s="573"/>
      <c r="R4" s="573"/>
      <c r="S4" s="573"/>
      <c r="T4" s="573"/>
      <c r="U4" s="573"/>
      <c r="V4" s="556"/>
      <c r="W4" s="556"/>
      <c r="X4" s="401"/>
      <c r="Y4" s="401"/>
      <c r="Z4" s="401"/>
      <c r="AA4" s="401"/>
    </row>
    <row r="5" spans="2:27" ht="13.2" customHeight="1">
      <c r="B5" s="1"/>
      <c r="C5" s="1"/>
      <c r="D5" s="1"/>
      <c r="E5" s="1"/>
      <c r="F5" s="1"/>
      <c r="G5" s="575"/>
      <c r="H5" s="573"/>
      <c r="I5" s="536"/>
      <c r="O5" s="556"/>
      <c r="P5" s="537" t="s">
        <v>217</v>
      </c>
      <c r="Q5" s="576"/>
      <c r="R5" s="538" t="s">
        <v>212</v>
      </c>
      <c r="S5" s="538"/>
      <c r="T5" s="556"/>
      <c r="U5" s="556"/>
      <c r="V5" s="556"/>
      <c r="W5" s="556"/>
      <c r="X5" s="401"/>
      <c r="Y5" s="401"/>
      <c r="Z5" s="401"/>
      <c r="AA5" s="401"/>
    </row>
    <row r="6" spans="2:27" ht="13.2" customHeight="1">
      <c r="B6" s="577"/>
      <c r="C6" s="577"/>
      <c r="D6" s="577"/>
      <c r="E6" s="577"/>
      <c r="F6" s="577"/>
      <c r="G6" s="577"/>
      <c r="H6" s="573"/>
      <c r="I6" s="578"/>
      <c r="J6" s="578"/>
      <c r="K6" s="578"/>
      <c r="L6" s="578"/>
      <c r="M6" s="578"/>
      <c r="N6" s="578"/>
      <c r="O6" s="556"/>
      <c r="P6" s="537" t="s">
        <v>218</v>
      </c>
      <c r="Q6" s="576"/>
      <c r="R6" s="539" t="s">
        <v>240</v>
      </c>
      <c r="S6" s="579"/>
      <c r="T6" s="556"/>
      <c r="U6" s="556"/>
      <c r="V6" s="556"/>
      <c r="W6" s="556"/>
      <c r="X6" s="401"/>
      <c r="Y6" s="401"/>
      <c r="Z6" s="401"/>
      <c r="AA6" s="401"/>
    </row>
    <row r="7" spans="2:27" ht="13.2" customHeight="1">
      <c r="B7" s="577"/>
      <c r="C7" s="577"/>
      <c r="D7" s="577"/>
      <c r="E7" s="577"/>
      <c r="F7" s="577"/>
      <c r="G7" s="580"/>
      <c r="H7" s="573"/>
      <c r="I7" s="578"/>
      <c r="J7" s="578"/>
      <c r="K7" s="578"/>
      <c r="L7" s="578"/>
      <c r="M7" s="578"/>
      <c r="N7" s="578"/>
      <c r="O7" s="556"/>
      <c r="P7" s="537" t="s">
        <v>219</v>
      </c>
      <c r="Q7" s="581"/>
      <c r="R7" s="540">
        <v>388.4</v>
      </c>
      <c r="S7" s="579"/>
      <c r="T7" s="556"/>
      <c r="U7" s="556"/>
      <c r="V7" s="556"/>
      <c r="W7" s="556"/>
      <c r="X7" s="401"/>
      <c r="Y7" s="401"/>
      <c r="Z7" s="401"/>
      <c r="AA7" s="401"/>
    </row>
    <row r="8" spans="2:27" ht="13.2" customHeight="1">
      <c r="B8" s="577"/>
      <c r="C8" s="577"/>
      <c r="D8" s="577"/>
      <c r="E8" s="577"/>
      <c r="F8" s="577"/>
      <c r="G8" s="580"/>
      <c r="H8" s="573"/>
      <c r="I8" s="578"/>
      <c r="J8" s="578"/>
      <c r="K8" s="578"/>
      <c r="L8" s="578"/>
      <c r="M8" s="578"/>
      <c r="N8" s="578"/>
      <c r="O8" s="556"/>
      <c r="P8" s="556"/>
      <c r="Q8" s="556"/>
      <c r="R8" s="556"/>
      <c r="S8" s="556"/>
      <c r="T8" s="556"/>
      <c r="U8" s="556"/>
      <c r="V8" s="556"/>
      <c r="W8" s="556"/>
      <c r="X8" s="401"/>
      <c r="Y8" s="401"/>
      <c r="Z8" s="401"/>
      <c r="AA8" s="401"/>
    </row>
    <row r="9" spans="2:27" ht="13.2" customHeight="1">
      <c r="B9" s="577"/>
      <c r="C9" s="577"/>
      <c r="D9" s="577"/>
      <c r="E9" s="577"/>
      <c r="F9" s="577"/>
      <c r="G9" s="582"/>
      <c r="H9" s="573"/>
      <c r="I9" s="578"/>
      <c r="J9" s="578"/>
      <c r="K9" s="578"/>
      <c r="L9" s="578"/>
      <c r="M9" s="578"/>
      <c r="N9" s="578"/>
      <c r="O9" s="556"/>
      <c r="P9" s="556"/>
      <c r="Q9" s="556"/>
      <c r="R9" s="556"/>
      <c r="S9" s="556"/>
      <c r="T9" s="556"/>
      <c r="U9" s="556"/>
      <c r="V9" s="556"/>
      <c r="W9" s="556"/>
      <c r="X9" s="401"/>
      <c r="Y9" s="401"/>
      <c r="Z9" s="401"/>
      <c r="AA9" s="401"/>
    </row>
    <row r="10" spans="2:27" ht="13.2" customHeight="1">
      <c r="B10" s="577"/>
      <c r="C10" s="577"/>
      <c r="D10" s="577"/>
      <c r="E10" s="577"/>
      <c r="F10" s="577"/>
      <c r="G10" s="577"/>
      <c r="H10" s="573"/>
      <c r="I10" s="578"/>
      <c r="J10" s="578"/>
      <c r="K10" s="578"/>
      <c r="L10" s="578"/>
      <c r="M10" s="578"/>
      <c r="N10" s="578"/>
      <c r="O10" s="556"/>
      <c r="P10" s="583"/>
      <c r="Q10" s="583"/>
      <c r="R10" s="583"/>
      <c r="S10" s="583"/>
      <c r="T10" s="583"/>
      <c r="U10" s="583"/>
      <c r="V10" s="583"/>
      <c r="W10" s="556"/>
      <c r="X10" s="401"/>
      <c r="Y10" s="401"/>
      <c r="Z10" s="401"/>
      <c r="AA10" s="401"/>
    </row>
    <row r="11" spans="2:27" ht="13.2" customHeight="1">
      <c r="B11" s="577"/>
      <c r="C11" s="577"/>
      <c r="D11" s="577"/>
      <c r="E11" s="577"/>
      <c r="F11" s="577"/>
      <c r="G11" s="577"/>
      <c r="H11" s="573"/>
      <c r="I11" s="578"/>
      <c r="J11" s="578"/>
      <c r="K11" s="578"/>
      <c r="L11" s="578"/>
      <c r="M11" s="578"/>
      <c r="N11" s="578"/>
      <c r="O11" s="556"/>
      <c r="P11" s="556"/>
      <c r="Q11" s="556"/>
      <c r="R11" s="556"/>
      <c r="S11" s="556"/>
      <c r="T11" s="556"/>
      <c r="U11" s="556"/>
      <c r="V11" s="556"/>
      <c r="W11" s="556"/>
      <c r="X11" s="401"/>
      <c r="Y11" s="401"/>
      <c r="Z11" s="401"/>
      <c r="AA11" s="401"/>
    </row>
    <row r="12" spans="2:27" ht="13.2" customHeight="1" thickBot="1">
      <c r="B12" s="577"/>
      <c r="C12" s="577"/>
      <c r="D12" s="577"/>
      <c r="E12" s="577"/>
      <c r="F12" s="577"/>
      <c r="G12" s="577"/>
      <c r="H12" s="573"/>
      <c r="I12" s="578"/>
      <c r="J12" s="578"/>
      <c r="K12" s="578"/>
      <c r="L12" s="578"/>
      <c r="M12" s="578"/>
      <c r="N12" s="578"/>
      <c r="O12" s="1"/>
      <c r="P12" s="571" t="s">
        <v>220</v>
      </c>
      <c r="Q12" s="567"/>
      <c r="R12" s="568"/>
      <c r="S12" s="569"/>
      <c r="T12" s="569"/>
      <c r="U12" s="569"/>
      <c r="V12" s="572"/>
      <c r="W12" s="572"/>
      <c r="X12" s="401"/>
      <c r="Y12" s="401"/>
      <c r="Z12" s="401"/>
      <c r="AA12" s="401"/>
    </row>
    <row r="13" spans="2:27" ht="13.2" customHeight="1">
      <c r="B13" s="577"/>
      <c r="C13" s="577"/>
      <c r="D13" s="577"/>
      <c r="E13" s="577"/>
      <c r="F13" s="577"/>
      <c r="G13" s="577"/>
      <c r="H13" s="584"/>
      <c r="I13" s="585"/>
      <c r="J13" s="585"/>
      <c r="K13" s="585"/>
      <c r="L13" s="585"/>
      <c r="M13" s="585"/>
      <c r="N13" s="585"/>
      <c r="O13" s="556"/>
      <c r="P13" s="573"/>
      <c r="Q13" s="573"/>
      <c r="R13" s="573"/>
      <c r="S13" s="573"/>
      <c r="T13" s="573"/>
      <c r="U13" s="573"/>
      <c r="V13" s="556"/>
      <c r="W13" s="556"/>
      <c r="X13" s="401"/>
      <c r="Y13" s="401"/>
      <c r="Z13" s="401"/>
      <c r="AA13" s="401"/>
    </row>
    <row r="14" spans="2:27" ht="13.2" customHeight="1" thickBot="1">
      <c r="B14" s="577"/>
      <c r="C14" s="577"/>
      <c r="D14" s="577"/>
      <c r="E14" s="577"/>
      <c r="F14" s="577"/>
      <c r="G14" s="577"/>
      <c r="H14" s="584"/>
      <c r="I14" s="585"/>
      <c r="J14" s="585"/>
      <c r="K14" s="585"/>
      <c r="L14" s="585"/>
      <c r="M14" s="585"/>
      <c r="N14" s="585"/>
      <c r="O14" s="556"/>
      <c r="P14" s="565" t="s">
        <v>230</v>
      </c>
      <c r="Q14" s="565"/>
      <c r="R14" s="565"/>
      <c r="S14" s="586"/>
      <c r="T14" s="586"/>
      <c r="U14" s="566" t="s">
        <v>13</v>
      </c>
      <c r="V14" s="566" t="s">
        <v>221</v>
      </c>
      <c r="W14" s="566" t="s">
        <v>14</v>
      </c>
      <c r="X14" s="401"/>
      <c r="Y14" s="401"/>
      <c r="Z14" s="401"/>
      <c r="AA14" s="401"/>
    </row>
    <row r="15" spans="2:27" ht="13.2" customHeight="1">
      <c r="B15" s="577"/>
      <c r="C15" s="577"/>
      <c r="D15" s="577"/>
      <c r="E15" s="577"/>
      <c r="F15" s="577"/>
      <c r="G15" s="577"/>
      <c r="H15" s="584"/>
      <c r="I15" s="585"/>
      <c r="J15" s="585"/>
      <c r="K15" s="585"/>
      <c r="L15" s="585"/>
      <c r="M15" s="585"/>
      <c r="N15" s="585"/>
      <c r="O15" s="556"/>
      <c r="P15" s="528" t="s">
        <v>22</v>
      </c>
      <c r="Q15" s="573"/>
      <c r="R15" s="573"/>
      <c r="U15" s="560">
        <f>'Terminal Value'!D50</f>
        <v>297.57682325047381</v>
      </c>
      <c r="V15" s="560">
        <f>W15-U15</f>
        <v>339.83502050718027</v>
      </c>
      <c r="W15" s="560">
        <f>'Terminal Value'!D63</f>
        <v>637.41184375765408</v>
      </c>
      <c r="X15" s="401"/>
      <c r="Y15" s="401"/>
      <c r="Z15" s="401"/>
      <c r="AA15" s="401"/>
    </row>
    <row r="16" spans="2:27" ht="13.2" customHeight="1">
      <c r="B16" s="577"/>
      <c r="C16" s="577"/>
      <c r="D16" s="577"/>
      <c r="E16" s="577"/>
      <c r="F16" s="577"/>
      <c r="G16" s="577"/>
      <c r="H16" s="584"/>
      <c r="I16" s="585"/>
      <c r="J16" s="585"/>
      <c r="K16" s="585"/>
      <c r="L16" s="585"/>
      <c r="M16" s="585"/>
      <c r="N16" s="585"/>
      <c r="O16" s="556"/>
      <c r="P16" s="528" t="s">
        <v>232</v>
      </c>
      <c r="Q16" s="573"/>
      <c r="R16" s="573"/>
      <c r="U16" s="560">
        <f>'Trading Multiples'!L22</f>
        <v>311.76183178509501</v>
      </c>
      <c r="V16" s="560">
        <f>W16-U16</f>
        <v>69.895549412418575</v>
      </c>
      <c r="W16" s="560">
        <f>'Trading Multiples'!O22</f>
        <v>381.65738119751359</v>
      </c>
      <c r="X16" s="401"/>
      <c r="Y16" s="401"/>
      <c r="Z16" s="401"/>
      <c r="AA16" s="401"/>
    </row>
    <row r="17" spans="2:27" ht="13.2" customHeight="1">
      <c r="B17" s="577"/>
      <c r="C17" s="577"/>
      <c r="D17" s="577"/>
      <c r="E17" s="577"/>
      <c r="F17" s="587"/>
      <c r="G17" s="577"/>
      <c r="H17" s="584"/>
      <c r="I17" s="585"/>
      <c r="J17" s="585"/>
      <c r="K17" s="585"/>
      <c r="L17" s="585"/>
      <c r="M17" s="585"/>
      <c r="N17" s="585"/>
      <c r="O17" s="573"/>
      <c r="P17" s="528" t="s">
        <v>76</v>
      </c>
      <c r="Q17" s="573"/>
      <c r="R17" s="573"/>
      <c r="U17" s="560">
        <f>EPV!D59</f>
        <v>181.93268520161146</v>
      </c>
      <c r="V17" s="560">
        <f>W17-U17</f>
        <v>63.306923879252651</v>
      </c>
      <c r="W17" s="560">
        <f>EPV!E59</f>
        <v>245.23960908086411</v>
      </c>
      <c r="X17" s="401"/>
      <c r="Y17" s="401"/>
      <c r="Z17" s="401"/>
      <c r="AA17" s="401"/>
    </row>
    <row r="18" spans="2:27" ht="13.2" customHeight="1">
      <c r="B18" s="577"/>
      <c r="C18" s="577"/>
      <c r="D18" s="577"/>
      <c r="E18" s="577"/>
      <c r="F18" s="577"/>
      <c r="G18" s="577"/>
      <c r="H18" s="1"/>
      <c r="I18" s="585"/>
      <c r="J18" s="585"/>
      <c r="K18" s="585"/>
      <c r="L18" s="585"/>
      <c r="M18" s="585"/>
      <c r="N18" s="585"/>
      <c r="O18" s="573"/>
      <c r="P18" s="528" t="s">
        <v>231</v>
      </c>
      <c r="Q18" s="573"/>
      <c r="R18" s="573"/>
      <c r="U18" s="560">
        <f>DDM!E77</f>
        <v>255.01945751229189</v>
      </c>
      <c r="V18" s="560">
        <f>W18-U18</f>
        <v>227.60074323287731</v>
      </c>
      <c r="W18" s="560">
        <f>DDM!E87</f>
        <v>482.6202007451692</v>
      </c>
      <c r="X18" s="401"/>
      <c r="Y18" s="401"/>
      <c r="Z18" s="401"/>
      <c r="AA18" s="401"/>
    </row>
    <row r="19" spans="2:27" ht="13.2" customHeight="1">
      <c r="B19" s="577"/>
      <c r="C19" s="577"/>
      <c r="D19" s="577"/>
      <c r="E19" s="577"/>
      <c r="F19" s="577"/>
      <c r="G19" s="577"/>
      <c r="H19" s="1"/>
      <c r="I19" s="585"/>
      <c r="J19" s="585"/>
      <c r="K19" s="585"/>
      <c r="L19" s="585"/>
      <c r="M19" s="585"/>
      <c r="N19" s="585"/>
      <c r="O19" s="573"/>
      <c r="Q19" s="573"/>
      <c r="R19" s="573"/>
      <c r="S19" s="541"/>
      <c r="T19" s="542"/>
      <c r="U19" s="541"/>
      <c r="V19" s="556"/>
      <c r="W19" s="556"/>
      <c r="X19" s="401"/>
      <c r="Y19" s="401"/>
      <c r="Z19" s="401"/>
      <c r="AA19" s="401"/>
    </row>
    <row r="20" spans="2:27" ht="13.2" customHeight="1">
      <c r="B20" s="577"/>
      <c r="C20" s="577"/>
      <c r="D20" s="577"/>
      <c r="E20" s="577"/>
      <c r="F20" s="577"/>
      <c r="G20" s="577"/>
      <c r="H20" s="1"/>
      <c r="I20" s="585"/>
      <c r="J20" s="585"/>
      <c r="K20" s="585"/>
      <c r="L20" s="585"/>
      <c r="M20" s="585"/>
      <c r="N20" s="585"/>
      <c r="O20" s="573"/>
      <c r="P20" s="573"/>
    </row>
    <row r="21" spans="2:27" ht="13.2" customHeight="1">
      <c r="B21" s="577"/>
      <c r="C21" s="577"/>
      <c r="D21" s="577"/>
      <c r="E21" s="577"/>
      <c r="F21" s="577"/>
      <c r="G21" s="577"/>
      <c r="H21" s="1"/>
      <c r="I21" s="588"/>
      <c r="J21" s="588"/>
      <c r="K21" s="588"/>
      <c r="L21" s="588"/>
      <c r="M21" s="588"/>
      <c r="N21" s="588"/>
      <c r="O21" s="573"/>
      <c r="P21" s="584"/>
    </row>
    <row r="22" spans="2:27" ht="13.2" customHeight="1">
      <c r="B22" s="577"/>
      <c r="C22" s="577"/>
      <c r="D22" s="577"/>
      <c r="E22" s="577"/>
      <c r="F22" s="577"/>
      <c r="G22" s="577"/>
      <c r="H22" s="584"/>
      <c r="I22" s="588"/>
      <c r="J22" s="588"/>
      <c r="K22" s="588"/>
      <c r="L22" s="588"/>
      <c r="M22" s="588"/>
      <c r="N22" s="588"/>
      <c r="O22" s="573"/>
      <c r="P22" s="589"/>
      <c r="Q22" s="543"/>
      <c r="R22" s="543"/>
      <c r="S22" s="543"/>
      <c r="T22" s="543"/>
      <c r="U22" s="543"/>
      <c r="V22" s="543"/>
      <c r="W22" s="543"/>
    </row>
    <row r="23" spans="2:27" ht="13.2" customHeight="1">
      <c r="B23" s="577"/>
      <c r="C23" s="577"/>
      <c r="D23" s="577"/>
      <c r="E23" s="577"/>
      <c r="F23" s="577"/>
      <c r="G23" s="577"/>
      <c r="H23" s="1"/>
      <c r="I23" s="590"/>
      <c r="J23" s="590"/>
      <c r="K23" s="590"/>
      <c r="L23" s="590"/>
      <c r="M23" s="590"/>
      <c r="N23" s="591"/>
      <c r="O23" s="573"/>
      <c r="P23" s="584"/>
    </row>
    <row r="24" spans="2:27" ht="13.2" customHeight="1" thickBot="1">
      <c r="B24" s="588"/>
      <c r="C24" s="588"/>
      <c r="D24" s="588"/>
      <c r="E24" s="588"/>
      <c r="F24" s="588"/>
      <c r="G24" s="588"/>
      <c r="H24" s="1"/>
      <c r="I24" s="544"/>
      <c r="J24" s="592"/>
      <c r="K24" s="592"/>
      <c r="L24" s="593"/>
      <c r="M24" s="593"/>
      <c r="N24" s="593"/>
      <c r="O24" s="573"/>
      <c r="P24" s="659" t="s">
        <v>223</v>
      </c>
      <c r="Q24" s="545"/>
      <c r="R24" s="546"/>
      <c r="S24" s="547"/>
      <c r="T24" s="547"/>
      <c r="U24" s="547"/>
      <c r="V24" s="547"/>
      <c r="W24" s="547"/>
      <c r="X24" s="400"/>
      <c r="Y24" s="400"/>
      <c r="Z24" s="400"/>
      <c r="AA24" s="400"/>
    </row>
    <row r="25" spans="2:27" ht="13.2" customHeight="1">
      <c r="B25" s="584"/>
      <c r="C25" s="584"/>
      <c r="D25" s="584"/>
      <c r="E25" s="584"/>
      <c r="F25" s="584"/>
      <c r="G25" s="584"/>
      <c r="H25" s="556"/>
      <c r="I25" s="1"/>
      <c r="J25" s="1"/>
      <c r="K25" s="1"/>
      <c r="L25" s="1"/>
      <c r="M25" s="1"/>
      <c r="N25" s="1"/>
      <c r="O25" s="573"/>
      <c r="P25" s="594" t="s">
        <v>224</v>
      </c>
      <c r="Q25" s="556"/>
      <c r="R25" s="556"/>
      <c r="S25" s="583"/>
      <c r="T25" s="583"/>
      <c r="U25" s="583"/>
      <c r="V25" s="583"/>
      <c r="W25" s="583"/>
      <c r="X25" s="401"/>
      <c r="Y25" s="401"/>
      <c r="Z25" s="401"/>
      <c r="AA25" s="401"/>
    </row>
    <row r="26" spans="2:27" ht="13.2" customHeight="1">
      <c r="B26" s="1"/>
      <c r="C26" s="1"/>
      <c r="D26" s="1"/>
      <c r="E26" s="1"/>
      <c r="F26" s="1"/>
      <c r="G26" s="1"/>
      <c r="H26" s="584"/>
      <c r="I26" s="595"/>
      <c r="J26" s="595"/>
      <c r="K26" s="595"/>
      <c r="L26" s="595"/>
      <c r="M26" s="595"/>
      <c r="N26" s="596"/>
      <c r="O26" s="584"/>
      <c r="P26" s="594"/>
      <c r="Q26" s="556"/>
      <c r="R26" s="556"/>
      <c r="S26" s="583"/>
      <c r="T26" s="583"/>
      <c r="U26" s="583"/>
      <c r="V26" s="583"/>
      <c r="W26" s="583"/>
      <c r="X26" s="406"/>
      <c r="Y26" s="406"/>
      <c r="Z26" s="406"/>
      <c r="AA26" s="406"/>
    </row>
    <row r="27" spans="2:27" ht="13.2" customHeight="1" thickBot="1">
      <c r="B27" s="663" t="s">
        <v>250</v>
      </c>
      <c r="C27" s="548"/>
      <c r="D27" s="548"/>
      <c r="E27" s="535"/>
      <c r="F27" s="535"/>
      <c r="G27" s="535"/>
      <c r="H27" s="584"/>
      <c r="I27" s="663" t="s">
        <v>249</v>
      </c>
      <c r="J27" s="574"/>
      <c r="K27" s="574"/>
      <c r="L27" s="574"/>
      <c r="M27" s="574"/>
      <c r="N27" s="597"/>
      <c r="O27" s="584"/>
      <c r="Q27" s="556"/>
      <c r="R27" s="556"/>
      <c r="S27" s="559">
        <v>2026</v>
      </c>
      <c r="T27" s="559">
        <v>2027</v>
      </c>
      <c r="U27" s="559">
        <v>2028</v>
      </c>
      <c r="V27" s="559">
        <v>2029</v>
      </c>
      <c r="W27" s="559">
        <v>2030</v>
      </c>
      <c r="X27" s="402"/>
      <c r="Y27" s="402"/>
      <c r="Z27" s="402"/>
      <c r="AA27" s="598"/>
    </row>
    <row r="28" spans="2:27" ht="13.2" customHeight="1">
      <c r="B28" s="1"/>
      <c r="C28" s="1"/>
      <c r="D28" s="1"/>
      <c r="E28" s="1"/>
      <c r="F28" s="1"/>
      <c r="G28" s="1"/>
      <c r="H28" s="584"/>
      <c r="I28" s="595"/>
      <c r="J28" s="595"/>
      <c r="K28" s="595"/>
      <c r="L28" s="595"/>
      <c r="M28" s="595"/>
      <c r="N28" s="596"/>
      <c r="O28" s="584"/>
      <c r="P28" s="536"/>
      <c r="R28" s="536"/>
      <c r="S28" s="536"/>
      <c r="T28" s="536"/>
      <c r="U28" s="536"/>
      <c r="V28" s="536"/>
      <c r="W28" s="536"/>
      <c r="X28" s="404"/>
      <c r="Y28" s="404"/>
      <c r="Z28" s="404"/>
      <c r="AA28" s="404"/>
    </row>
    <row r="29" spans="2:27" ht="13.2" customHeight="1">
      <c r="B29" s="585"/>
      <c r="C29" s="585"/>
      <c r="D29" s="585"/>
      <c r="E29" s="585"/>
      <c r="F29" s="585"/>
      <c r="G29" s="585"/>
      <c r="H29" s="584"/>
      <c r="I29" s="590"/>
      <c r="J29" s="590"/>
      <c r="K29" s="590"/>
      <c r="L29" s="590"/>
      <c r="M29" s="590"/>
      <c r="N29" s="591"/>
      <c r="O29" s="584"/>
      <c r="P29" s="549" t="s">
        <v>225</v>
      </c>
      <c r="Q29" s="549"/>
      <c r="R29" s="584"/>
      <c r="S29" s="550">
        <f>S33/'Rev &amp; Exp'!C7-1</f>
        <v>5.2523848675120277E-2</v>
      </c>
      <c r="T29" s="551">
        <f>T33/S33-1</f>
        <v>2.0000000000000018E-2</v>
      </c>
      <c r="U29" s="551">
        <f t="shared" ref="U29:W29" si="0">U33/T33-1</f>
        <v>2.568333329812722E-2</v>
      </c>
      <c r="V29" s="551">
        <f t="shared" si="0"/>
        <v>3.8549250010580405E-2</v>
      </c>
      <c r="W29" s="551">
        <f t="shared" si="0"/>
        <v>4.541306949120183E-2</v>
      </c>
      <c r="X29" s="404"/>
      <c r="Y29" s="404"/>
      <c r="Z29" s="404"/>
      <c r="AA29" s="404"/>
    </row>
    <row r="30" spans="2:27" ht="13.2" customHeight="1">
      <c r="B30" s="585"/>
      <c r="C30" s="585"/>
      <c r="D30" s="585"/>
      <c r="E30" s="585"/>
      <c r="F30" s="585"/>
      <c r="G30" s="585"/>
      <c r="H30" s="584"/>
      <c r="I30" s="588"/>
      <c r="J30" s="588"/>
      <c r="K30" s="588"/>
      <c r="L30" s="588"/>
      <c r="M30" s="588"/>
      <c r="N30" s="588"/>
      <c r="O30" s="584"/>
      <c r="P30" s="549" t="s">
        <v>226</v>
      </c>
      <c r="Q30" s="549"/>
      <c r="R30" s="584"/>
      <c r="S30" s="550">
        <f>Projections!S41/Financials!G70-1</f>
        <v>-0.12437220706291774</v>
      </c>
      <c r="T30" s="551">
        <f>T41/S41-1</f>
        <v>0.49850961972721519</v>
      </c>
      <c r="U30" s="551">
        <f>U41/T41-1</f>
        <v>0.30180831826401455</v>
      </c>
      <c r="V30" s="551">
        <f>V41/U41-1</f>
        <v>0.32791591424734912</v>
      </c>
      <c r="W30" s="552">
        <f>W41/V41-1</f>
        <v>-9.253018673239688E-2</v>
      </c>
      <c r="X30" s="401"/>
      <c r="Y30" s="401"/>
      <c r="Z30" s="401"/>
      <c r="AA30" s="401"/>
    </row>
    <row r="31" spans="2:27" ht="13.2" customHeight="1">
      <c r="B31" s="585"/>
      <c r="C31" s="585"/>
      <c r="D31" s="585"/>
      <c r="E31" s="585"/>
      <c r="F31" s="585"/>
      <c r="G31" s="585"/>
      <c r="H31" s="584"/>
      <c r="I31" s="588"/>
      <c r="J31" s="588"/>
      <c r="K31" s="588"/>
      <c r="L31" s="588"/>
      <c r="M31" s="588"/>
      <c r="N31" s="588"/>
      <c r="O31" s="584"/>
      <c r="P31" s="556"/>
      <c r="Q31" s="556"/>
      <c r="R31" s="584"/>
      <c r="S31" s="556"/>
      <c r="T31" s="556"/>
      <c r="U31" s="556"/>
      <c r="V31" s="556"/>
      <c r="W31" s="556"/>
      <c r="X31" s="401"/>
      <c r="Y31" s="401"/>
      <c r="Z31" s="401"/>
      <c r="AA31" s="401"/>
    </row>
    <row r="32" spans="2:27" ht="13.2" customHeight="1">
      <c r="B32" s="585"/>
      <c r="C32" s="585"/>
      <c r="D32" s="585"/>
      <c r="E32" s="585"/>
      <c r="F32" s="585"/>
      <c r="G32" s="585"/>
      <c r="H32" s="584"/>
      <c r="I32" s="588"/>
      <c r="J32" s="588"/>
      <c r="K32" s="588"/>
      <c r="L32" s="588"/>
      <c r="M32" s="588"/>
      <c r="N32" s="588"/>
      <c r="O32" s="584"/>
      <c r="P32" s="553" t="s">
        <v>233</v>
      </c>
      <c r="Q32" s="556"/>
      <c r="R32" s="584"/>
      <c r="S32" s="556"/>
      <c r="T32" s="556"/>
      <c r="U32" s="556"/>
      <c r="V32" s="556"/>
      <c r="W32" s="556"/>
      <c r="X32" s="405"/>
      <c r="Y32" s="405"/>
      <c r="Z32" s="405"/>
      <c r="AA32" s="405"/>
    </row>
    <row r="33" spans="2:27" ht="13.2" customHeight="1">
      <c r="B33" s="585"/>
      <c r="C33" s="585"/>
      <c r="D33" s="585"/>
      <c r="E33" s="585"/>
      <c r="F33" s="585"/>
      <c r="G33" s="585"/>
      <c r="H33" s="584"/>
      <c r="I33" s="588"/>
      <c r="J33" s="588"/>
      <c r="K33" s="588"/>
      <c r="L33" s="588"/>
      <c r="M33" s="588"/>
      <c r="N33" s="588"/>
      <c r="O33" s="584"/>
      <c r="P33" s="554" t="s">
        <v>78</v>
      </c>
      <c r="Q33" s="1"/>
      <c r="R33" s="584"/>
      <c r="S33" s="561">
        <f>'Rev &amp; Exp'!E7</f>
        <v>167892.28919756314</v>
      </c>
      <c r="T33" s="561">
        <f>'Rev &amp; Exp'!F7</f>
        <v>171250.13498151439</v>
      </c>
      <c r="U33" s="561">
        <f>'Rev &amp; Exp'!G7</f>
        <v>175648.40927559391</v>
      </c>
      <c r="V33" s="561">
        <f>'Rev &amp; Exp'!H7</f>
        <v>182419.52371871952</v>
      </c>
      <c r="W33" s="561">
        <f>'Rev &amp; Exp'!I7</f>
        <v>190703.75422590965</v>
      </c>
      <c r="X33" s="405"/>
      <c r="Y33" s="405"/>
      <c r="Z33" s="405"/>
      <c r="AA33" s="405"/>
    </row>
    <row r="34" spans="2:27" ht="13.2" customHeight="1">
      <c r="B34" s="585"/>
      <c r="C34" s="585"/>
      <c r="D34" s="585"/>
      <c r="E34" s="585"/>
      <c r="F34" s="585"/>
      <c r="G34" s="585"/>
      <c r="H34" s="584"/>
      <c r="I34" s="588"/>
      <c r="J34" s="588"/>
      <c r="K34" s="588"/>
      <c r="L34" s="588"/>
      <c r="M34" s="588"/>
      <c r="N34" s="588"/>
      <c r="O34" s="584"/>
      <c r="P34" s="554" t="s">
        <v>234</v>
      </c>
      <c r="Q34" s="1"/>
      <c r="R34" s="584"/>
      <c r="S34" s="562">
        <f>'Rev &amp; Exp'!E11</f>
        <v>-109548.66091494203</v>
      </c>
      <c r="T34" s="562">
        <f>'Rev &amp; Exp'!F11</f>
        <v>-109504.84145057604</v>
      </c>
      <c r="U34" s="562">
        <f>'Rev &amp; Exp'!G11</f>
        <v>-110070.94497548358</v>
      </c>
      <c r="V34" s="562">
        <f>'Rev &amp; Exp'!H11</f>
        <v>-112027.81540519945</v>
      </c>
      <c r="W34" s="562">
        <f>'Rev &amp; Exp'!I11</f>
        <v>-114773.03552372042</v>
      </c>
      <c r="X34" s="405"/>
      <c r="Y34" s="405"/>
      <c r="Z34" s="405"/>
      <c r="AA34" s="405"/>
    </row>
    <row r="35" spans="2:27" ht="13.2" customHeight="1">
      <c r="B35" s="585"/>
      <c r="C35" s="585"/>
      <c r="D35" s="585"/>
      <c r="E35" s="585"/>
      <c r="F35" s="585"/>
      <c r="G35" s="585"/>
      <c r="H35" s="584"/>
      <c r="I35" s="588"/>
      <c r="J35" s="588"/>
      <c r="K35" s="588"/>
      <c r="L35" s="588"/>
      <c r="M35" s="588"/>
      <c r="N35" s="588"/>
      <c r="O35" s="584"/>
      <c r="P35" s="554" t="s">
        <v>235</v>
      </c>
      <c r="Q35" s="1"/>
      <c r="R35" s="584"/>
      <c r="S35" s="562">
        <f>'Rev &amp; Exp'!E14</f>
        <v>-30257.955601712354</v>
      </c>
      <c r="T35" s="562">
        <f>'Rev &amp; Exp'!F14</f>
        <v>-30863.1147137466</v>
      </c>
      <c r="U35" s="562">
        <f>'Rev &amp; Exp'!G14</f>
        <v>-31655.78237555809</v>
      </c>
      <c r="V35" s="562">
        <f>'Rev &amp; Exp'!H14</f>
        <v>-32876.089044634005</v>
      </c>
      <c r="W35" s="562">
        <f>'Rev &amp; Exp'!I14</f>
        <v>-34369.093161016906</v>
      </c>
      <c r="X35" s="405"/>
      <c r="Y35" s="405"/>
      <c r="Z35" s="405"/>
      <c r="AA35" s="405"/>
    </row>
    <row r="36" spans="2:27" ht="13.2" customHeight="1">
      <c r="B36" s="585"/>
      <c r="C36" s="585"/>
      <c r="D36" s="585"/>
      <c r="E36" s="585"/>
      <c r="F36" s="585"/>
      <c r="G36" s="585"/>
      <c r="H36" s="584"/>
      <c r="I36" s="588"/>
      <c r="J36" s="588"/>
      <c r="K36" s="588"/>
      <c r="L36" s="588"/>
      <c r="M36" s="588"/>
      <c r="N36" s="588"/>
      <c r="O36" s="584"/>
      <c r="P36" s="554" t="s">
        <v>236</v>
      </c>
      <c r="Q36" s="1"/>
      <c r="R36" s="584"/>
      <c r="S36" s="562">
        <f>'Rev &amp; Exp'!E20</f>
        <v>-2231.3505591912549</v>
      </c>
      <c r="T36" s="562">
        <f>'Rev &amp; Exp'!F20</f>
        <v>-2275.9775703750802</v>
      </c>
      <c r="U36" s="562">
        <f>'Rev &amp; Exp'!G20</f>
        <v>-2334.4322608940852</v>
      </c>
      <c r="V36" s="562">
        <f>'Rev &amp; Exp'!H20</f>
        <v>-2424.4228737520557</v>
      </c>
      <c r="W36" s="562">
        <f>'Rev &amp; Exp'!I20</f>
        <v>-2534.5233581938169</v>
      </c>
      <c r="X36" s="407"/>
      <c r="Y36" s="407"/>
      <c r="Z36" s="407"/>
      <c r="AA36" s="407"/>
    </row>
    <row r="37" spans="2:27" ht="13.2" customHeight="1">
      <c r="B37" s="585"/>
      <c r="C37" s="585"/>
      <c r="D37" s="585"/>
      <c r="E37" s="585"/>
      <c r="F37" s="585"/>
      <c r="G37" s="585"/>
      <c r="H37" s="584"/>
      <c r="I37" s="588"/>
      <c r="J37" s="588"/>
      <c r="K37" s="588"/>
      <c r="L37" s="588"/>
      <c r="M37" s="588"/>
      <c r="N37" s="588"/>
      <c r="O37" s="584"/>
      <c r="P37" s="554" t="s">
        <v>237</v>
      </c>
      <c r="Q37" s="1"/>
      <c r="R37" s="584"/>
      <c r="S37" s="562">
        <f>'Rev &amp; Exp'!E23</f>
        <v>-3193.3573568803149</v>
      </c>
      <c r="T37" s="562">
        <f>'Rev &amp; Exp'!F23</f>
        <v>-3257.2245040179209</v>
      </c>
      <c r="U37" s="562">
        <f>'Rev &amp; Exp'!G23</f>
        <v>-3340.8808865814403</v>
      </c>
      <c r="V37" s="562">
        <f>'Rev &amp; Exp'!H23</f>
        <v>-3469.6693391338376</v>
      </c>
      <c r="W37" s="562">
        <f>'Rev &amp; Exp'!I23</f>
        <v>-3627.2376739434148</v>
      </c>
      <c r="X37" s="401"/>
      <c r="Y37" s="401"/>
      <c r="Z37" s="401"/>
      <c r="AA37" s="401"/>
    </row>
    <row r="38" spans="2:27" ht="13.2" customHeight="1">
      <c r="B38" s="585"/>
      <c r="C38" s="585"/>
      <c r="D38" s="585"/>
      <c r="E38" s="585"/>
      <c r="F38" s="585"/>
      <c r="G38" s="585"/>
      <c r="H38" s="584"/>
      <c r="I38" s="588"/>
      <c r="J38" s="588"/>
      <c r="K38" s="588"/>
      <c r="L38" s="588"/>
      <c r="M38" s="588"/>
      <c r="N38" s="588"/>
      <c r="O38" s="584"/>
      <c r="P38" s="554" t="s">
        <v>238</v>
      </c>
      <c r="S38" s="564">
        <f>'Rev &amp; Exp'!E26</f>
        <v>-5437.7671421745927</v>
      </c>
      <c r="T38" s="564">
        <f>'Rev &amp; Exp'!F26</f>
        <v>-6082.7874828006825</v>
      </c>
      <c r="U38" s="564">
        <f>'Rev &amp; Exp'!G26</f>
        <v>-6778.0510501507606</v>
      </c>
      <c r="V38" s="564">
        <f>'Rev &amp; Exp'!H26</f>
        <v>-7587.960291845855</v>
      </c>
      <c r="W38" s="564">
        <f>'Rev &amp; Exp'!I26</f>
        <v>-8494.6171560779367</v>
      </c>
      <c r="X38" s="405"/>
      <c r="Y38" s="405"/>
      <c r="Z38" s="405"/>
      <c r="AA38" s="405"/>
    </row>
    <row r="39" spans="2:27" ht="13.2" customHeight="1">
      <c r="B39" s="585"/>
      <c r="C39" s="585"/>
      <c r="D39" s="585"/>
      <c r="E39" s="585"/>
      <c r="F39" s="585"/>
      <c r="G39" s="585"/>
      <c r="H39" s="584"/>
      <c r="I39" s="588"/>
      <c r="J39" s="588"/>
      <c r="K39" s="588"/>
      <c r="L39" s="588"/>
      <c r="M39" s="588"/>
      <c r="N39" s="588"/>
      <c r="O39" s="584"/>
      <c r="P39" s="554" t="s">
        <v>228</v>
      </c>
      <c r="Q39" s="1"/>
      <c r="R39" s="584"/>
      <c r="S39" s="563">
        <f>SUM(S33:S38)</f>
        <v>17223.197622662592</v>
      </c>
      <c r="T39" s="563">
        <f t="shared" ref="T39:W39" si="1">SUM(T33:T38)</f>
        <v>19266.18925999806</v>
      </c>
      <c r="U39" s="563">
        <f t="shared" si="1"/>
        <v>21468.31772692595</v>
      </c>
      <c r="V39" s="563">
        <f t="shared" si="1"/>
        <v>24033.566764154315</v>
      </c>
      <c r="W39" s="563">
        <f t="shared" si="1"/>
        <v>26905.247352957154</v>
      </c>
      <c r="X39" s="405"/>
      <c r="Y39" s="405"/>
      <c r="Z39" s="405"/>
      <c r="AA39" s="405"/>
    </row>
    <row r="40" spans="2:27" ht="13.2" customHeight="1">
      <c r="B40" s="585"/>
      <c r="C40" s="585"/>
      <c r="D40" s="585"/>
      <c r="E40" s="585"/>
      <c r="F40" s="585"/>
      <c r="G40" s="585"/>
      <c r="H40" s="584"/>
      <c r="I40" s="588"/>
      <c r="J40" s="588"/>
      <c r="K40" s="588"/>
      <c r="L40" s="588"/>
      <c r="M40" s="588"/>
      <c r="N40" s="588"/>
      <c r="O40" s="584"/>
      <c r="P40" s="556"/>
      <c r="Q40" s="556"/>
      <c r="R40" s="584"/>
      <c r="S40" s="599"/>
      <c r="T40" s="599"/>
      <c r="U40" s="599"/>
      <c r="V40" s="599"/>
      <c r="W40" s="599"/>
      <c r="X40" s="405"/>
      <c r="Y40" s="405"/>
      <c r="Z40" s="405"/>
      <c r="AA40" s="405"/>
    </row>
    <row r="41" spans="2:27" ht="13.2" customHeight="1">
      <c r="B41" s="585"/>
      <c r="C41" s="585"/>
      <c r="D41" s="585"/>
      <c r="E41" s="585"/>
      <c r="F41" s="585"/>
      <c r="G41" s="585"/>
      <c r="H41" s="556"/>
      <c r="I41" s="588"/>
      <c r="J41" s="588"/>
      <c r="K41" s="588"/>
      <c r="L41" s="588"/>
      <c r="M41" s="588"/>
      <c r="N41" s="588"/>
      <c r="O41" s="584"/>
      <c r="P41" s="554" t="s">
        <v>58</v>
      </c>
      <c r="Q41" s="1"/>
      <c r="R41" s="584"/>
      <c r="S41" s="561">
        <v>22142</v>
      </c>
      <c r="T41" s="561">
        <v>33180</v>
      </c>
      <c r="U41" s="561">
        <v>43194</v>
      </c>
      <c r="V41" s="561">
        <v>57358</v>
      </c>
      <c r="W41" s="561">
        <v>52050.653549403178</v>
      </c>
      <c r="X41" s="401"/>
      <c r="Y41" s="401"/>
      <c r="Z41" s="401"/>
      <c r="AA41" s="401"/>
    </row>
    <row r="42" spans="2:27" ht="13.2" customHeight="1">
      <c r="B42" s="585"/>
      <c r="C42" s="585"/>
      <c r="D42" s="585"/>
      <c r="E42" s="585"/>
      <c r="F42" s="585"/>
      <c r="G42" s="585"/>
      <c r="H42" s="584"/>
      <c r="I42" s="588"/>
      <c r="J42" s="588"/>
      <c r="K42" s="588"/>
      <c r="L42" s="588"/>
      <c r="M42" s="588"/>
      <c r="N42" s="588"/>
      <c r="O42" s="584"/>
      <c r="P42" s="554" t="s">
        <v>227</v>
      </c>
      <c r="Q42" s="1"/>
      <c r="R42" s="584"/>
      <c r="S42" s="561">
        <v>13876</v>
      </c>
      <c r="T42" s="561">
        <v>17748.438000000002</v>
      </c>
      <c r="U42" s="561">
        <v>24095.797999999995</v>
      </c>
      <c r="V42" s="561">
        <v>25214.521999999997</v>
      </c>
      <c r="W42" s="561">
        <v>20613.91861976662</v>
      </c>
      <c r="X42" s="403"/>
      <c r="Y42" s="403"/>
      <c r="Z42" s="403"/>
      <c r="AA42" s="598"/>
    </row>
    <row r="43" spans="2:27" ht="13.2" customHeight="1">
      <c r="B43" s="585"/>
      <c r="C43" s="585"/>
      <c r="D43" s="585"/>
      <c r="E43" s="585"/>
      <c r="F43" s="585"/>
      <c r="G43" s="585"/>
      <c r="H43" s="584"/>
      <c r="I43" s="588"/>
      <c r="J43" s="588"/>
      <c r="K43" s="588"/>
      <c r="L43" s="588"/>
      <c r="M43" s="588"/>
      <c r="N43" s="588"/>
      <c r="O43" s="584"/>
      <c r="P43" s="554"/>
      <c r="Q43" s="1"/>
      <c r="R43" s="584"/>
      <c r="S43" s="555"/>
      <c r="T43" s="555"/>
      <c r="U43" s="555"/>
      <c r="V43" s="555"/>
      <c r="W43" s="555"/>
    </row>
    <row r="44" spans="2:27" ht="13.2" customHeight="1">
      <c r="B44" s="577"/>
      <c r="C44" s="577"/>
      <c r="D44" s="577"/>
      <c r="E44" s="577"/>
      <c r="F44" s="577"/>
      <c r="G44" s="577"/>
      <c r="H44" s="584"/>
      <c r="I44" s="588"/>
      <c r="J44" s="588"/>
      <c r="K44" s="588"/>
      <c r="L44" s="588"/>
      <c r="M44" s="588"/>
      <c r="N44" s="588"/>
      <c r="O44" s="584"/>
      <c r="P44" s="556"/>
      <c r="Q44" s="556"/>
      <c r="R44" s="584"/>
      <c r="S44" s="556"/>
      <c r="T44" s="556"/>
      <c r="U44" s="556"/>
    </row>
    <row r="45" spans="2:27" ht="13.2" customHeight="1">
      <c r="B45" s="588"/>
      <c r="C45" s="588"/>
      <c r="D45" s="588"/>
      <c r="E45" s="588"/>
      <c r="F45" s="588"/>
      <c r="G45" s="588"/>
      <c r="H45" s="600"/>
      <c r="I45" s="601"/>
      <c r="J45" s="601"/>
      <c r="K45" s="601"/>
      <c r="L45" s="601"/>
      <c r="M45" s="601"/>
      <c r="N45" s="601"/>
      <c r="O45" s="584"/>
      <c r="P45" s="573"/>
      <c r="Q45" s="573"/>
      <c r="R45" s="556"/>
      <c r="S45" s="556"/>
      <c r="T45" s="1"/>
      <c r="U45" s="1"/>
      <c r="V45" s="1"/>
      <c r="W45" s="602" t="s">
        <v>239</v>
      </c>
      <c r="X45" s="403"/>
      <c r="Y45" s="403"/>
      <c r="Z45" s="403"/>
      <c r="AA45" s="598"/>
    </row>
    <row r="46" spans="2:27" ht="13.2" customHeight="1">
      <c r="B46" s="588"/>
      <c r="C46" s="588"/>
      <c r="D46" s="588"/>
      <c r="E46" s="588"/>
      <c r="F46" s="588"/>
      <c r="G46" s="588"/>
      <c r="H46" s="557"/>
      <c r="I46" s="544"/>
      <c r="J46" s="544"/>
      <c r="K46" s="544"/>
      <c r="L46" s="544"/>
      <c r="M46" s="544"/>
      <c r="N46" s="544"/>
      <c r="O46" s="584"/>
      <c r="P46" s="573"/>
      <c r="Q46" s="573"/>
      <c r="R46" s="1"/>
      <c r="S46" s="1"/>
      <c r="T46" s="1"/>
      <c r="U46" s="1"/>
      <c r="V46" s="1"/>
      <c r="W46" s="603" t="s">
        <v>229</v>
      </c>
      <c r="X46" s="403"/>
      <c r="Y46" s="403"/>
      <c r="Z46" s="403"/>
      <c r="AA46" s="598"/>
    </row>
    <row r="47" spans="2:27" ht="13.2" customHeight="1">
      <c r="B47" s="588"/>
      <c r="C47" s="588"/>
      <c r="D47" s="588"/>
      <c r="E47" s="588"/>
      <c r="F47" s="588"/>
      <c r="G47" s="588"/>
      <c r="H47" s="557"/>
      <c r="I47" s="544"/>
      <c r="J47" s="544"/>
      <c r="K47" s="544"/>
      <c r="L47" s="544"/>
      <c r="M47" s="544"/>
      <c r="N47" s="544"/>
      <c r="O47" s="584"/>
      <c r="P47" s="573"/>
      <c r="Q47" s="573"/>
      <c r="R47" s="584"/>
      <c r="S47" s="1"/>
      <c r="T47" s="573"/>
      <c r="U47" s="1"/>
      <c r="V47" s="1"/>
      <c r="W47" s="1"/>
      <c r="X47" s="403"/>
      <c r="Y47" s="403"/>
      <c r="Z47" s="403"/>
      <c r="AA47" s="598"/>
    </row>
    <row r="48" spans="2:27" ht="13.2" customHeight="1">
      <c r="B48" s="604"/>
      <c r="C48" s="604"/>
      <c r="D48" s="604"/>
      <c r="E48" s="604"/>
      <c r="F48" s="604"/>
      <c r="G48" s="604"/>
      <c r="H48" s="557"/>
      <c r="I48" s="558"/>
      <c r="J48" s="558"/>
      <c r="K48" s="558"/>
      <c r="L48" s="558"/>
      <c r="M48" s="558"/>
      <c r="N48" s="558"/>
      <c r="O48" s="598"/>
      <c r="P48" s="573"/>
      <c r="Q48" s="573"/>
      <c r="R48" s="584"/>
      <c r="S48" s="1"/>
      <c r="T48" s="573"/>
      <c r="U48" s="1"/>
      <c r="V48" s="1"/>
      <c r="W48" s="1"/>
      <c r="X48" s="401"/>
      <c r="Y48" s="401"/>
      <c r="Z48" s="401"/>
      <c r="AA48" s="598"/>
    </row>
    <row r="49" spans="2:27" ht="13.2" customHeight="1">
      <c r="B49" s="557"/>
      <c r="C49" s="557"/>
      <c r="D49" s="557"/>
      <c r="E49" s="557"/>
      <c r="F49" s="557"/>
      <c r="G49" s="557"/>
      <c r="H49" s="557"/>
      <c r="O49" s="598"/>
      <c r="P49" s="605"/>
      <c r="Q49" s="605"/>
      <c r="R49" s="598"/>
      <c r="S49" s="403"/>
      <c r="T49" s="605"/>
      <c r="U49" s="403"/>
      <c r="V49" s="403"/>
      <c r="W49" s="403"/>
      <c r="X49" s="401"/>
      <c r="Y49" s="401"/>
      <c r="Z49" s="401"/>
      <c r="AA49" s="401"/>
    </row>
    <row r="50" spans="2:27" ht="13.2" customHeight="1" thickBot="1">
      <c r="B50" s="586"/>
      <c r="C50" s="586"/>
      <c r="D50" s="586"/>
      <c r="E50" s="586"/>
      <c r="F50" s="586"/>
      <c r="G50" s="586"/>
      <c r="H50" s="586"/>
      <c r="I50" s="586"/>
      <c r="J50" s="586"/>
      <c r="K50" s="586"/>
      <c r="L50" s="586"/>
      <c r="M50" s="586"/>
      <c r="N50" s="586"/>
      <c r="O50" s="606"/>
      <c r="P50" s="607"/>
      <c r="Q50" s="607"/>
      <c r="R50" s="606"/>
      <c r="S50" s="608"/>
      <c r="T50" s="607"/>
      <c r="U50" s="608"/>
      <c r="V50" s="608"/>
      <c r="W50" s="608"/>
      <c r="X50" s="598"/>
      <c r="Y50" s="598"/>
      <c r="Z50" s="598"/>
      <c r="AA50" s="598"/>
    </row>
    <row r="51" spans="2:27" ht="13.2" customHeight="1">
      <c r="O51" s="598"/>
      <c r="P51" s="609"/>
      <c r="Q51" s="609"/>
      <c r="R51" s="609"/>
      <c r="S51" s="609"/>
      <c r="T51" s="609"/>
      <c r="U51" s="609"/>
      <c r="V51" s="609"/>
      <c r="W51" s="609"/>
      <c r="X51" s="598"/>
      <c r="Y51" s="598"/>
      <c r="Z51" s="598"/>
      <c r="AA51" s="598"/>
    </row>
    <row r="52" spans="2:27" ht="13.2" customHeight="1">
      <c r="O52" s="598"/>
      <c r="P52" s="401"/>
      <c r="Q52" s="401"/>
      <c r="R52" s="401"/>
      <c r="S52" s="401"/>
      <c r="T52" s="401"/>
      <c r="U52" s="401"/>
      <c r="V52" s="401"/>
      <c r="W52" s="401"/>
      <c r="X52" s="598"/>
      <c r="Y52" s="598"/>
      <c r="Z52" s="598"/>
      <c r="AA52" s="598"/>
    </row>
    <row r="53" spans="2:27" ht="13.2" customHeight="1">
      <c r="O53" s="598"/>
      <c r="P53" s="598"/>
      <c r="Q53" s="598"/>
      <c r="R53" s="598"/>
      <c r="S53" s="598"/>
      <c r="T53" s="598"/>
      <c r="U53" s="598"/>
      <c r="V53" s="598"/>
      <c r="W53" s="598"/>
      <c r="X53" s="598"/>
      <c r="Y53" s="598"/>
      <c r="Z53" s="598"/>
      <c r="AA53" s="598"/>
    </row>
    <row r="54" spans="2:27" ht="13.2" customHeight="1">
      <c r="O54" s="598"/>
      <c r="P54" s="598"/>
      <c r="Q54" s="598"/>
      <c r="R54" s="598"/>
      <c r="S54" s="598"/>
      <c r="T54" s="598"/>
      <c r="U54" s="598"/>
      <c r="V54" s="598"/>
      <c r="W54" s="598"/>
      <c r="X54" s="598"/>
      <c r="Y54" s="598"/>
      <c r="Z54" s="598"/>
      <c r="AA54" s="598"/>
    </row>
    <row r="55" spans="2:27" ht="13.2" customHeight="1">
      <c r="O55" s="598"/>
      <c r="P55" s="598"/>
      <c r="Q55" s="598"/>
      <c r="R55" s="598"/>
      <c r="S55" s="598"/>
      <c r="T55" s="598"/>
      <c r="U55" s="598"/>
      <c r="V55" s="598"/>
      <c r="W55" s="598"/>
      <c r="X55" s="598"/>
      <c r="Y55" s="598"/>
      <c r="Z55" s="598"/>
      <c r="AA55" s="598"/>
    </row>
    <row r="56" spans="2:27" ht="13.2" customHeight="1">
      <c r="O56" s="604"/>
      <c r="P56" s="598"/>
      <c r="Q56" s="598"/>
      <c r="R56" s="598"/>
      <c r="S56" s="598"/>
      <c r="T56" s="598"/>
      <c r="U56" s="598"/>
      <c r="V56" s="598"/>
      <c r="W56" s="598"/>
      <c r="X56" s="598"/>
      <c r="Y56" s="598"/>
      <c r="Z56" s="598"/>
      <c r="AA56" s="598"/>
    </row>
    <row r="57" spans="2:27" ht="13.2" customHeight="1">
      <c r="O57" s="604"/>
      <c r="P57" s="604"/>
      <c r="Q57" s="604"/>
      <c r="R57" s="604"/>
      <c r="S57" s="604"/>
      <c r="T57" s="604"/>
      <c r="U57" s="604"/>
      <c r="V57" s="604"/>
      <c r="W57" s="604"/>
      <c r="X57" s="598"/>
      <c r="Y57" s="598"/>
      <c r="Z57" s="598"/>
      <c r="AA57" s="598"/>
    </row>
    <row r="58" spans="2:27" ht="13.2" customHeight="1">
      <c r="O58" s="604"/>
      <c r="P58" s="604"/>
      <c r="Q58" s="604"/>
      <c r="R58" s="604"/>
      <c r="S58" s="604"/>
      <c r="T58" s="604"/>
      <c r="U58" s="604"/>
      <c r="V58" s="604"/>
      <c r="W58" s="604"/>
      <c r="X58" s="401"/>
      <c r="Y58" s="401"/>
      <c r="Z58" s="401"/>
      <c r="AA58" s="401"/>
    </row>
    <row r="59" spans="2:27" ht="13.2" customHeight="1">
      <c r="O59" s="557"/>
      <c r="P59" s="604"/>
      <c r="Q59" s="604"/>
      <c r="R59" s="604"/>
      <c r="S59" s="604"/>
      <c r="T59" s="604"/>
      <c r="U59" s="604"/>
      <c r="V59" s="604"/>
      <c r="W59" s="604"/>
    </row>
    <row r="60" spans="2:27" ht="13.2" customHeight="1">
      <c r="O60" s="557"/>
      <c r="P60" s="604"/>
      <c r="Q60" s="604"/>
      <c r="R60" s="604"/>
      <c r="S60" s="604"/>
      <c r="T60" s="604"/>
      <c r="U60" s="604"/>
      <c r="V60" s="604"/>
      <c r="W60" s="604"/>
    </row>
    <row r="61" spans="2:27" ht="13.2" customHeight="1">
      <c r="P61" s="609"/>
      <c r="Q61" s="609"/>
      <c r="R61" s="609"/>
      <c r="S61" s="609"/>
      <c r="T61" s="609"/>
      <c r="U61" s="609"/>
      <c r="V61" s="609"/>
      <c r="W61" s="609"/>
    </row>
  </sheetData>
  <mergeCells count="1">
    <mergeCell ref="R5:S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A8436"/>
    <outlinePr summaryBelow="0" summaryRight="0"/>
  </sheetPr>
  <dimension ref="A1:N992"/>
  <sheetViews>
    <sheetView showGridLines="0" zoomScale="80" zoomScaleNormal="80" workbookViewId="0">
      <selection activeCell="H20" sqref="H20"/>
    </sheetView>
  </sheetViews>
  <sheetFormatPr defaultColWidth="14.44140625" defaultRowHeight="15.75" customHeight="1"/>
  <cols>
    <col min="1" max="1" width="8.77734375" style="101" customWidth="1"/>
    <col min="2" max="2" width="27" style="101" customWidth="1"/>
    <col min="3" max="3" width="12.109375" style="101" customWidth="1"/>
    <col min="4" max="4" width="6.44140625" style="101" customWidth="1"/>
    <col min="5" max="5" width="20.109375" style="101" customWidth="1"/>
    <col min="6" max="6" width="17.6640625" style="101" customWidth="1"/>
    <col min="7" max="8" width="14.44140625" style="101"/>
    <col min="9" max="9" width="50.109375" style="101" customWidth="1"/>
    <col min="10" max="10" width="14.44140625" style="101"/>
    <col min="11" max="11" width="15.44140625" style="101" customWidth="1"/>
    <col min="12" max="12" width="9.6640625" style="101" customWidth="1"/>
    <col min="13" max="14" width="14.44140625" style="101"/>
    <col min="15" max="15" width="15.77734375" style="101" customWidth="1"/>
    <col min="16" max="16384" width="14.44140625" style="101"/>
  </cols>
  <sheetData>
    <row r="1" spans="1:14" ht="21">
      <c r="A1" s="393"/>
      <c r="C1" s="308"/>
      <c r="E1" s="102"/>
    </row>
    <row r="2" spans="1:14" ht="31.5" customHeight="1" thickBot="1"/>
    <row r="3" spans="1:14" ht="45.6" thickBot="1">
      <c r="B3" s="116" t="s">
        <v>116</v>
      </c>
      <c r="C3" s="104"/>
      <c r="D3" s="117" t="s">
        <v>117</v>
      </c>
      <c r="E3" s="114"/>
      <c r="F3" s="115"/>
      <c r="G3" s="115"/>
      <c r="H3" s="115"/>
      <c r="I3" s="115"/>
      <c r="K3" s="103" t="str">
        <f t="shared" ref="K3:K9" si="0">" "</f>
        <v xml:space="preserve"> </v>
      </c>
    </row>
    <row r="4" spans="1:14" ht="21">
      <c r="A4" s="100"/>
      <c r="B4" s="118" t="s">
        <v>113</v>
      </c>
      <c r="C4" s="104"/>
      <c r="D4" s="104" t="s">
        <v>1</v>
      </c>
      <c r="E4" s="102"/>
      <c r="F4" s="111">
        <v>379.16</v>
      </c>
      <c r="G4" s="104" t="s">
        <v>2</v>
      </c>
      <c r="H4" s="104"/>
      <c r="I4" s="104"/>
      <c r="K4" s="104" t="str">
        <f t="shared" si="0"/>
        <v xml:space="preserve"> </v>
      </c>
    </row>
    <row r="5" spans="1:14" ht="21">
      <c r="B5" s="112"/>
      <c r="C5" s="104"/>
      <c r="D5" s="104" t="s">
        <v>3</v>
      </c>
      <c r="E5" s="102"/>
      <c r="F5" s="399">
        <v>3446490</v>
      </c>
      <c r="G5" s="104"/>
      <c r="H5" s="104"/>
      <c r="I5" s="104"/>
      <c r="K5" s="104" t="str">
        <f t="shared" si="0"/>
        <v xml:space="preserve"> </v>
      </c>
      <c r="M5" s="105" t="str">
        <f t="shared" ref="M5:N5" si="1">" "</f>
        <v xml:space="preserve"> </v>
      </c>
      <c r="N5" s="104" t="str">
        <f t="shared" si="1"/>
        <v xml:space="preserve"> </v>
      </c>
    </row>
    <row r="6" spans="1:14" ht="20.399999999999999">
      <c r="C6" s="104"/>
      <c r="D6" s="104"/>
      <c r="E6" s="102"/>
      <c r="F6" s="104"/>
      <c r="G6" s="104"/>
      <c r="H6" s="104"/>
      <c r="I6" s="104"/>
      <c r="K6" s="104" t="str">
        <f t="shared" si="0"/>
        <v xml:space="preserve"> </v>
      </c>
    </row>
    <row r="7" spans="1:14" ht="21">
      <c r="B7" s="104"/>
      <c r="C7" s="104"/>
      <c r="D7" s="104" t="s">
        <v>4</v>
      </c>
      <c r="E7" s="102"/>
      <c r="F7" s="104" t="s">
        <v>5</v>
      </c>
      <c r="G7" s="104"/>
      <c r="H7" s="104"/>
      <c r="I7" s="104"/>
      <c r="K7" s="106" t="str">
        <f t="shared" si="0"/>
        <v xml:space="preserve"> </v>
      </c>
      <c r="L7" s="104" t="str">
        <f>" "</f>
        <v xml:space="preserve"> </v>
      </c>
    </row>
    <row r="8" spans="1:14" ht="20.399999999999999">
      <c r="B8" s="104"/>
      <c r="C8" s="104"/>
      <c r="D8" s="104" t="s">
        <v>6</v>
      </c>
      <c r="E8" s="102"/>
      <c r="F8" s="104" t="s">
        <v>118</v>
      </c>
      <c r="G8" s="104"/>
      <c r="H8" s="104"/>
      <c r="I8" s="104"/>
      <c r="K8" s="104" t="str">
        <f t="shared" si="0"/>
        <v xml:space="preserve"> </v>
      </c>
    </row>
    <row r="9" spans="1:14" ht="21" thickBot="1">
      <c r="B9" s="275"/>
      <c r="C9" s="275"/>
      <c r="D9" s="275"/>
      <c r="E9" s="276"/>
      <c r="F9" s="275"/>
      <c r="G9" s="275"/>
      <c r="H9" s="275"/>
      <c r="I9" s="275"/>
      <c r="K9" s="104" t="str">
        <f t="shared" si="0"/>
        <v xml:space="preserve"> </v>
      </c>
    </row>
    <row r="10" spans="1:14" ht="21">
      <c r="A10" s="100"/>
    </row>
    <row r="11" spans="1:14" ht="20.399999999999999">
      <c r="B11" s="104" t="s">
        <v>7</v>
      </c>
      <c r="E11" s="102" t="s">
        <v>2</v>
      </c>
    </row>
    <row r="12" spans="1:14" ht="20.399999999999999">
      <c r="B12" s="104" t="s">
        <v>8</v>
      </c>
      <c r="E12" s="108">
        <v>995.51</v>
      </c>
      <c r="F12" s="104" t="s">
        <v>9</v>
      </c>
    </row>
    <row r="13" spans="1:14" ht="20.399999999999999">
      <c r="B13" s="104" t="s">
        <v>10</v>
      </c>
      <c r="E13" s="643">
        <v>0.4</v>
      </c>
      <c r="F13" s="104" t="s">
        <v>11</v>
      </c>
    </row>
    <row r="14" spans="1:14" ht="20.399999999999999">
      <c r="B14" s="104" t="s">
        <v>12</v>
      </c>
      <c r="E14" s="643">
        <v>0.6</v>
      </c>
      <c r="F14" s="104" t="s">
        <v>11</v>
      </c>
    </row>
    <row r="15" spans="1:14" ht="20.399999999999999">
      <c r="E15" s="102"/>
      <c r="F15" s="102"/>
      <c r="I15" s="277"/>
      <c r="J15" s="113"/>
    </row>
    <row r="16" spans="1:14" ht="20.399999999999999">
      <c r="E16" s="109" t="s">
        <v>13</v>
      </c>
      <c r="F16" s="109" t="s">
        <v>14</v>
      </c>
    </row>
    <row r="17" spans="2:6" ht="20.399999999999999">
      <c r="B17" s="104" t="s">
        <v>15</v>
      </c>
      <c r="E17" s="644">
        <v>0.01</v>
      </c>
      <c r="F17" s="645">
        <v>0.03</v>
      </c>
    </row>
    <row r="19" spans="2:6" ht="20.399999999999999">
      <c r="E19" s="102"/>
    </row>
    <row r="20" spans="2:6" ht="20.399999999999999">
      <c r="E20" s="102"/>
    </row>
    <row r="21" spans="2:6" ht="20.399999999999999">
      <c r="E21" s="102"/>
    </row>
    <row r="22" spans="2:6" ht="20.399999999999999">
      <c r="E22" s="102"/>
    </row>
    <row r="23" spans="2:6" ht="20.399999999999999">
      <c r="E23" s="102"/>
    </row>
    <row r="24" spans="2:6" ht="20.399999999999999">
      <c r="E24" s="102"/>
    </row>
    <row r="25" spans="2:6" ht="20.399999999999999">
      <c r="E25" s="102"/>
    </row>
    <row r="26" spans="2:6" ht="20.399999999999999">
      <c r="E26" s="102"/>
    </row>
    <row r="27" spans="2:6" ht="20.399999999999999">
      <c r="E27" s="102"/>
    </row>
    <row r="28" spans="2:6" ht="20.399999999999999">
      <c r="E28" s="102"/>
    </row>
    <row r="29" spans="2:6" ht="20.399999999999999">
      <c r="E29" s="102"/>
    </row>
    <row r="30" spans="2:6" ht="20.399999999999999">
      <c r="E30" s="102"/>
    </row>
    <row r="31" spans="2:6" ht="20.399999999999999">
      <c r="E31" s="102"/>
    </row>
    <row r="32" spans="2:6" ht="20.399999999999999">
      <c r="E32" s="102"/>
    </row>
    <row r="33" spans="2:7" ht="20.399999999999999">
      <c r="E33" s="102"/>
    </row>
    <row r="34" spans="2:7" ht="20.399999999999999">
      <c r="E34" s="102"/>
    </row>
    <row r="35" spans="2:7" ht="20.399999999999999">
      <c r="E35" s="102"/>
    </row>
    <row r="36" spans="2:7" ht="20.399999999999999">
      <c r="E36" s="102"/>
    </row>
    <row r="37" spans="2:7" ht="20.399999999999999">
      <c r="E37" s="102"/>
    </row>
    <row r="38" spans="2:7" ht="20.399999999999999">
      <c r="E38" s="102"/>
    </row>
    <row r="39" spans="2:7" ht="20.399999999999999">
      <c r="E39" s="102"/>
    </row>
    <row r="40" spans="2:7" ht="20.399999999999999">
      <c r="E40" s="102"/>
    </row>
    <row r="41" spans="2:7" ht="20.399999999999999">
      <c r="E41" s="102"/>
    </row>
    <row r="42" spans="2:7" ht="20.399999999999999">
      <c r="E42" s="102"/>
    </row>
    <row r="43" spans="2:7" ht="20.399999999999999">
      <c r="E43" s="102"/>
    </row>
    <row r="44" spans="2:7" ht="21">
      <c r="B44" s="110"/>
      <c r="E44" s="102"/>
      <c r="F44" s="107"/>
      <c r="G44" s="107"/>
    </row>
    <row r="45" spans="2:7" ht="20.399999999999999">
      <c r="E45" s="102"/>
    </row>
    <row r="46" spans="2:7" ht="20.399999999999999">
      <c r="E46" s="102"/>
    </row>
    <row r="47" spans="2:7" ht="20.399999999999999">
      <c r="E47" s="102"/>
    </row>
    <row r="48" spans="2:7" ht="20.399999999999999">
      <c r="E48" s="102"/>
    </row>
    <row r="49" spans="5:5" ht="20.399999999999999">
      <c r="E49" s="102"/>
    </row>
    <row r="50" spans="5:5" ht="20.399999999999999">
      <c r="E50" s="102"/>
    </row>
    <row r="51" spans="5:5" ht="20.399999999999999">
      <c r="E51" s="102"/>
    </row>
    <row r="52" spans="5:5" ht="20.399999999999999">
      <c r="E52" s="102"/>
    </row>
    <row r="53" spans="5:5" ht="20.399999999999999">
      <c r="E53" s="102"/>
    </row>
    <row r="54" spans="5:5" ht="20.399999999999999">
      <c r="E54" s="102"/>
    </row>
    <row r="55" spans="5:5" ht="20.399999999999999">
      <c r="E55" s="102"/>
    </row>
    <row r="56" spans="5:5" ht="20.399999999999999">
      <c r="E56" s="102"/>
    </row>
    <row r="57" spans="5:5" ht="20.399999999999999">
      <c r="E57" s="102"/>
    </row>
    <row r="58" spans="5:5" ht="20.399999999999999">
      <c r="E58" s="102"/>
    </row>
    <row r="59" spans="5:5" ht="20.399999999999999">
      <c r="E59" s="102"/>
    </row>
    <row r="60" spans="5:5" ht="20.399999999999999">
      <c r="E60" s="102"/>
    </row>
    <row r="61" spans="5:5" ht="20.399999999999999">
      <c r="E61" s="102"/>
    </row>
    <row r="62" spans="5:5" ht="20.399999999999999">
      <c r="E62" s="102"/>
    </row>
    <row r="63" spans="5:5" ht="20.399999999999999">
      <c r="E63" s="102"/>
    </row>
    <row r="64" spans="5:5" ht="20.399999999999999">
      <c r="E64" s="102"/>
    </row>
    <row r="65" spans="5:5" ht="20.399999999999999">
      <c r="E65" s="102"/>
    </row>
    <row r="66" spans="5:5" ht="20.399999999999999">
      <c r="E66" s="102"/>
    </row>
    <row r="67" spans="5:5" ht="20.399999999999999">
      <c r="E67" s="102"/>
    </row>
    <row r="68" spans="5:5" ht="20.399999999999999">
      <c r="E68" s="102"/>
    </row>
    <row r="69" spans="5:5" ht="20.399999999999999">
      <c r="E69" s="102"/>
    </row>
    <row r="70" spans="5:5" ht="20.399999999999999">
      <c r="E70" s="102"/>
    </row>
    <row r="71" spans="5:5" ht="20.399999999999999">
      <c r="E71" s="102"/>
    </row>
    <row r="72" spans="5:5" ht="20.399999999999999">
      <c r="E72" s="102"/>
    </row>
    <row r="73" spans="5:5" ht="20.399999999999999">
      <c r="E73" s="102"/>
    </row>
    <row r="74" spans="5:5" ht="20.399999999999999">
      <c r="E74" s="102"/>
    </row>
    <row r="75" spans="5:5" ht="20.399999999999999">
      <c r="E75" s="102"/>
    </row>
    <row r="76" spans="5:5" ht="20.399999999999999">
      <c r="E76" s="102"/>
    </row>
    <row r="77" spans="5:5" ht="20.399999999999999">
      <c r="E77" s="102"/>
    </row>
    <row r="78" spans="5:5" ht="20.399999999999999">
      <c r="E78" s="102"/>
    </row>
    <row r="79" spans="5:5" ht="20.399999999999999">
      <c r="E79" s="102"/>
    </row>
    <row r="80" spans="5:5" ht="20.399999999999999">
      <c r="E80" s="102"/>
    </row>
    <row r="81" spans="5:5" ht="20.399999999999999">
      <c r="E81" s="102"/>
    </row>
    <row r="82" spans="5:5" ht="20.399999999999999">
      <c r="E82" s="102"/>
    </row>
    <row r="83" spans="5:5" ht="20.399999999999999">
      <c r="E83" s="102"/>
    </row>
    <row r="84" spans="5:5" ht="20.399999999999999">
      <c r="E84" s="102"/>
    </row>
    <row r="85" spans="5:5" ht="20.399999999999999">
      <c r="E85" s="102"/>
    </row>
    <row r="86" spans="5:5" ht="20.399999999999999">
      <c r="E86" s="102"/>
    </row>
    <row r="87" spans="5:5" ht="20.399999999999999">
      <c r="E87" s="102"/>
    </row>
    <row r="88" spans="5:5" ht="20.399999999999999">
      <c r="E88" s="102"/>
    </row>
    <row r="89" spans="5:5" ht="20.399999999999999">
      <c r="E89" s="102"/>
    </row>
    <row r="90" spans="5:5" ht="20.399999999999999">
      <c r="E90" s="102"/>
    </row>
    <row r="91" spans="5:5" ht="20.399999999999999">
      <c r="E91" s="102"/>
    </row>
    <row r="92" spans="5:5" ht="20.399999999999999">
      <c r="E92" s="102"/>
    </row>
    <row r="93" spans="5:5" ht="20.399999999999999">
      <c r="E93" s="102"/>
    </row>
    <row r="94" spans="5:5" ht="20.399999999999999">
      <c r="E94" s="102"/>
    </row>
    <row r="95" spans="5:5" ht="20.399999999999999">
      <c r="E95" s="102"/>
    </row>
    <row r="96" spans="5:5" ht="20.399999999999999">
      <c r="E96" s="102"/>
    </row>
    <row r="97" spans="5:5" ht="20.399999999999999">
      <c r="E97" s="102"/>
    </row>
    <row r="98" spans="5:5" ht="20.399999999999999">
      <c r="E98" s="102"/>
    </row>
    <row r="99" spans="5:5" ht="20.399999999999999">
      <c r="E99" s="102"/>
    </row>
    <row r="100" spans="5:5" ht="20.399999999999999">
      <c r="E100" s="102"/>
    </row>
    <row r="101" spans="5:5" ht="20.399999999999999">
      <c r="E101" s="102"/>
    </row>
    <row r="102" spans="5:5" ht="20.399999999999999">
      <c r="E102" s="102"/>
    </row>
    <row r="103" spans="5:5" ht="20.399999999999999">
      <c r="E103" s="102"/>
    </row>
    <row r="104" spans="5:5" ht="20.399999999999999">
      <c r="E104" s="102"/>
    </row>
    <row r="105" spans="5:5" ht="20.399999999999999">
      <c r="E105" s="102"/>
    </row>
    <row r="106" spans="5:5" ht="20.399999999999999">
      <c r="E106" s="102"/>
    </row>
    <row r="107" spans="5:5" ht="20.399999999999999">
      <c r="E107" s="102"/>
    </row>
    <row r="108" spans="5:5" ht="20.399999999999999">
      <c r="E108" s="102"/>
    </row>
    <row r="109" spans="5:5" ht="20.399999999999999">
      <c r="E109" s="102"/>
    </row>
    <row r="110" spans="5:5" ht="20.399999999999999">
      <c r="E110" s="102"/>
    </row>
    <row r="111" spans="5:5" ht="20.399999999999999">
      <c r="E111" s="102"/>
    </row>
    <row r="112" spans="5:5" ht="20.399999999999999">
      <c r="E112" s="102"/>
    </row>
    <row r="113" spans="5:5" ht="20.399999999999999">
      <c r="E113" s="102"/>
    </row>
    <row r="114" spans="5:5" ht="20.399999999999999">
      <c r="E114" s="102"/>
    </row>
    <row r="115" spans="5:5" ht="20.399999999999999">
      <c r="E115" s="102"/>
    </row>
    <row r="116" spans="5:5" ht="20.399999999999999">
      <c r="E116" s="102"/>
    </row>
    <row r="117" spans="5:5" ht="20.399999999999999">
      <c r="E117" s="102"/>
    </row>
    <row r="118" spans="5:5" ht="20.399999999999999">
      <c r="E118" s="102"/>
    </row>
    <row r="119" spans="5:5" ht="20.399999999999999">
      <c r="E119" s="102"/>
    </row>
    <row r="120" spans="5:5" ht="20.399999999999999">
      <c r="E120" s="102"/>
    </row>
    <row r="121" spans="5:5" ht="20.399999999999999">
      <c r="E121" s="102"/>
    </row>
    <row r="122" spans="5:5" ht="20.399999999999999">
      <c r="E122" s="102"/>
    </row>
    <row r="123" spans="5:5" ht="20.399999999999999">
      <c r="E123" s="102"/>
    </row>
    <row r="124" spans="5:5" ht="20.399999999999999">
      <c r="E124" s="102"/>
    </row>
    <row r="125" spans="5:5" ht="20.399999999999999">
      <c r="E125" s="102"/>
    </row>
    <row r="126" spans="5:5" ht="20.399999999999999">
      <c r="E126" s="102"/>
    </row>
    <row r="127" spans="5:5" ht="20.399999999999999">
      <c r="E127" s="102"/>
    </row>
    <row r="128" spans="5:5" ht="20.399999999999999">
      <c r="E128" s="102"/>
    </row>
    <row r="129" spans="5:5" ht="20.399999999999999">
      <c r="E129" s="102"/>
    </row>
    <row r="130" spans="5:5" ht="20.399999999999999">
      <c r="E130" s="102"/>
    </row>
    <row r="131" spans="5:5" ht="20.399999999999999">
      <c r="E131" s="102"/>
    </row>
    <row r="132" spans="5:5" ht="20.399999999999999">
      <c r="E132" s="102"/>
    </row>
    <row r="133" spans="5:5" ht="20.399999999999999">
      <c r="E133" s="102"/>
    </row>
    <row r="134" spans="5:5" ht="20.399999999999999">
      <c r="E134" s="102"/>
    </row>
    <row r="135" spans="5:5" ht="20.399999999999999">
      <c r="E135" s="102"/>
    </row>
    <row r="136" spans="5:5" ht="20.399999999999999">
      <c r="E136" s="102"/>
    </row>
    <row r="137" spans="5:5" ht="20.399999999999999">
      <c r="E137" s="102"/>
    </row>
    <row r="138" spans="5:5" ht="20.399999999999999">
      <c r="E138" s="102"/>
    </row>
    <row r="139" spans="5:5" ht="20.399999999999999">
      <c r="E139" s="102"/>
    </row>
    <row r="140" spans="5:5" ht="20.399999999999999">
      <c r="E140" s="102"/>
    </row>
    <row r="141" spans="5:5" ht="20.399999999999999">
      <c r="E141" s="102"/>
    </row>
    <row r="142" spans="5:5" ht="20.399999999999999">
      <c r="E142" s="102"/>
    </row>
    <row r="143" spans="5:5" ht="20.399999999999999">
      <c r="E143" s="102"/>
    </row>
    <row r="144" spans="5:5" ht="20.399999999999999">
      <c r="E144" s="102"/>
    </row>
    <row r="145" spans="5:5" ht="20.399999999999999">
      <c r="E145" s="102"/>
    </row>
    <row r="146" spans="5:5" ht="20.399999999999999">
      <c r="E146" s="102"/>
    </row>
    <row r="147" spans="5:5" ht="20.399999999999999">
      <c r="E147" s="102"/>
    </row>
    <row r="148" spans="5:5" ht="20.399999999999999">
      <c r="E148" s="102"/>
    </row>
    <row r="149" spans="5:5" ht="20.399999999999999">
      <c r="E149" s="102"/>
    </row>
    <row r="150" spans="5:5" ht="20.399999999999999">
      <c r="E150" s="102"/>
    </row>
    <row r="151" spans="5:5" ht="20.399999999999999">
      <c r="E151" s="102"/>
    </row>
    <row r="152" spans="5:5" ht="20.399999999999999">
      <c r="E152" s="102"/>
    </row>
    <row r="153" spans="5:5" ht="20.399999999999999">
      <c r="E153" s="102"/>
    </row>
    <row r="154" spans="5:5" ht="20.399999999999999">
      <c r="E154" s="102"/>
    </row>
    <row r="155" spans="5:5" ht="20.399999999999999">
      <c r="E155" s="102"/>
    </row>
    <row r="156" spans="5:5" ht="20.399999999999999">
      <c r="E156" s="102"/>
    </row>
    <row r="157" spans="5:5" ht="20.399999999999999">
      <c r="E157" s="102"/>
    </row>
    <row r="158" spans="5:5" ht="20.399999999999999">
      <c r="E158" s="102"/>
    </row>
    <row r="159" spans="5:5" ht="20.399999999999999">
      <c r="E159" s="102"/>
    </row>
    <row r="160" spans="5:5" ht="20.399999999999999">
      <c r="E160" s="102"/>
    </row>
    <row r="161" spans="5:5" ht="20.399999999999999">
      <c r="E161" s="102"/>
    </row>
    <row r="162" spans="5:5" ht="20.399999999999999">
      <c r="E162" s="102"/>
    </row>
    <row r="163" spans="5:5" ht="20.399999999999999">
      <c r="E163" s="102"/>
    </row>
    <row r="164" spans="5:5" ht="20.399999999999999">
      <c r="E164" s="102"/>
    </row>
    <row r="165" spans="5:5" ht="20.399999999999999">
      <c r="E165" s="102"/>
    </row>
    <row r="166" spans="5:5" ht="20.399999999999999">
      <c r="E166" s="102"/>
    </row>
    <row r="167" spans="5:5" ht="20.399999999999999">
      <c r="E167" s="102"/>
    </row>
    <row r="168" spans="5:5" ht="20.399999999999999">
      <c r="E168" s="102"/>
    </row>
    <row r="169" spans="5:5" ht="20.399999999999999">
      <c r="E169" s="102"/>
    </row>
    <row r="170" spans="5:5" ht="20.399999999999999">
      <c r="E170" s="102"/>
    </row>
    <row r="171" spans="5:5" ht="20.399999999999999">
      <c r="E171" s="102"/>
    </row>
    <row r="172" spans="5:5" ht="20.399999999999999">
      <c r="E172" s="102"/>
    </row>
    <row r="173" spans="5:5" ht="20.399999999999999">
      <c r="E173" s="102"/>
    </row>
    <row r="174" spans="5:5" ht="20.399999999999999">
      <c r="E174" s="102"/>
    </row>
    <row r="175" spans="5:5" ht="20.399999999999999">
      <c r="E175" s="102"/>
    </row>
    <row r="176" spans="5:5" ht="20.399999999999999">
      <c r="E176" s="102"/>
    </row>
    <row r="177" spans="5:5" ht="20.399999999999999">
      <c r="E177" s="102"/>
    </row>
    <row r="178" spans="5:5" ht="20.399999999999999">
      <c r="E178" s="102"/>
    </row>
    <row r="179" spans="5:5" ht="20.399999999999999">
      <c r="E179" s="102"/>
    </row>
    <row r="180" spans="5:5" ht="20.399999999999999">
      <c r="E180" s="102"/>
    </row>
    <row r="181" spans="5:5" ht="20.399999999999999">
      <c r="E181" s="102"/>
    </row>
    <row r="182" spans="5:5" ht="20.399999999999999">
      <c r="E182" s="102"/>
    </row>
    <row r="183" spans="5:5" ht="20.399999999999999">
      <c r="E183" s="102"/>
    </row>
    <row r="184" spans="5:5" ht="20.399999999999999">
      <c r="E184" s="102"/>
    </row>
    <row r="185" spans="5:5" ht="20.399999999999999">
      <c r="E185" s="102"/>
    </row>
    <row r="186" spans="5:5" ht="20.399999999999999">
      <c r="E186" s="102"/>
    </row>
    <row r="187" spans="5:5" ht="20.399999999999999">
      <c r="E187" s="102"/>
    </row>
    <row r="188" spans="5:5" ht="20.399999999999999">
      <c r="E188" s="102"/>
    </row>
    <row r="189" spans="5:5" ht="20.399999999999999">
      <c r="E189" s="102"/>
    </row>
    <row r="190" spans="5:5" ht="20.399999999999999">
      <c r="E190" s="102"/>
    </row>
    <row r="191" spans="5:5" ht="20.399999999999999">
      <c r="E191" s="102"/>
    </row>
    <row r="192" spans="5:5" ht="20.399999999999999">
      <c r="E192" s="102"/>
    </row>
    <row r="193" spans="5:5" ht="20.399999999999999">
      <c r="E193" s="102"/>
    </row>
    <row r="194" spans="5:5" ht="20.399999999999999">
      <c r="E194" s="102"/>
    </row>
    <row r="195" spans="5:5" ht="20.399999999999999">
      <c r="E195" s="102"/>
    </row>
    <row r="196" spans="5:5" ht="20.399999999999999">
      <c r="E196" s="102"/>
    </row>
    <row r="197" spans="5:5" ht="20.399999999999999">
      <c r="E197" s="102"/>
    </row>
    <row r="198" spans="5:5" ht="20.399999999999999">
      <c r="E198" s="102"/>
    </row>
    <row r="199" spans="5:5" ht="20.399999999999999">
      <c r="E199" s="102"/>
    </row>
    <row r="200" spans="5:5" ht="20.399999999999999">
      <c r="E200" s="102"/>
    </row>
    <row r="201" spans="5:5" ht="20.399999999999999">
      <c r="E201" s="102"/>
    </row>
    <row r="202" spans="5:5" ht="20.399999999999999">
      <c r="E202" s="102"/>
    </row>
    <row r="203" spans="5:5" ht="20.399999999999999">
      <c r="E203" s="102"/>
    </row>
    <row r="204" spans="5:5" ht="20.399999999999999">
      <c r="E204" s="102"/>
    </row>
    <row r="205" spans="5:5" ht="20.399999999999999">
      <c r="E205" s="102"/>
    </row>
    <row r="206" spans="5:5" ht="20.399999999999999">
      <c r="E206" s="102"/>
    </row>
    <row r="207" spans="5:5" ht="20.399999999999999">
      <c r="E207" s="102"/>
    </row>
    <row r="208" spans="5:5" ht="20.399999999999999">
      <c r="E208" s="102"/>
    </row>
    <row r="209" spans="5:5" ht="20.399999999999999">
      <c r="E209" s="102"/>
    </row>
    <row r="210" spans="5:5" ht="20.399999999999999">
      <c r="E210" s="102"/>
    </row>
    <row r="211" spans="5:5" ht="20.399999999999999">
      <c r="E211" s="102"/>
    </row>
    <row r="212" spans="5:5" ht="20.399999999999999">
      <c r="E212" s="102"/>
    </row>
    <row r="213" spans="5:5" ht="20.399999999999999">
      <c r="E213" s="102"/>
    </row>
    <row r="214" spans="5:5" ht="20.399999999999999">
      <c r="E214" s="102"/>
    </row>
    <row r="215" spans="5:5" ht="20.399999999999999">
      <c r="E215" s="102"/>
    </row>
    <row r="216" spans="5:5" ht="20.399999999999999">
      <c r="E216" s="102"/>
    </row>
    <row r="217" spans="5:5" ht="20.399999999999999">
      <c r="E217" s="102"/>
    </row>
    <row r="218" spans="5:5" ht="20.399999999999999">
      <c r="E218" s="102"/>
    </row>
    <row r="219" spans="5:5" ht="20.399999999999999">
      <c r="E219" s="102"/>
    </row>
    <row r="220" spans="5:5" ht="20.399999999999999">
      <c r="E220" s="102"/>
    </row>
    <row r="221" spans="5:5" ht="20.399999999999999">
      <c r="E221" s="102"/>
    </row>
    <row r="222" spans="5:5" ht="20.399999999999999">
      <c r="E222" s="102"/>
    </row>
    <row r="223" spans="5:5" ht="20.399999999999999">
      <c r="E223" s="102"/>
    </row>
    <row r="224" spans="5:5" ht="20.399999999999999">
      <c r="E224" s="102"/>
    </row>
    <row r="225" spans="5:5" ht="20.399999999999999">
      <c r="E225" s="102"/>
    </row>
    <row r="226" spans="5:5" ht="20.399999999999999">
      <c r="E226" s="102"/>
    </row>
    <row r="227" spans="5:5" ht="20.399999999999999">
      <c r="E227" s="102"/>
    </row>
    <row r="228" spans="5:5" ht="20.399999999999999">
      <c r="E228" s="102"/>
    </row>
    <row r="229" spans="5:5" ht="20.399999999999999">
      <c r="E229" s="102"/>
    </row>
    <row r="230" spans="5:5" ht="20.399999999999999">
      <c r="E230" s="102"/>
    </row>
    <row r="231" spans="5:5" ht="20.399999999999999">
      <c r="E231" s="102"/>
    </row>
    <row r="232" spans="5:5" ht="20.399999999999999">
      <c r="E232" s="102"/>
    </row>
    <row r="233" spans="5:5" ht="20.399999999999999">
      <c r="E233" s="102"/>
    </row>
    <row r="234" spans="5:5" ht="20.399999999999999">
      <c r="E234" s="102"/>
    </row>
    <row r="235" spans="5:5" ht="20.399999999999999">
      <c r="E235" s="102"/>
    </row>
    <row r="236" spans="5:5" ht="20.399999999999999">
      <c r="E236" s="102"/>
    </row>
    <row r="237" spans="5:5" ht="20.399999999999999">
      <c r="E237" s="102"/>
    </row>
    <row r="238" spans="5:5" ht="20.399999999999999">
      <c r="E238" s="102"/>
    </row>
    <row r="239" spans="5:5" ht="20.399999999999999">
      <c r="E239" s="102"/>
    </row>
    <row r="240" spans="5:5" ht="20.399999999999999">
      <c r="E240" s="102"/>
    </row>
    <row r="241" spans="5:5" ht="20.399999999999999">
      <c r="E241" s="102"/>
    </row>
    <row r="242" spans="5:5" ht="20.399999999999999">
      <c r="E242" s="102"/>
    </row>
    <row r="243" spans="5:5" ht="20.399999999999999">
      <c r="E243" s="102"/>
    </row>
    <row r="244" spans="5:5" ht="20.399999999999999">
      <c r="E244" s="102"/>
    </row>
    <row r="245" spans="5:5" ht="20.399999999999999">
      <c r="E245" s="102"/>
    </row>
    <row r="246" spans="5:5" ht="20.399999999999999">
      <c r="E246" s="102"/>
    </row>
    <row r="247" spans="5:5" ht="20.399999999999999">
      <c r="E247" s="102"/>
    </row>
    <row r="248" spans="5:5" ht="20.399999999999999">
      <c r="E248" s="102"/>
    </row>
    <row r="249" spans="5:5" ht="20.399999999999999">
      <c r="E249" s="102"/>
    </row>
    <row r="250" spans="5:5" ht="20.399999999999999">
      <c r="E250" s="102"/>
    </row>
    <row r="251" spans="5:5" ht="20.399999999999999">
      <c r="E251" s="102"/>
    </row>
    <row r="252" spans="5:5" ht="20.399999999999999">
      <c r="E252" s="102"/>
    </row>
    <row r="253" spans="5:5" ht="20.399999999999999">
      <c r="E253" s="102"/>
    </row>
    <row r="254" spans="5:5" ht="20.399999999999999">
      <c r="E254" s="102"/>
    </row>
    <row r="255" spans="5:5" ht="20.399999999999999">
      <c r="E255" s="102"/>
    </row>
    <row r="256" spans="5:5" ht="20.399999999999999">
      <c r="E256" s="102"/>
    </row>
    <row r="257" spans="5:5" ht="20.399999999999999">
      <c r="E257" s="102"/>
    </row>
    <row r="258" spans="5:5" ht="20.399999999999999">
      <c r="E258" s="102"/>
    </row>
    <row r="259" spans="5:5" ht="20.399999999999999">
      <c r="E259" s="102"/>
    </row>
    <row r="260" spans="5:5" ht="20.399999999999999">
      <c r="E260" s="102"/>
    </row>
    <row r="261" spans="5:5" ht="20.399999999999999">
      <c r="E261" s="102"/>
    </row>
    <row r="262" spans="5:5" ht="20.399999999999999">
      <c r="E262" s="102"/>
    </row>
    <row r="263" spans="5:5" ht="20.399999999999999">
      <c r="E263" s="102"/>
    </row>
    <row r="264" spans="5:5" ht="20.399999999999999">
      <c r="E264" s="102"/>
    </row>
    <row r="265" spans="5:5" ht="20.399999999999999">
      <c r="E265" s="102"/>
    </row>
    <row r="266" spans="5:5" ht="20.399999999999999">
      <c r="E266" s="102"/>
    </row>
    <row r="267" spans="5:5" ht="20.399999999999999">
      <c r="E267" s="102"/>
    </row>
    <row r="268" spans="5:5" ht="20.399999999999999">
      <c r="E268" s="102"/>
    </row>
    <row r="269" spans="5:5" ht="20.399999999999999">
      <c r="E269" s="102"/>
    </row>
    <row r="270" spans="5:5" ht="20.399999999999999">
      <c r="E270" s="102"/>
    </row>
    <row r="271" spans="5:5" ht="20.399999999999999">
      <c r="E271" s="102"/>
    </row>
    <row r="272" spans="5:5" ht="20.399999999999999">
      <c r="E272" s="102"/>
    </row>
    <row r="273" spans="5:5" ht="20.399999999999999">
      <c r="E273" s="102"/>
    </row>
    <row r="274" spans="5:5" ht="20.399999999999999">
      <c r="E274" s="102"/>
    </row>
    <row r="275" spans="5:5" ht="20.399999999999999">
      <c r="E275" s="102"/>
    </row>
    <row r="276" spans="5:5" ht="20.399999999999999">
      <c r="E276" s="102"/>
    </row>
    <row r="277" spans="5:5" ht="20.399999999999999">
      <c r="E277" s="102"/>
    </row>
    <row r="278" spans="5:5" ht="20.399999999999999">
      <c r="E278" s="102"/>
    </row>
    <row r="279" spans="5:5" ht="20.399999999999999">
      <c r="E279" s="102"/>
    </row>
    <row r="280" spans="5:5" ht="20.399999999999999">
      <c r="E280" s="102"/>
    </row>
    <row r="281" spans="5:5" ht="20.399999999999999">
      <c r="E281" s="102"/>
    </row>
    <row r="282" spans="5:5" ht="20.399999999999999">
      <c r="E282" s="102"/>
    </row>
    <row r="283" spans="5:5" ht="20.399999999999999">
      <c r="E283" s="102"/>
    </row>
    <row r="284" spans="5:5" ht="20.399999999999999">
      <c r="E284" s="102"/>
    </row>
    <row r="285" spans="5:5" ht="20.399999999999999">
      <c r="E285" s="102"/>
    </row>
    <row r="286" spans="5:5" ht="20.399999999999999">
      <c r="E286" s="102"/>
    </row>
    <row r="287" spans="5:5" ht="20.399999999999999">
      <c r="E287" s="102"/>
    </row>
    <row r="288" spans="5:5" ht="20.399999999999999">
      <c r="E288" s="102"/>
    </row>
    <row r="289" spans="5:5" ht="20.399999999999999">
      <c r="E289" s="102"/>
    </row>
    <row r="290" spans="5:5" ht="20.399999999999999">
      <c r="E290" s="102"/>
    </row>
    <row r="291" spans="5:5" ht="20.399999999999999">
      <c r="E291" s="102"/>
    </row>
    <row r="292" spans="5:5" ht="20.399999999999999">
      <c r="E292" s="102"/>
    </row>
    <row r="293" spans="5:5" ht="20.399999999999999">
      <c r="E293" s="102"/>
    </row>
    <row r="294" spans="5:5" ht="20.399999999999999">
      <c r="E294" s="102"/>
    </row>
    <row r="295" spans="5:5" ht="20.399999999999999">
      <c r="E295" s="102"/>
    </row>
    <row r="296" spans="5:5" ht="20.399999999999999">
      <c r="E296" s="102"/>
    </row>
    <row r="297" spans="5:5" ht="20.399999999999999">
      <c r="E297" s="102"/>
    </row>
    <row r="298" spans="5:5" ht="20.399999999999999">
      <c r="E298" s="102"/>
    </row>
    <row r="299" spans="5:5" ht="20.399999999999999">
      <c r="E299" s="102"/>
    </row>
    <row r="300" spans="5:5" ht="20.399999999999999">
      <c r="E300" s="102"/>
    </row>
    <row r="301" spans="5:5" ht="20.399999999999999">
      <c r="E301" s="102"/>
    </row>
    <row r="302" spans="5:5" ht="20.399999999999999">
      <c r="E302" s="102"/>
    </row>
    <row r="303" spans="5:5" ht="20.399999999999999">
      <c r="E303" s="102"/>
    </row>
    <row r="304" spans="5:5" ht="20.399999999999999">
      <c r="E304" s="102"/>
    </row>
    <row r="305" spans="5:5" ht="20.399999999999999">
      <c r="E305" s="102"/>
    </row>
    <row r="306" spans="5:5" ht="20.399999999999999">
      <c r="E306" s="102"/>
    </row>
    <row r="307" spans="5:5" ht="20.399999999999999">
      <c r="E307" s="102"/>
    </row>
    <row r="308" spans="5:5" ht="20.399999999999999">
      <c r="E308" s="102"/>
    </row>
    <row r="309" spans="5:5" ht="20.399999999999999">
      <c r="E309" s="102"/>
    </row>
    <row r="310" spans="5:5" ht="20.399999999999999">
      <c r="E310" s="102"/>
    </row>
    <row r="311" spans="5:5" ht="20.399999999999999">
      <c r="E311" s="102"/>
    </row>
    <row r="312" spans="5:5" ht="20.399999999999999">
      <c r="E312" s="102"/>
    </row>
    <row r="313" spans="5:5" ht="20.399999999999999">
      <c r="E313" s="102"/>
    </row>
    <row r="314" spans="5:5" ht="20.399999999999999">
      <c r="E314" s="102"/>
    </row>
    <row r="315" spans="5:5" ht="20.399999999999999">
      <c r="E315" s="102"/>
    </row>
    <row r="316" spans="5:5" ht="20.399999999999999">
      <c r="E316" s="102"/>
    </row>
    <row r="317" spans="5:5" ht="20.399999999999999">
      <c r="E317" s="102"/>
    </row>
    <row r="318" spans="5:5" ht="20.399999999999999">
      <c r="E318" s="102"/>
    </row>
    <row r="319" spans="5:5" ht="20.399999999999999">
      <c r="E319" s="102"/>
    </row>
    <row r="320" spans="5:5" ht="20.399999999999999">
      <c r="E320" s="102"/>
    </row>
    <row r="321" spans="5:5" ht="20.399999999999999">
      <c r="E321" s="102"/>
    </row>
    <row r="322" spans="5:5" ht="20.399999999999999">
      <c r="E322" s="102"/>
    </row>
    <row r="323" spans="5:5" ht="20.399999999999999">
      <c r="E323" s="102"/>
    </row>
    <row r="324" spans="5:5" ht="20.399999999999999">
      <c r="E324" s="102"/>
    </row>
    <row r="325" spans="5:5" ht="20.399999999999999">
      <c r="E325" s="102"/>
    </row>
    <row r="326" spans="5:5" ht="20.399999999999999">
      <c r="E326" s="102"/>
    </row>
    <row r="327" spans="5:5" ht="20.399999999999999">
      <c r="E327" s="102"/>
    </row>
    <row r="328" spans="5:5" ht="20.399999999999999">
      <c r="E328" s="102"/>
    </row>
    <row r="329" spans="5:5" ht="20.399999999999999">
      <c r="E329" s="102"/>
    </row>
    <row r="330" spans="5:5" ht="20.399999999999999">
      <c r="E330" s="102"/>
    </row>
    <row r="331" spans="5:5" ht="20.399999999999999">
      <c r="E331" s="102"/>
    </row>
    <row r="332" spans="5:5" ht="20.399999999999999">
      <c r="E332" s="102"/>
    </row>
    <row r="333" spans="5:5" ht="20.399999999999999">
      <c r="E333" s="102"/>
    </row>
    <row r="334" spans="5:5" ht="20.399999999999999">
      <c r="E334" s="102"/>
    </row>
    <row r="335" spans="5:5" ht="20.399999999999999">
      <c r="E335" s="102"/>
    </row>
    <row r="336" spans="5:5" ht="20.399999999999999">
      <c r="E336" s="102"/>
    </row>
    <row r="337" spans="5:5" ht="20.399999999999999">
      <c r="E337" s="102"/>
    </row>
    <row r="338" spans="5:5" ht="20.399999999999999">
      <c r="E338" s="102"/>
    </row>
    <row r="339" spans="5:5" ht="20.399999999999999">
      <c r="E339" s="102"/>
    </row>
    <row r="340" spans="5:5" ht="20.399999999999999">
      <c r="E340" s="102"/>
    </row>
    <row r="341" spans="5:5" ht="20.399999999999999">
      <c r="E341" s="102"/>
    </row>
    <row r="342" spans="5:5" ht="20.399999999999999">
      <c r="E342" s="102"/>
    </row>
    <row r="343" spans="5:5" ht="20.399999999999999">
      <c r="E343" s="102"/>
    </row>
    <row r="344" spans="5:5" ht="20.399999999999999">
      <c r="E344" s="102"/>
    </row>
    <row r="345" spans="5:5" ht="20.399999999999999">
      <c r="E345" s="102"/>
    </row>
    <row r="346" spans="5:5" ht="20.399999999999999">
      <c r="E346" s="102"/>
    </row>
    <row r="347" spans="5:5" ht="20.399999999999999">
      <c r="E347" s="102"/>
    </row>
    <row r="348" spans="5:5" ht="20.399999999999999">
      <c r="E348" s="102"/>
    </row>
    <row r="349" spans="5:5" ht="20.399999999999999">
      <c r="E349" s="102"/>
    </row>
    <row r="350" spans="5:5" ht="20.399999999999999">
      <c r="E350" s="102"/>
    </row>
    <row r="351" spans="5:5" ht="20.399999999999999">
      <c r="E351" s="102"/>
    </row>
    <row r="352" spans="5:5" ht="20.399999999999999">
      <c r="E352" s="102"/>
    </row>
    <row r="353" spans="5:5" ht="20.399999999999999">
      <c r="E353" s="102"/>
    </row>
    <row r="354" spans="5:5" ht="20.399999999999999">
      <c r="E354" s="102"/>
    </row>
    <row r="355" spans="5:5" ht="20.399999999999999">
      <c r="E355" s="102"/>
    </row>
    <row r="356" spans="5:5" ht="20.399999999999999">
      <c r="E356" s="102"/>
    </row>
    <row r="357" spans="5:5" ht="20.399999999999999">
      <c r="E357" s="102"/>
    </row>
    <row r="358" spans="5:5" ht="20.399999999999999">
      <c r="E358" s="102"/>
    </row>
    <row r="359" spans="5:5" ht="20.399999999999999">
      <c r="E359" s="102"/>
    </row>
    <row r="360" spans="5:5" ht="20.399999999999999">
      <c r="E360" s="102"/>
    </row>
    <row r="361" spans="5:5" ht="20.399999999999999">
      <c r="E361" s="102"/>
    </row>
    <row r="362" spans="5:5" ht="20.399999999999999">
      <c r="E362" s="102"/>
    </row>
    <row r="363" spans="5:5" ht="20.399999999999999">
      <c r="E363" s="102"/>
    </row>
    <row r="364" spans="5:5" ht="20.399999999999999">
      <c r="E364" s="102"/>
    </row>
    <row r="365" spans="5:5" ht="20.399999999999999">
      <c r="E365" s="102"/>
    </row>
    <row r="366" spans="5:5" ht="20.399999999999999">
      <c r="E366" s="102"/>
    </row>
    <row r="367" spans="5:5" ht="20.399999999999999">
      <c r="E367" s="102"/>
    </row>
    <row r="368" spans="5:5" ht="20.399999999999999">
      <c r="E368" s="102"/>
    </row>
    <row r="369" spans="5:5" ht="20.399999999999999">
      <c r="E369" s="102"/>
    </row>
    <row r="370" spans="5:5" ht="20.399999999999999">
      <c r="E370" s="102"/>
    </row>
    <row r="371" spans="5:5" ht="20.399999999999999">
      <c r="E371" s="102"/>
    </row>
    <row r="372" spans="5:5" ht="20.399999999999999">
      <c r="E372" s="102"/>
    </row>
    <row r="373" spans="5:5" ht="20.399999999999999">
      <c r="E373" s="102"/>
    </row>
    <row r="374" spans="5:5" ht="20.399999999999999">
      <c r="E374" s="102"/>
    </row>
    <row r="375" spans="5:5" ht="20.399999999999999">
      <c r="E375" s="102"/>
    </row>
    <row r="376" spans="5:5" ht="20.399999999999999">
      <c r="E376" s="102"/>
    </row>
    <row r="377" spans="5:5" ht="20.399999999999999">
      <c r="E377" s="102"/>
    </row>
    <row r="378" spans="5:5" ht="20.399999999999999">
      <c r="E378" s="102"/>
    </row>
    <row r="379" spans="5:5" ht="20.399999999999999">
      <c r="E379" s="102"/>
    </row>
    <row r="380" spans="5:5" ht="20.399999999999999">
      <c r="E380" s="102"/>
    </row>
    <row r="381" spans="5:5" ht="20.399999999999999">
      <c r="E381" s="102"/>
    </row>
    <row r="382" spans="5:5" ht="20.399999999999999">
      <c r="E382" s="102"/>
    </row>
    <row r="383" spans="5:5" ht="20.399999999999999">
      <c r="E383" s="102"/>
    </row>
    <row r="384" spans="5:5" ht="20.399999999999999">
      <c r="E384" s="102"/>
    </row>
    <row r="385" spans="5:5" ht="20.399999999999999">
      <c r="E385" s="102"/>
    </row>
    <row r="386" spans="5:5" ht="20.399999999999999">
      <c r="E386" s="102"/>
    </row>
    <row r="387" spans="5:5" ht="20.399999999999999">
      <c r="E387" s="102"/>
    </row>
    <row r="388" spans="5:5" ht="20.399999999999999">
      <c r="E388" s="102"/>
    </row>
    <row r="389" spans="5:5" ht="20.399999999999999">
      <c r="E389" s="102"/>
    </row>
    <row r="390" spans="5:5" ht="20.399999999999999">
      <c r="E390" s="102"/>
    </row>
    <row r="391" spans="5:5" ht="20.399999999999999">
      <c r="E391" s="102"/>
    </row>
    <row r="392" spans="5:5" ht="20.399999999999999">
      <c r="E392" s="102"/>
    </row>
    <row r="393" spans="5:5" ht="20.399999999999999">
      <c r="E393" s="102"/>
    </row>
    <row r="394" spans="5:5" ht="20.399999999999999">
      <c r="E394" s="102"/>
    </row>
    <row r="395" spans="5:5" ht="20.399999999999999">
      <c r="E395" s="102"/>
    </row>
    <row r="396" spans="5:5" ht="20.399999999999999">
      <c r="E396" s="102"/>
    </row>
    <row r="397" spans="5:5" ht="20.399999999999999">
      <c r="E397" s="102"/>
    </row>
    <row r="398" spans="5:5" ht="20.399999999999999">
      <c r="E398" s="102"/>
    </row>
    <row r="399" spans="5:5" ht="20.399999999999999">
      <c r="E399" s="102"/>
    </row>
    <row r="400" spans="5:5" ht="20.399999999999999">
      <c r="E400" s="102"/>
    </row>
    <row r="401" spans="5:5" ht="20.399999999999999">
      <c r="E401" s="102"/>
    </row>
    <row r="402" spans="5:5" ht="20.399999999999999">
      <c r="E402" s="102"/>
    </row>
    <row r="403" spans="5:5" ht="20.399999999999999">
      <c r="E403" s="102"/>
    </row>
    <row r="404" spans="5:5" ht="20.399999999999999">
      <c r="E404" s="102"/>
    </row>
    <row r="405" spans="5:5" ht="20.399999999999999">
      <c r="E405" s="102"/>
    </row>
    <row r="406" spans="5:5" ht="20.399999999999999">
      <c r="E406" s="102"/>
    </row>
    <row r="407" spans="5:5" ht="20.399999999999999">
      <c r="E407" s="102"/>
    </row>
    <row r="408" spans="5:5" ht="20.399999999999999">
      <c r="E408" s="102"/>
    </row>
    <row r="409" spans="5:5" ht="20.399999999999999">
      <c r="E409" s="102"/>
    </row>
    <row r="410" spans="5:5" ht="20.399999999999999">
      <c r="E410" s="102"/>
    </row>
    <row r="411" spans="5:5" ht="20.399999999999999">
      <c r="E411" s="102"/>
    </row>
    <row r="412" spans="5:5" ht="20.399999999999999">
      <c r="E412" s="102"/>
    </row>
    <row r="413" spans="5:5" ht="20.399999999999999">
      <c r="E413" s="102"/>
    </row>
    <row r="414" spans="5:5" ht="20.399999999999999">
      <c r="E414" s="102"/>
    </row>
    <row r="415" spans="5:5" ht="20.399999999999999">
      <c r="E415" s="102"/>
    </row>
    <row r="416" spans="5:5" ht="20.399999999999999">
      <c r="E416" s="102"/>
    </row>
    <row r="417" spans="5:5" ht="20.399999999999999">
      <c r="E417" s="102"/>
    </row>
    <row r="418" spans="5:5" ht="20.399999999999999">
      <c r="E418" s="102"/>
    </row>
    <row r="419" spans="5:5" ht="20.399999999999999">
      <c r="E419" s="102"/>
    </row>
    <row r="420" spans="5:5" ht="20.399999999999999">
      <c r="E420" s="102"/>
    </row>
    <row r="421" spans="5:5" ht="20.399999999999999">
      <c r="E421" s="102"/>
    </row>
    <row r="422" spans="5:5" ht="20.399999999999999">
      <c r="E422" s="102"/>
    </row>
    <row r="423" spans="5:5" ht="20.399999999999999">
      <c r="E423" s="102"/>
    </row>
    <row r="424" spans="5:5" ht="20.399999999999999">
      <c r="E424" s="102"/>
    </row>
    <row r="425" spans="5:5" ht="20.399999999999999">
      <c r="E425" s="102"/>
    </row>
    <row r="426" spans="5:5" ht="20.399999999999999">
      <c r="E426" s="102"/>
    </row>
    <row r="427" spans="5:5" ht="20.399999999999999">
      <c r="E427" s="102"/>
    </row>
    <row r="428" spans="5:5" ht="20.399999999999999">
      <c r="E428" s="102"/>
    </row>
    <row r="429" spans="5:5" ht="20.399999999999999">
      <c r="E429" s="102"/>
    </row>
    <row r="430" spans="5:5" ht="20.399999999999999">
      <c r="E430" s="102"/>
    </row>
    <row r="431" spans="5:5" ht="20.399999999999999">
      <c r="E431" s="102"/>
    </row>
    <row r="432" spans="5:5" ht="20.399999999999999">
      <c r="E432" s="102"/>
    </row>
    <row r="433" spans="5:5" ht="20.399999999999999">
      <c r="E433" s="102"/>
    </row>
    <row r="434" spans="5:5" ht="20.399999999999999">
      <c r="E434" s="102"/>
    </row>
    <row r="435" spans="5:5" ht="20.399999999999999">
      <c r="E435" s="102"/>
    </row>
    <row r="436" spans="5:5" ht="20.399999999999999">
      <c r="E436" s="102"/>
    </row>
    <row r="437" spans="5:5" ht="20.399999999999999">
      <c r="E437" s="102"/>
    </row>
    <row r="438" spans="5:5" ht="20.399999999999999">
      <c r="E438" s="102"/>
    </row>
    <row r="439" spans="5:5" ht="20.399999999999999">
      <c r="E439" s="102"/>
    </row>
    <row r="440" spans="5:5" ht="20.399999999999999">
      <c r="E440" s="102"/>
    </row>
    <row r="441" spans="5:5" ht="20.399999999999999">
      <c r="E441" s="102"/>
    </row>
    <row r="442" spans="5:5" ht="20.399999999999999">
      <c r="E442" s="102"/>
    </row>
    <row r="443" spans="5:5" ht="20.399999999999999">
      <c r="E443" s="102"/>
    </row>
    <row r="444" spans="5:5" ht="20.399999999999999">
      <c r="E444" s="102"/>
    </row>
    <row r="445" spans="5:5" ht="20.399999999999999">
      <c r="E445" s="102"/>
    </row>
    <row r="446" spans="5:5" ht="20.399999999999999">
      <c r="E446" s="102"/>
    </row>
    <row r="447" spans="5:5" ht="20.399999999999999">
      <c r="E447" s="102"/>
    </row>
    <row r="448" spans="5:5" ht="20.399999999999999">
      <c r="E448" s="102"/>
    </row>
    <row r="449" spans="5:5" ht="20.399999999999999">
      <c r="E449" s="102"/>
    </row>
    <row r="450" spans="5:5" ht="20.399999999999999">
      <c r="E450" s="102"/>
    </row>
    <row r="451" spans="5:5" ht="20.399999999999999">
      <c r="E451" s="102"/>
    </row>
    <row r="452" spans="5:5" ht="20.399999999999999">
      <c r="E452" s="102"/>
    </row>
    <row r="453" spans="5:5" ht="20.399999999999999">
      <c r="E453" s="102"/>
    </row>
    <row r="454" spans="5:5" ht="20.399999999999999">
      <c r="E454" s="102"/>
    </row>
    <row r="455" spans="5:5" ht="20.399999999999999">
      <c r="E455" s="102"/>
    </row>
    <row r="456" spans="5:5" ht="20.399999999999999">
      <c r="E456" s="102"/>
    </row>
    <row r="457" spans="5:5" ht="20.399999999999999">
      <c r="E457" s="102"/>
    </row>
    <row r="458" spans="5:5" ht="20.399999999999999">
      <c r="E458" s="102"/>
    </row>
    <row r="459" spans="5:5" ht="20.399999999999999">
      <c r="E459" s="102"/>
    </row>
    <row r="460" spans="5:5" ht="20.399999999999999">
      <c r="E460" s="102"/>
    </row>
    <row r="461" spans="5:5" ht="20.399999999999999">
      <c r="E461" s="102"/>
    </row>
    <row r="462" spans="5:5" ht="20.399999999999999">
      <c r="E462" s="102"/>
    </row>
    <row r="463" spans="5:5" ht="20.399999999999999">
      <c r="E463" s="102"/>
    </row>
    <row r="464" spans="5:5" ht="20.399999999999999">
      <c r="E464" s="102"/>
    </row>
    <row r="465" spans="5:5" ht="20.399999999999999">
      <c r="E465" s="102"/>
    </row>
    <row r="466" spans="5:5" ht="20.399999999999999">
      <c r="E466" s="102"/>
    </row>
    <row r="467" spans="5:5" ht="20.399999999999999">
      <c r="E467" s="102"/>
    </row>
    <row r="468" spans="5:5" ht="20.399999999999999">
      <c r="E468" s="102"/>
    </row>
    <row r="469" spans="5:5" ht="20.399999999999999">
      <c r="E469" s="102"/>
    </row>
    <row r="470" spans="5:5" ht="20.399999999999999">
      <c r="E470" s="102"/>
    </row>
    <row r="471" spans="5:5" ht="20.399999999999999">
      <c r="E471" s="102"/>
    </row>
    <row r="472" spans="5:5" ht="20.399999999999999">
      <c r="E472" s="102"/>
    </row>
    <row r="473" spans="5:5" ht="20.399999999999999">
      <c r="E473" s="102"/>
    </row>
    <row r="474" spans="5:5" ht="20.399999999999999">
      <c r="E474" s="102"/>
    </row>
    <row r="475" spans="5:5" ht="20.399999999999999">
      <c r="E475" s="102"/>
    </row>
    <row r="476" spans="5:5" ht="20.399999999999999">
      <c r="E476" s="102"/>
    </row>
    <row r="477" spans="5:5" ht="20.399999999999999">
      <c r="E477" s="102"/>
    </row>
    <row r="478" spans="5:5" ht="20.399999999999999">
      <c r="E478" s="102"/>
    </row>
    <row r="479" spans="5:5" ht="20.399999999999999">
      <c r="E479" s="102"/>
    </row>
    <row r="480" spans="5:5" ht="20.399999999999999">
      <c r="E480" s="102"/>
    </row>
    <row r="481" spans="5:5" ht="20.399999999999999">
      <c r="E481" s="102"/>
    </row>
    <row r="482" spans="5:5" ht="20.399999999999999">
      <c r="E482" s="102"/>
    </row>
    <row r="483" spans="5:5" ht="20.399999999999999">
      <c r="E483" s="102"/>
    </row>
    <row r="484" spans="5:5" ht="20.399999999999999">
      <c r="E484" s="102"/>
    </row>
    <row r="485" spans="5:5" ht="20.399999999999999">
      <c r="E485" s="102"/>
    </row>
    <row r="486" spans="5:5" ht="20.399999999999999">
      <c r="E486" s="102"/>
    </row>
    <row r="487" spans="5:5" ht="20.399999999999999">
      <c r="E487" s="102"/>
    </row>
    <row r="488" spans="5:5" ht="20.399999999999999">
      <c r="E488" s="102"/>
    </row>
    <row r="489" spans="5:5" ht="20.399999999999999">
      <c r="E489" s="102"/>
    </row>
    <row r="490" spans="5:5" ht="20.399999999999999">
      <c r="E490" s="102"/>
    </row>
    <row r="491" spans="5:5" ht="20.399999999999999">
      <c r="E491" s="102"/>
    </row>
    <row r="492" spans="5:5" ht="20.399999999999999">
      <c r="E492" s="102"/>
    </row>
    <row r="493" spans="5:5" ht="20.399999999999999">
      <c r="E493" s="102"/>
    </row>
    <row r="494" spans="5:5" ht="20.399999999999999">
      <c r="E494" s="102"/>
    </row>
    <row r="495" spans="5:5" ht="20.399999999999999">
      <c r="E495" s="102"/>
    </row>
    <row r="496" spans="5:5" ht="20.399999999999999">
      <c r="E496" s="102"/>
    </row>
    <row r="497" spans="5:5" ht="20.399999999999999">
      <c r="E497" s="102"/>
    </row>
    <row r="498" spans="5:5" ht="20.399999999999999">
      <c r="E498" s="102"/>
    </row>
    <row r="499" spans="5:5" ht="20.399999999999999">
      <c r="E499" s="102"/>
    </row>
    <row r="500" spans="5:5" ht="20.399999999999999">
      <c r="E500" s="102"/>
    </row>
    <row r="501" spans="5:5" ht="20.399999999999999">
      <c r="E501" s="102"/>
    </row>
    <row r="502" spans="5:5" ht="20.399999999999999">
      <c r="E502" s="102"/>
    </row>
    <row r="503" spans="5:5" ht="20.399999999999999">
      <c r="E503" s="102"/>
    </row>
    <row r="504" spans="5:5" ht="20.399999999999999">
      <c r="E504" s="102"/>
    </row>
    <row r="505" spans="5:5" ht="20.399999999999999">
      <c r="E505" s="102"/>
    </row>
    <row r="506" spans="5:5" ht="20.399999999999999">
      <c r="E506" s="102"/>
    </row>
    <row r="507" spans="5:5" ht="20.399999999999999">
      <c r="E507" s="102"/>
    </row>
    <row r="508" spans="5:5" ht="20.399999999999999">
      <c r="E508" s="102"/>
    </row>
    <row r="509" spans="5:5" ht="20.399999999999999">
      <c r="E509" s="102"/>
    </row>
    <row r="510" spans="5:5" ht="20.399999999999999">
      <c r="E510" s="102"/>
    </row>
    <row r="511" spans="5:5" ht="20.399999999999999">
      <c r="E511" s="102"/>
    </row>
    <row r="512" spans="5:5" ht="20.399999999999999">
      <c r="E512" s="102"/>
    </row>
    <row r="513" spans="5:5" ht="20.399999999999999">
      <c r="E513" s="102"/>
    </row>
    <row r="514" spans="5:5" ht="20.399999999999999">
      <c r="E514" s="102"/>
    </row>
    <row r="515" spans="5:5" ht="20.399999999999999">
      <c r="E515" s="102"/>
    </row>
    <row r="516" spans="5:5" ht="20.399999999999999">
      <c r="E516" s="102"/>
    </row>
    <row r="517" spans="5:5" ht="20.399999999999999">
      <c r="E517" s="102"/>
    </row>
    <row r="518" spans="5:5" ht="20.399999999999999">
      <c r="E518" s="102"/>
    </row>
    <row r="519" spans="5:5" ht="20.399999999999999">
      <c r="E519" s="102"/>
    </row>
    <row r="520" spans="5:5" ht="20.399999999999999">
      <c r="E520" s="102"/>
    </row>
    <row r="521" spans="5:5" ht="20.399999999999999">
      <c r="E521" s="102"/>
    </row>
    <row r="522" spans="5:5" ht="20.399999999999999">
      <c r="E522" s="102"/>
    </row>
    <row r="523" spans="5:5" ht="20.399999999999999">
      <c r="E523" s="102"/>
    </row>
    <row r="524" spans="5:5" ht="20.399999999999999">
      <c r="E524" s="102"/>
    </row>
    <row r="525" spans="5:5" ht="20.399999999999999">
      <c r="E525" s="102"/>
    </row>
    <row r="526" spans="5:5" ht="20.399999999999999">
      <c r="E526" s="102"/>
    </row>
    <row r="527" spans="5:5" ht="20.399999999999999">
      <c r="E527" s="102"/>
    </row>
    <row r="528" spans="5:5" ht="20.399999999999999">
      <c r="E528" s="102"/>
    </row>
    <row r="529" spans="5:5" ht="20.399999999999999">
      <c r="E529" s="102"/>
    </row>
    <row r="530" spans="5:5" ht="20.399999999999999">
      <c r="E530" s="102"/>
    </row>
    <row r="531" spans="5:5" ht="20.399999999999999">
      <c r="E531" s="102"/>
    </row>
    <row r="532" spans="5:5" ht="20.399999999999999">
      <c r="E532" s="102"/>
    </row>
    <row r="533" spans="5:5" ht="20.399999999999999">
      <c r="E533" s="102"/>
    </row>
    <row r="534" spans="5:5" ht="20.399999999999999">
      <c r="E534" s="102"/>
    </row>
    <row r="535" spans="5:5" ht="20.399999999999999">
      <c r="E535" s="102"/>
    </row>
    <row r="536" spans="5:5" ht="20.399999999999999">
      <c r="E536" s="102"/>
    </row>
    <row r="537" spans="5:5" ht="20.399999999999999">
      <c r="E537" s="102"/>
    </row>
    <row r="538" spans="5:5" ht="20.399999999999999">
      <c r="E538" s="102"/>
    </row>
    <row r="539" spans="5:5" ht="20.399999999999999">
      <c r="E539" s="102"/>
    </row>
    <row r="540" spans="5:5" ht="20.399999999999999">
      <c r="E540" s="102"/>
    </row>
    <row r="541" spans="5:5" ht="20.399999999999999">
      <c r="E541" s="102"/>
    </row>
    <row r="542" spans="5:5" ht="20.399999999999999">
      <c r="E542" s="102"/>
    </row>
    <row r="543" spans="5:5" ht="20.399999999999999">
      <c r="E543" s="102"/>
    </row>
    <row r="544" spans="5:5" ht="20.399999999999999">
      <c r="E544" s="102"/>
    </row>
    <row r="545" spans="5:5" ht="20.399999999999999">
      <c r="E545" s="102"/>
    </row>
    <row r="546" spans="5:5" ht="20.399999999999999">
      <c r="E546" s="102"/>
    </row>
    <row r="547" spans="5:5" ht="20.399999999999999">
      <c r="E547" s="102"/>
    </row>
    <row r="548" spans="5:5" ht="20.399999999999999">
      <c r="E548" s="102"/>
    </row>
    <row r="549" spans="5:5" ht="20.399999999999999">
      <c r="E549" s="102"/>
    </row>
    <row r="550" spans="5:5" ht="20.399999999999999">
      <c r="E550" s="102"/>
    </row>
    <row r="551" spans="5:5" ht="20.399999999999999">
      <c r="E551" s="102"/>
    </row>
    <row r="552" spans="5:5" ht="20.399999999999999">
      <c r="E552" s="102"/>
    </row>
    <row r="553" spans="5:5" ht="20.399999999999999">
      <c r="E553" s="102"/>
    </row>
    <row r="554" spans="5:5" ht="20.399999999999999">
      <c r="E554" s="102"/>
    </row>
    <row r="555" spans="5:5" ht="20.399999999999999">
      <c r="E555" s="102"/>
    </row>
    <row r="556" spans="5:5" ht="20.399999999999999">
      <c r="E556" s="102"/>
    </row>
    <row r="557" spans="5:5" ht="20.399999999999999">
      <c r="E557" s="102"/>
    </row>
    <row r="558" spans="5:5" ht="20.399999999999999">
      <c r="E558" s="102"/>
    </row>
    <row r="559" spans="5:5" ht="20.399999999999999">
      <c r="E559" s="102"/>
    </row>
    <row r="560" spans="5:5" ht="20.399999999999999">
      <c r="E560" s="102"/>
    </row>
    <row r="561" spans="5:5" ht="20.399999999999999">
      <c r="E561" s="102"/>
    </row>
    <row r="562" spans="5:5" ht="20.399999999999999">
      <c r="E562" s="102"/>
    </row>
    <row r="563" spans="5:5" ht="20.399999999999999">
      <c r="E563" s="102"/>
    </row>
    <row r="564" spans="5:5" ht="20.399999999999999">
      <c r="E564" s="102"/>
    </row>
    <row r="565" spans="5:5" ht="20.399999999999999">
      <c r="E565" s="102"/>
    </row>
    <row r="566" spans="5:5" ht="20.399999999999999">
      <c r="E566" s="102"/>
    </row>
    <row r="567" spans="5:5" ht="20.399999999999999">
      <c r="E567" s="102"/>
    </row>
    <row r="568" spans="5:5" ht="20.399999999999999">
      <c r="E568" s="102"/>
    </row>
    <row r="569" spans="5:5" ht="20.399999999999999">
      <c r="E569" s="102"/>
    </row>
    <row r="570" spans="5:5" ht="20.399999999999999">
      <c r="E570" s="102"/>
    </row>
    <row r="571" spans="5:5" ht="20.399999999999999">
      <c r="E571" s="102"/>
    </row>
    <row r="572" spans="5:5" ht="20.399999999999999">
      <c r="E572" s="102"/>
    </row>
    <row r="573" spans="5:5" ht="20.399999999999999">
      <c r="E573" s="102"/>
    </row>
    <row r="574" spans="5:5" ht="20.399999999999999">
      <c r="E574" s="102"/>
    </row>
    <row r="575" spans="5:5" ht="20.399999999999999">
      <c r="E575" s="102"/>
    </row>
    <row r="576" spans="5:5" ht="20.399999999999999">
      <c r="E576" s="102"/>
    </row>
    <row r="577" spans="5:5" ht="20.399999999999999">
      <c r="E577" s="102"/>
    </row>
    <row r="578" spans="5:5" ht="20.399999999999999">
      <c r="E578" s="102"/>
    </row>
    <row r="579" spans="5:5" ht="20.399999999999999">
      <c r="E579" s="102"/>
    </row>
    <row r="580" spans="5:5" ht="20.399999999999999">
      <c r="E580" s="102"/>
    </row>
    <row r="581" spans="5:5" ht="20.399999999999999">
      <c r="E581" s="102"/>
    </row>
    <row r="582" spans="5:5" ht="20.399999999999999">
      <c r="E582" s="102"/>
    </row>
    <row r="583" spans="5:5" ht="20.399999999999999">
      <c r="E583" s="102"/>
    </row>
    <row r="584" spans="5:5" ht="20.399999999999999">
      <c r="E584" s="102"/>
    </row>
    <row r="585" spans="5:5" ht="20.399999999999999">
      <c r="E585" s="102"/>
    </row>
    <row r="586" spans="5:5" ht="20.399999999999999">
      <c r="E586" s="102"/>
    </row>
    <row r="587" spans="5:5" ht="20.399999999999999">
      <c r="E587" s="102"/>
    </row>
    <row r="588" spans="5:5" ht="20.399999999999999">
      <c r="E588" s="102"/>
    </row>
    <row r="589" spans="5:5" ht="20.399999999999999">
      <c r="E589" s="102"/>
    </row>
    <row r="590" spans="5:5" ht="20.399999999999999">
      <c r="E590" s="102"/>
    </row>
    <row r="591" spans="5:5" ht="20.399999999999999">
      <c r="E591" s="102"/>
    </row>
    <row r="592" spans="5:5" ht="20.399999999999999">
      <c r="E592" s="102"/>
    </row>
    <row r="593" spans="5:5" ht="20.399999999999999">
      <c r="E593" s="102"/>
    </row>
    <row r="594" spans="5:5" ht="20.399999999999999">
      <c r="E594" s="102"/>
    </row>
    <row r="595" spans="5:5" ht="20.399999999999999">
      <c r="E595" s="102"/>
    </row>
    <row r="596" spans="5:5" ht="20.399999999999999">
      <c r="E596" s="102"/>
    </row>
    <row r="597" spans="5:5" ht="20.399999999999999">
      <c r="E597" s="102"/>
    </row>
    <row r="598" spans="5:5" ht="20.399999999999999">
      <c r="E598" s="102"/>
    </row>
    <row r="599" spans="5:5" ht="20.399999999999999">
      <c r="E599" s="102"/>
    </row>
    <row r="600" spans="5:5" ht="20.399999999999999">
      <c r="E600" s="102"/>
    </row>
    <row r="601" spans="5:5" ht="20.399999999999999">
      <c r="E601" s="102"/>
    </row>
    <row r="602" spans="5:5" ht="20.399999999999999">
      <c r="E602" s="102"/>
    </row>
    <row r="603" spans="5:5" ht="20.399999999999999">
      <c r="E603" s="102"/>
    </row>
    <row r="604" spans="5:5" ht="20.399999999999999">
      <c r="E604" s="102"/>
    </row>
    <row r="605" spans="5:5" ht="20.399999999999999">
      <c r="E605" s="102"/>
    </row>
    <row r="606" spans="5:5" ht="20.399999999999999">
      <c r="E606" s="102"/>
    </row>
    <row r="607" spans="5:5" ht="20.399999999999999">
      <c r="E607" s="102"/>
    </row>
    <row r="608" spans="5:5" ht="20.399999999999999">
      <c r="E608" s="102"/>
    </row>
    <row r="609" spans="5:5" ht="20.399999999999999">
      <c r="E609" s="102"/>
    </row>
    <row r="610" spans="5:5" ht="20.399999999999999">
      <c r="E610" s="102"/>
    </row>
    <row r="611" spans="5:5" ht="20.399999999999999">
      <c r="E611" s="102"/>
    </row>
    <row r="612" spans="5:5" ht="20.399999999999999">
      <c r="E612" s="102"/>
    </row>
    <row r="613" spans="5:5" ht="20.399999999999999">
      <c r="E613" s="102"/>
    </row>
    <row r="614" spans="5:5" ht="20.399999999999999">
      <c r="E614" s="102"/>
    </row>
    <row r="615" spans="5:5" ht="20.399999999999999">
      <c r="E615" s="102"/>
    </row>
    <row r="616" spans="5:5" ht="20.399999999999999">
      <c r="E616" s="102"/>
    </row>
    <row r="617" spans="5:5" ht="20.399999999999999">
      <c r="E617" s="102"/>
    </row>
    <row r="618" spans="5:5" ht="20.399999999999999">
      <c r="E618" s="102"/>
    </row>
    <row r="619" spans="5:5" ht="20.399999999999999">
      <c r="E619" s="102"/>
    </row>
    <row r="620" spans="5:5" ht="20.399999999999999">
      <c r="E620" s="102"/>
    </row>
    <row r="621" spans="5:5" ht="20.399999999999999">
      <c r="E621" s="102"/>
    </row>
    <row r="622" spans="5:5" ht="20.399999999999999">
      <c r="E622" s="102"/>
    </row>
    <row r="623" spans="5:5" ht="20.399999999999999">
      <c r="E623" s="102"/>
    </row>
    <row r="624" spans="5:5" ht="20.399999999999999">
      <c r="E624" s="102"/>
    </row>
    <row r="625" spans="5:5" ht="20.399999999999999">
      <c r="E625" s="102"/>
    </row>
    <row r="626" spans="5:5" ht="20.399999999999999">
      <c r="E626" s="102"/>
    </row>
    <row r="627" spans="5:5" ht="20.399999999999999">
      <c r="E627" s="102"/>
    </row>
    <row r="628" spans="5:5" ht="20.399999999999999">
      <c r="E628" s="102"/>
    </row>
    <row r="629" spans="5:5" ht="20.399999999999999">
      <c r="E629" s="102"/>
    </row>
    <row r="630" spans="5:5" ht="20.399999999999999">
      <c r="E630" s="102"/>
    </row>
    <row r="631" spans="5:5" ht="20.399999999999999">
      <c r="E631" s="102"/>
    </row>
    <row r="632" spans="5:5" ht="20.399999999999999">
      <c r="E632" s="102"/>
    </row>
    <row r="633" spans="5:5" ht="20.399999999999999">
      <c r="E633" s="102"/>
    </row>
    <row r="634" spans="5:5" ht="20.399999999999999">
      <c r="E634" s="102"/>
    </row>
    <row r="635" spans="5:5" ht="20.399999999999999">
      <c r="E635" s="102"/>
    </row>
    <row r="636" spans="5:5" ht="20.399999999999999">
      <c r="E636" s="102"/>
    </row>
    <row r="637" spans="5:5" ht="20.399999999999999">
      <c r="E637" s="102"/>
    </row>
    <row r="638" spans="5:5" ht="20.399999999999999">
      <c r="E638" s="102"/>
    </row>
    <row r="639" spans="5:5" ht="20.399999999999999">
      <c r="E639" s="102"/>
    </row>
    <row r="640" spans="5:5" ht="20.399999999999999">
      <c r="E640" s="102"/>
    </row>
    <row r="641" spans="5:5" ht="20.399999999999999">
      <c r="E641" s="102"/>
    </row>
    <row r="642" spans="5:5" ht="20.399999999999999">
      <c r="E642" s="102"/>
    </row>
    <row r="643" spans="5:5" ht="20.399999999999999">
      <c r="E643" s="102"/>
    </row>
    <row r="644" spans="5:5" ht="20.399999999999999">
      <c r="E644" s="102"/>
    </row>
    <row r="645" spans="5:5" ht="20.399999999999999">
      <c r="E645" s="102"/>
    </row>
    <row r="646" spans="5:5" ht="20.399999999999999">
      <c r="E646" s="102"/>
    </row>
    <row r="647" spans="5:5" ht="20.399999999999999">
      <c r="E647" s="102"/>
    </row>
    <row r="648" spans="5:5" ht="20.399999999999999">
      <c r="E648" s="102"/>
    </row>
    <row r="649" spans="5:5" ht="20.399999999999999">
      <c r="E649" s="102"/>
    </row>
    <row r="650" spans="5:5" ht="20.399999999999999">
      <c r="E650" s="102"/>
    </row>
    <row r="651" spans="5:5" ht="20.399999999999999">
      <c r="E651" s="102"/>
    </row>
    <row r="652" spans="5:5" ht="20.399999999999999">
      <c r="E652" s="102"/>
    </row>
    <row r="653" spans="5:5" ht="20.399999999999999">
      <c r="E653" s="102"/>
    </row>
    <row r="654" spans="5:5" ht="20.399999999999999">
      <c r="E654" s="102"/>
    </row>
    <row r="655" spans="5:5" ht="20.399999999999999">
      <c r="E655" s="102"/>
    </row>
    <row r="656" spans="5:5" ht="20.399999999999999">
      <c r="E656" s="102"/>
    </row>
    <row r="657" spans="5:5" ht="20.399999999999999">
      <c r="E657" s="102"/>
    </row>
    <row r="658" spans="5:5" ht="20.399999999999999">
      <c r="E658" s="102"/>
    </row>
    <row r="659" spans="5:5" ht="20.399999999999999">
      <c r="E659" s="102"/>
    </row>
    <row r="660" spans="5:5" ht="20.399999999999999">
      <c r="E660" s="102"/>
    </row>
    <row r="661" spans="5:5" ht="20.399999999999999">
      <c r="E661" s="102"/>
    </row>
    <row r="662" spans="5:5" ht="20.399999999999999">
      <c r="E662" s="102"/>
    </row>
    <row r="663" spans="5:5" ht="20.399999999999999">
      <c r="E663" s="102"/>
    </row>
    <row r="664" spans="5:5" ht="20.399999999999999">
      <c r="E664" s="102"/>
    </row>
    <row r="665" spans="5:5" ht="20.399999999999999">
      <c r="E665" s="102"/>
    </row>
    <row r="666" spans="5:5" ht="20.399999999999999">
      <c r="E666" s="102"/>
    </row>
    <row r="667" spans="5:5" ht="20.399999999999999">
      <c r="E667" s="102"/>
    </row>
    <row r="668" spans="5:5" ht="20.399999999999999">
      <c r="E668" s="102"/>
    </row>
    <row r="669" spans="5:5" ht="20.399999999999999">
      <c r="E669" s="102"/>
    </row>
    <row r="670" spans="5:5" ht="20.399999999999999">
      <c r="E670" s="102"/>
    </row>
    <row r="671" spans="5:5" ht="20.399999999999999">
      <c r="E671" s="102"/>
    </row>
    <row r="672" spans="5:5" ht="20.399999999999999">
      <c r="E672" s="102"/>
    </row>
    <row r="673" spans="5:5" ht="20.399999999999999">
      <c r="E673" s="102"/>
    </row>
    <row r="674" spans="5:5" ht="20.399999999999999">
      <c r="E674" s="102"/>
    </row>
    <row r="675" spans="5:5" ht="20.399999999999999">
      <c r="E675" s="102"/>
    </row>
    <row r="676" spans="5:5" ht="20.399999999999999">
      <c r="E676" s="102"/>
    </row>
    <row r="677" spans="5:5" ht="20.399999999999999">
      <c r="E677" s="102"/>
    </row>
    <row r="678" spans="5:5" ht="20.399999999999999">
      <c r="E678" s="102"/>
    </row>
    <row r="679" spans="5:5" ht="20.399999999999999">
      <c r="E679" s="102"/>
    </row>
    <row r="680" spans="5:5" ht="20.399999999999999">
      <c r="E680" s="102"/>
    </row>
    <row r="681" spans="5:5" ht="20.399999999999999">
      <c r="E681" s="102"/>
    </row>
    <row r="682" spans="5:5" ht="20.399999999999999">
      <c r="E682" s="102"/>
    </row>
    <row r="683" spans="5:5" ht="20.399999999999999">
      <c r="E683" s="102"/>
    </row>
    <row r="684" spans="5:5" ht="20.399999999999999">
      <c r="E684" s="102"/>
    </row>
    <row r="685" spans="5:5" ht="20.399999999999999">
      <c r="E685" s="102"/>
    </row>
    <row r="686" spans="5:5" ht="20.399999999999999">
      <c r="E686" s="102"/>
    </row>
    <row r="687" spans="5:5" ht="20.399999999999999">
      <c r="E687" s="102"/>
    </row>
    <row r="688" spans="5:5" ht="20.399999999999999">
      <c r="E688" s="102"/>
    </row>
    <row r="689" spans="5:5" ht="20.399999999999999">
      <c r="E689" s="102"/>
    </row>
    <row r="690" spans="5:5" ht="20.399999999999999">
      <c r="E690" s="102"/>
    </row>
    <row r="691" spans="5:5" ht="20.399999999999999">
      <c r="E691" s="102"/>
    </row>
    <row r="692" spans="5:5" ht="20.399999999999999">
      <c r="E692" s="102"/>
    </row>
    <row r="693" spans="5:5" ht="20.399999999999999">
      <c r="E693" s="102"/>
    </row>
    <row r="694" spans="5:5" ht="20.399999999999999">
      <c r="E694" s="102"/>
    </row>
    <row r="695" spans="5:5" ht="20.399999999999999">
      <c r="E695" s="102"/>
    </row>
    <row r="696" spans="5:5" ht="20.399999999999999">
      <c r="E696" s="102"/>
    </row>
    <row r="697" spans="5:5" ht="20.399999999999999">
      <c r="E697" s="102"/>
    </row>
    <row r="698" spans="5:5" ht="20.399999999999999">
      <c r="E698" s="102"/>
    </row>
    <row r="699" spans="5:5" ht="20.399999999999999">
      <c r="E699" s="102"/>
    </row>
    <row r="700" spans="5:5" ht="20.399999999999999">
      <c r="E700" s="102"/>
    </row>
    <row r="701" spans="5:5" ht="20.399999999999999">
      <c r="E701" s="102"/>
    </row>
    <row r="702" spans="5:5" ht="20.399999999999999">
      <c r="E702" s="102"/>
    </row>
    <row r="703" spans="5:5" ht="20.399999999999999">
      <c r="E703" s="102"/>
    </row>
    <row r="704" spans="5:5" ht="20.399999999999999">
      <c r="E704" s="102"/>
    </row>
    <row r="705" spans="5:5" ht="20.399999999999999">
      <c r="E705" s="102"/>
    </row>
    <row r="706" spans="5:5" ht="20.399999999999999">
      <c r="E706" s="102"/>
    </row>
    <row r="707" spans="5:5" ht="20.399999999999999">
      <c r="E707" s="102"/>
    </row>
    <row r="708" spans="5:5" ht="20.399999999999999">
      <c r="E708" s="102"/>
    </row>
    <row r="709" spans="5:5" ht="20.399999999999999">
      <c r="E709" s="102"/>
    </row>
    <row r="710" spans="5:5" ht="20.399999999999999">
      <c r="E710" s="102"/>
    </row>
    <row r="711" spans="5:5" ht="20.399999999999999">
      <c r="E711" s="102"/>
    </row>
    <row r="712" spans="5:5" ht="20.399999999999999">
      <c r="E712" s="102"/>
    </row>
    <row r="713" spans="5:5" ht="20.399999999999999">
      <c r="E713" s="102"/>
    </row>
    <row r="714" spans="5:5" ht="20.399999999999999">
      <c r="E714" s="102"/>
    </row>
    <row r="715" spans="5:5" ht="20.399999999999999">
      <c r="E715" s="102"/>
    </row>
    <row r="716" spans="5:5" ht="20.399999999999999">
      <c r="E716" s="102"/>
    </row>
    <row r="717" spans="5:5" ht="20.399999999999999">
      <c r="E717" s="102"/>
    </row>
    <row r="718" spans="5:5" ht="20.399999999999999">
      <c r="E718" s="102"/>
    </row>
    <row r="719" spans="5:5" ht="20.399999999999999">
      <c r="E719" s="102"/>
    </row>
    <row r="720" spans="5:5" ht="20.399999999999999">
      <c r="E720" s="102"/>
    </row>
    <row r="721" spans="5:5" ht="20.399999999999999">
      <c r="E721" s="102"/>
    </row>
    <row r="722" spans="5:5" ht="20.399999999999999">
      <c r="E722" s="102"/>
    </row>
    <row r="723" spans="5:5" ht="20.399999999999999">
      <c r="E723" s="102"/>
    </row>
    <row r="724" spans="5:5" ht="20.399999999999999">
      <c r="E724" s="102"/>
    </row>
    <row r="725" spans="5:5" ht="20.399999999999999">
      <c r="E725" s="102"/>
    </row>
    <row r="726" spans="5:5" ht="20.399999999999999">
      <c r="E726" s="102"/>
    </row>
    <row r="727" spans="5:5" ht="20.399999999999999">
      <c r="E727" s="102"/>
    </row>
    <row r="728" spans="5:5" ht="20.399999999999999">
      <c r="E728" s="102"/>
    </row>
    <row r="729" spans="5:5" ht="20.399999999999999">
      <c r="E729" s="102"/>
    </row>
    <row r="730" spans="5:5" ht="20.399999999999999">
      <c r="E730" s="102"/>
    </row>
    <row r="731" spans="5:5" ht="20.399999999999999">
      <c r="E731" s="102"/>
    </row>
    <row r="732" spans="5:5" ht="20.399999999999999">
      <c r="E732" s="102"/>
    </row>
    <row r="733" spans="5:5" ht="20.399999999999999">
      <c r="E733" s="102"/>
    </row>
    <row r="734" spans="5:5" ht="20.399999999999999">
      <c r="E734" s="102"/>
    </row>
    <row r="735" spans="5:5" ht="20.399999999999999">
      <c r="E735" s="102"/>
    </row>
    <row r="736" spans="5:5" ht="20.399999999999999">
      <c r="E736" s="102"/>
    </row>
    <row r="737" spans="5:5" ht="20.399999999999999">
      <c r="E737" s="102"/>
    </row>
    <row r="738" spans="5:5" ht="20.399999999999999">
      <c r="E738" s="102"/>
    </row>
    <row r="739" spans="5:5" ht="20.399999999999999">
      <c r="E739" s="102"/>
    </row>
    <row r="740" spans="5:5" ht="20.399999999999999">
      <c r="E740" s="102"/>
    </row>
    <row r="741" spans="5:5" ht="20.399999999999999">
      <c r="E741" s="102"/>
    </row>
    <row r="742" spans="5:5" ht="20.399999999999999">
      <c r="E742" s="102"/>
    </row>
    <row r="743" spans="5:5" ht="20.399999999999999">
      <c r="E743" s="102"/>
    </row>
    <row r="744" spans="5:5" ht="20.399999999999999">
      <c r="E744" s="102"/>
    </row>
    <row r="745" spans="5:5" ht="20.399999999999999">
      <c r="E745" s="102"/>
    </row>
    <row r="746" spans="5:5" ht="20.399999999999999">
      <c r="E746" s="102"/>
    </row>
    <row r="747" spans="5:5" ht="20.399999999999999">
      <c r="E747" s="102"/>
    </row>
    <row r="748" spans="5:5" ht="20.399999999999999">
      <c r="E748" s="102"/>
    </row>
    <row r="749" spans="5:5" ht="20.399999999999999">
      <c r="E749" s="102"/>
    </row>
    <row r="750" spans="5:5" ht="20.399999999999999">
      <c r="E750" s="102"/>
    </row>
    <row r="751" spans="5:5" ht="20.399999999999999">
      <c r="E751" s="102"/>
    </row>
    <row r="752" spans="5:5" ht="20.399999999999999">
      <c r="E752" s="102"/>
    </row>
    <row r="753" spans="5:5" ht="20.399999999999999">
      <c r="E753" s="102"/>
    </row>
    <row r="754" spans="5:5" ht="20.399999999999999">
      <c r="E754" s="102"/>
    </row>
    <row r="755" spans="5:5" ht="20.399999999999999">
      <c r="E755" s="102"/>
    </row>
    <row r="756" spans="5:5" ht="20.399999999999999">
      <c r="E756" s="102"/>
    </row>
    <row r="757" spans="5:5" ht="20.399999999999999">
      <c r="E757" s="102"/>
    </row>
    <row r="758" spans="5:5" ht="20.399999999999999">
      <c r="E758" s="102"/>
    </row>
    <row r="759" spans="5:5" ht="20.399999999999999">
      <c r="E759" s="102"/>
    </row>
    <row r="760" spans="5:5" ht="20.399999999999999">
      <c r="E760" s="102"/>
    </row>
    <row r="761" spans="5:5" ht="20.399999999999999">
      <c r="E761" s="102"/>
    </row>
    <row r="762" spans="5:5" ht="20.399999999999999">
      <c r="E762" s="102"/>
    </row>
    <row r="763" spans="5:5" ht="20.399999999999999">
      <c r="E763" s="102"/>
    </row>
    <row r="764" spans="5:5" ht="20.399999999999999">
      <c r="E764" s="102"/>
    </row>
    <row r="765" spans="5:5" ht="20.399999999999999">
      <c r="E765" s="102"/>
    </row>
    <row r="766" spans="5:5" ht="20.399999999999999">
      <c r="E766" s="102"/>
    </row>
    <row r="767" spans="5:5" ht="20.399999999999999">
      <c r="E767" s="102"/>
    </row>
    <row r="768" spans="5:5" ht="20.399999999999999">
      <c r="E768" s="102"/>
    </row>
    <row r="769" spans="5:5" ht="20.399999999999999">
      <c r="E769" s="102"/>
    </row>
    <row r="770" spans="5:5" ht="20.399999999999999">
      <c r="E770" s="102"/>
    </row>
    <row r="771" spans="5:5" ht="20.399999999999999">
      <c r="E771" s="102"/>
    </row>
    <row r="772" spans="5:5" ht="20.399999999999999">
      <c r="E772" s="102"/>
    </row>
    <row r="773" spans="5:5" ht="20.399999999999999">
      <c r="E773" s="102"/>
    </row>
    <row r="774" spans="5:5" ht="20.399999999999999">
      <c r="E774" s="102"/>
    </row>
    <row r="775" spans="5:5" ht="20.399999999999999">
      <c r="E775" s="102"/>
    </row>
    <row r="776" spans="5:5" ht="20.399999999999999">
      <c r="E776" s="102"/>
    </row>
    <row r="777" spans="5:5" ht="20.399999999999999">
      <c r="E777" s="102"/>
    </row>
    <row r="778" spans="5:5" ht="20.399999999999999">
      <c r="E778" s="102"/>
    </row>
    <row r="779" spans="5:5" ht="20.399999999999999">
      <c r="E779" s="102"/>
    </row>
    <row r="780" spans="5:5" ht="20.399999999999999">
      <c r="E780" s="102"/>
    </row>
    <row r="781" spans="5:5" ht="20.399999999999999">
      <c r="E781" s="102"/>
    </row>
    <row r="782" spans="5:5" ht="20.399999999999999">
      <c r="E782" s="102"/>
    </row>
    <row r="783" spans="5:5" ht="20.399999999999999">
      <c r="E783" s="102"/>
    </row>
    <row r="784" spans="5:5" ht="20.399999999999999">
      <c r="E784" s="102"/>
    </row>
    <row r="785" spans="5:5" ht="20.399999999999999">
      <c r="E785" s="102"/>
    </row>
    <row r="786" spans="5:5" ht="20.399999999999999">
      <c r="E786" s="102"/>
    </row>
    <row r="787" spans="5:5" ht="20.399999999999999">
      <c r="E787" s="102"/>
    </row>
    <row r="788" spans="5:5" ht="20.399999999999999">
      <c r="E788" s="102"/>
    </row>
    <row r="789" spans="5:5" ht="20.399999999999999">
      <c r="E789" s="102"/>
    </row>
    <row r="790" spans="5:5" ht="20.399999999999999">
      <c r="E790" s="102"/>
    </row>
    <row r="791" spans="5:5" ht="20.399999999999999">
      <c r="E791" s="102"/>
    </row>
    <row r="792" spans="5:5" ht="20.399999999999999">
      <c r="E792" s="102"/>
    </row>
    <row r="793" spans="5:5" ht="20.399999999999999">
      <c r="E793" s="102"/>
    </row>
    <row r="794" spans="5:5" ht="20.399999999999999">
      <c r="E794" s="102"/>
    </row>
    <row r="795" spans="5:5" ht="20.399999999999999">
      <c r="E795" s="102"/>
    </row>
    <row r="796" spans="5:5" ht="20.399999999999999">
      <c r="E796" s="102"/>
    </row>
    <row r="797" spans="5:5" ht="20.399999999999999">
      <c r="E797" s="102"/>
    </row>
    <row r="798" spans="5:5" ht="20.399999999999999">
      <c r="E798" s="102"/>
    </row>
    <row r="799" spans="5:5" ht="20.399999999999999">
      <c r="E799" s="102"/>
    </row>
    <row r="800" spans="5:5" ht="20.399999999999999">
      <c r="E800" s="102"/>
    </row>
    <row r="801" spans="5:5" ht="20.399999999999999">
      <c r="E801" s="102"/>
    </row>
    <row r="802" spans="5:5" ht="20.399999999999999">
      <c r="E802" s="102"/>
    </row>
    <row r="803" spans="5:5" ht="20.399999999999999">
      <c r="E803" s="102"/>
    </row>
    <row r="804" spans="5:5" ht="20.399999999999999">
      <c r="E804" s="102"/>
    </row>
    <row r="805" spans="5:5" ht="20.399999999999999">
      <c r="E805" s="102"/>
    </row>
    <row r="806" spans="5:5" ht="20.399999999999999">
      <c r="E806" s="102"/>
    </row>
    <row r="807" spans="5:5" ht="20.399999999999999">
      <c r="E807" s="102"/>
    </row>
    <row r="808" spans="5:5" ht="20.399999999999999">
      <c r="E808" s="102"/>
    </row>
    <row r="809" spans="5:5" ht="20.399999999999999">
      <c r="E809" s="102"/>
    </row>
    <row r="810" spans="5:5" ht="20.399999999999999">
      <c r="E810" s="102"/>
    </row>
    <row r="811" spans="5:5" ht="20.399999999999999">
      <c r="E811" s="102"/>
    </row>
    <row r="812" spans="5:5" ht="20.399999999999999">
      <c r="E812" s="102"/>
    </row>
    <row r="813" spans="5:5" ht="20.399999999999999">
      <c r="E813" s="102"/>
    </row>
    <row r="814" spans="5:5" ht="20.399999999999999">
      <c r="E814" s="102"/>
    </row>
    <row r="815" spans="5:5" ht="20.399999999999999">
      <c r="E815" s="102"/>
    </row>
    <row r="816" spans="5:5" ht="20.399999999999999">
      <c r="E816" s="102"/>
    </row>
    <row r="817" spans="5:5" ht="20.399999999999999">
      <c r="E817" s="102"/>
    </row>
    <row r="818" spans="5:5" ht="20.399999999999999">
      <c r="E818" s="102"/>
    </row>
    <row r="819" spans="5:5" ht="20.399999999999999">
      <c r="E819" s="102"/>
    </row>
    <row r="820" spans="5:5" ht="20.399999999999999">
      <c r="E820" s="102"/>
    </row>
    <row r="821" spans="5:5" ht="20.399999999999999">
      <c r="E821" s="102"/>
    </row>
    <row r="822" spans="5:5" ht="20.399999999999999">
      <c r="E822" s="102"/>
    </row>
    <row r="823" spans="5:5" ht="20.399999999999999">
      <c r="E823" s="102"/>
    </row>
    <row r="824" spans="5:5" ht="20.399999999999999">
      <c r="E824" s="102"/>
    </row>
    <row r="825" spans="5:5" ht="20.399999999999999">
      <c r="E825" s="102"/>
    </row>
    <row r="826" spans="5:5" ht="20.399999999999999">
      <c r="E826" s="102"/>
    </row>
    <row r="827" spans="5:5" ht="20.399999999999999">
      <c r="E827" s="102"/>
    </row>
    <row r="828" spans="5:5" ht="20.399999999999999">
      <c r="E828" s="102"/>
    </row>
    <row r="829" spans="5:5" ht="20.399999999999999">
      <c r="E829" s="102"/>
    </row>
    <row r="830" spans="5:5" ht="20.399999999999999">
      <c r="E830" s="102"/>
    </row>
    <row r="831" spans="5:5" ht="20.399999999999999">
      <c r="E831" s="102"/>
    </row>
    <row r="832" spans="5:5" ht="20.399999999999999">
      <c r="E832" s="102"/>
    </row>
    <row r="833" spans="5:5" ht="20.399999999999999">
      <c r="E833" s="102"/>
    </row>
    <row r="834" spans="5:5" ht="20.399999999999999">
      <c r="E834" s="102"/>
    </row>
    <row r="835" spans="5:5" ht="20.399999999999999">
      <c r="E835" s="102"/>
    </row>
    <row r="836" spans="5:5" ht="20.399999999999999">
      <c r="E836" s="102"/>
    </row>
    <row r="837" spans="5:5" ht="20.399999999999999">
      <c r="E837" s="102"/>
    </row>
    <row r="838" spans="5:5" ht="20.399999999999999">
      <c r="E838" s="102"/>
    </row>
    <row r="839" spans="5:5" ht="20.399999999999999">
      <c r="E839" s="102"/>
    </row>
    <row r="840" spans="5:5" ht="20.399999999999999">
      <c r="E840" s="102"/>
    </row>
    <row r="841" spans="5:5" ht="20.399999999999999">
      <c r="E841" s="102"/>
    </row>
    <row r="842" spans="5:5" ht="20.399999999999999">
      <c r="E842" s="102"/>
    </row>
    <row r="843" spans="5:5" ht="20.399999999999999">
      <c r="E843" s="102"/>
    </row>
    <row r="844" spans="5:5" ht="20.399999999999999">
      <c r="E844" s="102"/>
    </row>
    <row r="845" spans="5:5" ht="20.399999999999999">
      <c r="E845" s="102"/>
    </row>
    <row r="846" spans="5:5" ht="20.399999999999999">
      <c r="E846" s="102"/>
    </row>
    <row r="847" spans="5:5" ht="20.399999999999999">
      <c r="E847" s="102"/>
    </row>
    <row r="848" spans="5:5" ht="20.399999999999999">
      <c r="E848" s="102"/>
    </row>
    <row r="849" spans="5:5" ht="20.399999999999999">
      <c r="E849" s="102"/>
    </row>
    <row r="850" spans="5:5" ht="20.399999999999999">
      <c r="E850" s="102"/>
    </row>
    <row r="851" spans="5:5" ht="20.399999999999999">
      <c r="E851" s="102"/>
    </row>
    <row r="852" spans="5:5" ht="20.399999999999999">
      <c r="E852" s="102"/>
    </row>
    <row r="853" spans="5:5" ht="20.399999999999999">
      <c r="E853" s="102"/>
    </row>
    <row r="854" spans="5:5" ht="20.399999999999999">
      <c r="E854" s="102"/>
    </row>
    <row r="855" spans="5:5" ht="20.399999999999999">
      <c r="E855" s="102"/>
    </row>
    <row r="856" spans="5:5" ht="20.399999999999999">
      <c r="E856" s="102"/>
    </row>
    <row r="857" spans="5:5" ht="20.399999999999999">
      <c r="E857" s="102"/>
    </row>
    <row r="858" spans="5:5" ht="20.399999999999999">
      <c r="E858" s="102"/>
    </row>
    <row r="859" spans="5:5" ht="20.399999999999999">
      <c r="E859" s="102"/>
    </row>
    <row r="860" spans="5:5" ht="20.399999999999999">
      <c r="E860" s="102"/>
    </row>
    <row r="861" spans="5:5" ht="20.399999999999999">
      <c r="E861" s="102"/>
    </row>
    <row r="862" spans="5:5" ht="20.399999999999999">
      <c r="E862" s="102"/>
    </row>
    <row r="863" spans="5:5" ht="20.399999999999999">
      <c r="E863" s="102"/>
    </row>
    <row r="864" spans="5:5" ht="20.399999999999999">
      <c r="E864" s="102"/>
    </row>
    <row r="865" spans="5:5" ht="20.399999999999999">
      <c r="E865" s="102"/>
    </row>
    <row r="866" spans="5:5" ht="20.399999999999999">
      <c r="E866" s="102"/>
    </row>
    <row r="867" spans="5:5" ht="20.399999999999999">
      <c r="E867" s="102"/>
    </row>
    <row r="868" spans="5:5" ht="20.399999999999999">
      <c r="E868" s="102"/>
    </row>
    <row r="869" spans="5:5" ht="20.399999999999999">
      <c r="E869" s="102"/>
    </row>
    <row r="870" spans="5:5" ht="20.399999999999999">
      <c r="E870" s="102"/>
    </row>
    <row r="871" spans="5:5" ht="20.399999999999999">
      <c r="E871" s="102"/>
    </row>
    <row r="872" spans="5:5" ht="20.399999999999999">
      <c r="E872" s="102"/>
    </row>
    <row r="873" spans="5:5" ht="20.399999999999999">
      <c r="E873" s="102"/>
    </row>
    <row r="874" spans="5:5" ht="20.399999999999999">
      <c r="E874" s="102"/>
    </row>
    <row r="875" spans="5:5" ht="20.399999999999999">
      <c r="E875" s="102"/>
    </row>
    <row r="876" spans="5:5" ht="20.399999999999999">
      <c r="E876" s="102"/>
    </row>
    <row r="877" spans="5:5" ht="20.399999999999999">
      <c r="E877" s="102"/>
    </row>
    <row r="878" spans="5:5" ht="20.399999999999999">
      <c r="E878" s="102"/>
    </row>
    <row r="879" spans="5:5" ht="20.399999999999999">
      <c r="E879" s="102"/>
    </row>
    <row r="880" spans="5:5" ht="20.399999999999999">
      <c r="E880" s="102"/>
    </row>
    <row r="881" spans="5:5" ht="20.399999999999999">
      <c r="E881" s="102"/>
    </row>
    <row r="882" spans="5:5" ht="20.399999999999999">
      <c r="E882" s="102"/>
    </row>
    <row r="883" spans="5:5" ht="20.399999999999999">
      <c r="E883" s="102"/>
    </row>
    <row r="884" spans="5:5" ht="20.399999999999999">
      <c r="E884" s="102"/>
    </row>
    <row r="885" spans="5:5" ht="20.399999999999999">
      <c r="E885" s="102"/>
    </row>
    <row r="886" spans="5:5" ht="20.399999999999999">
      <c r="E886" s="102"/>
    </row>
    <row r="887" spans="5:5" ht="20.399999999999999">
      <c r="E887" s="102"/>
    </row>
    <row r="888" spans="5:5" ht="20.399999999999999">
      <c r="E888" s="102"/>
    </row>
    <row r="889" spans="5:5" ht="20.399999999999999">
      <c r="E889" s="102"/>
    </row>
    <row r="890" spans="5:5" ht="20.399999999999999">
      <c r="E890" s="102"/>
    </row>
    <row r="891" spans="5:5" ht="20.399999999999999">
      <c r="E891" s="102"/>
    </row>
    <row r="892" spans="5:5" ht="20.399999999999999">
      <c r="E892" s="102"/>
    </row>
    <row r="893" spans="5:5" ht="20.399999999999999">
      <c r="E893" s="102"/>
    </row>
    <row r="894" spans="5:5" ht="20.399999999999999">
      <c r="E894" s="102"/>
    </row>
    <row r="895" spans="5:5" ht="20.399999999999999">
      <c r="E895" s="102"/>
    </row>
    <row r="896" spans="5:5" ht="20.399999999999999">
      <c r="E896" s="102"/>
    </row>
    <row r="897" spans="5:5" ht="20.399999999999999">
      <c r="E897" s="102"/>
    </row>
    <row r="898" spans="5:5" ht="20.399999999999999">
      <c r="E898" s="102"/>
    </row>
    <row r="899" spans="5:5" ht="20.399999999999999">
      <c r="E899" s="102"/>
    </row>
    <row r="900" spans="5:5" ht="20.399999999999999">
      <c r="E900" s="102"/>
    </row>
    <row r="901" spans="5:5" ht="20.399999999999999">
      <c r="E901" s="102"/>
    </row>
    <row r="902" spans="5:5" ht="20.399999999999999">
      <c r="E902" s="102"/>
    </row>
    <row r="903" spans="5:5" ht="20.399999999999999">
      <c r="E903" s="102"/>
    </row>
    <row r="904" spans="5:5" ht="20.399999999999999">
      <c r="E904" s="102"/>
    </row>
    <row r="905" spans="5:5" ht="20.399999999999999">
      <c r="E905" s="102"/>
    </row>
    <row r="906" spans="5:5" ht="20.399999999999999">
      <c r="E906" s="102"/>
    </row>
    <row r="907" spans="5:5" ht="20.399999999999999">
      <c r="E907" s="102"/>
    </row>
    <row r="908" spans="5:5" ht="20.399999999999999">
      <c r="E908" s="102"/>
    </row>
    <row r="909" spans="5:5" ht="20.399999999999999">
      <c r="E909" s="102"/>
    </row>
    <row r="910" spans="5:5" ht="20.399999999999999">
      <c r="E910" s="102"/>
    </row>
    <row r="911" spans="5:5" ht="20.399999999999999">
      <c r="E911" s="102"/>
    </row>
    <row r="912" spans="5:5" ht="20.399999999999999">
      <c r="E912" s="102"/>
    </row>
    <row r="913" spans="5:5" ht="20.399999999999999">
      <c r="E913" s="102"/>
    </row>
    <row r="914" spans="5:5" ht="20.399999999999999">
      <c r="E914" s="102"/>
    </row>
    <row r="915" spans="5:5" ht="20.399999999999999">
      <c r="E915" s="102"/>
    </row>
    <row r="916" spans="5:5" ht="20.399999999999999">
      <c r="E916" s="102"/>
    </row>
    <row r="917" spans="5:5" ht="20.399999999999999">
      <c r="E917" s="102"/>
    </row>
    <row r="918" spans="5:5" ht="20.399999999999999">
      <c r="E918" s="102"/>
    </row>
    <row r="919" spans="5:5" ht="20.399999999999999">
      <c r="E919" s="102"/>
    </row>
    <row r="920" spans="5:5" ht="20.399999999999999">
      <c r="E920" s="102"/>
    </row>
    <row r="921" spans="5:5" ht="20.399999999999999">
      <c r="E921" s="102"/>
    </row>
    <row r="922" spans="5:5" ht="20.399999999999999">
      <c r="E922" s="102"/>
    </row>
    <row r="923" spans="5:5" ht="20.399999999999999">
      <c r="E923" s="102"/>
    </row>
    <row r="924" spans="5:5" ht="20.399999999999999">
      <c r="E924" s="102"/>
    </row>
    <row r="925" spans="5:5" ht="20.399999999999999">
      <c r="E925" s="102"/>
    </row>
    <row r="926" spans="5:5" ht="20.399999999999999">
      <c r="E926" s="102"/>
    </row>
    <row r="927" spans="5:5" ht="20.399999999999999">
      <c r="E927" s="102"/>
    </row>
    <row r="928" spans="5:5" ht="20.399999999999999">
      <c r="E928" s="102"/>
    </row>
    <row r="929" spans="5:5" ht="20.399999999999999">
      <c r="E929" s="102"/>
    </row>
    <row r="930" spans="5:5" ht="20.399999999999999">
      <c r="E930" s="102"/>
    </row>
    <row r="931" spans="5:5" ht="20.399999999999999">
      <c r="E931" s="102"/>
    </row>
    <row r="932" spans="5:5" ht="20.399999999999999">
      <c r="E932" s="102"/>
    </row>
    <row r="933" spans="5:5" ht="20.399999999999999">
      <c r="E933" s="102"/>
    </row>
    <row r="934" spans="5:5" ht="20.399999999999999">
      <c r="E934" s="102"/>
    </row>
    <row r="935" spans="5:5" ht="20.399999999999999">
      <c r="E935" s="102"/>
    </row>
    <row r="936" spans="5:5" ht="20.399999999999999">
      <c r="E936" s="102"/>
    </row>
    <row r="937" spans="5:5" ht="20.399999999999999">
      <c r="E937" s="102"/>
    </row>
    <row r="938" spans="5:5" ht="20.399999999999999">
      <c r="E938" s="102"/>
    </row>
    <row r="939" spans="5:5" ht="20.399999999999999">
      <c r="E939" s="102"/>
    </row>
    <row r="940" spans="5:5" ht="20.399999999999999">
      <c r="E940" s="102"/>
    </row>
    <row r="941" spans="5:5" ht="20.399999999999999">
      <c r="E941" s="102"/>
    </row>
    <row r="942" spans="5:5" ht="20.399999999999999">
      <c r="E942" s="102"/>
    </row>
    <row r="943" spans="5:5" ht="20.399999999999999">
      <c r="E943" s="102"/>
    </row>
    <row r="944" spans="5:5" ht="20.399999999999999">
      <c r="E944" s="102"/>
    </row>
    <row r="945" spans="5:5" ht="20.399999999999999">
      <c r="E945" s="102"/>
    </row>
    <row r="946" spans="5:5" ht="20.399999999999999">
      <c r="E946" s="102"/>
    </row>
    <row r="947" spans="5:5" ht="20.399999999999999">
      <c r="E947" s="102"/>
    </row>
    <row r="948" spans="5:5" ht="20.399999999999999">
      <c r="E948" s="102"/>
    </row>
    <row r="949" spans="5:5" ht="20.399999999999999">
      <c r="E949" s="102"/>
    </row>
    <row r="950" spans="5:5" ht="20.399999999999999">
      <c r="E950" s="102"/>
    </row>
    <row r="951" spans="5:5" ht="20.399999999999999">
      <c r="E951" s="102"/>
    </row>
    <row r="952" spans="5:5" ht="20.399999999999999">
      <c r="E952" s="102"/>
    </row>
    <row r="953" spans="5:5" ht="20.399999999999999">
      <c r="E953" s="102"/>
    </row>
    <row r="954" spans="5:5" ht="20.399999999999999">
      <c r="E954" s="102"/>
    </row>
    <row r="955" spans="5:5" ht="20.399999999999999">
      <c r="E955" s="102"/>
    </row>
    <row r="956" spans="5:5" ht="20.399999999999999">
      <c r="E956" s="102"/>
    </row>
    <row r="957" spans="5:5" ht="20.399999999999999">
      <c r="E957" s="102"/>
    </row>
    <row r="958" spans="5:5" ht="20.399999999999999">
      <c r="E958" s="102"/>
    </row>
    <row r="959" spans="5:5" ht="20.399999999999999">
      <c r="E959" s="102"/>
    </row>
    <row r="960" spans="5:5" ht="20.399999999999999">
      <c r="E960" s="102"/>
    </row>
    <row r="961" spans="5:5" ht="20.399999999999999">
      <c r="E961" s="102"/>
    </row>
    <row r="962" spans="5:5" ht="20.399999999999999">
      <c r="E962" s="102"/>
    </row>
    <row r="963" spans="5:5" ht="20.399999999999999">
      <c r="E963" s="102"/>
    </row>
    <row r="964" spans="5:5" ht="20.399999999999999">
      <c r="E964" s="102"/>
    </row>
    <row r="965" spans="5:5" ht="20.399999999999999">
      <c r="E965" s="102"/>
    </row>
    <row r="966" spans="5:5" ht="20.399999999999999">
      <c r="E966" s="102"/>
    </row>
    <row r="967" spans="5:5" ht="20.399999999999999">
      <c r="E967" s="102"/>
    </row>
    <row r="968" spans="5:5" ht="20.399999999999999">
      <c r="E968" s="102"/>
    </row>
    <row r="969" spans="5:5" ht="20.399999999999999">
      <c r="E969" s="102"/>
    </row>
    <row r="970" spans="5:5" ht="20.399999999999999">
      <c r="E970" s="102"/>
    </row>
    <row r="971" spans="5:5" ht="20.399999999999999">
      <c r="E971" s="102"/>
    </row>
    <row r="972" spans="5:5" ht="20.399999999999999">
      <c r="E972" s="102"/>
    </row>
    <row r="973" spans="5:5" ht="20.399999999999999">
      <c r="E973" s="102"/>
    </row>
    <row r="974" spans="5:5" ht="20.399999999999999">
      <c r="E974" s="102"/>
    </row>
    <row r="975" spans="5:5" ht="20.399999999999999">
      <c r="E975" s="102"/>
    </row>
    <row r="976" spans="5:5" ht="20.399999999999999">
      <c r="E976" s="102"/>
    </row>
    <row r="977" spans="5:5" ht="20.399999999999999">
      <c r="E977" s="102"/>
    </row>
    <row r="978" spans="5:5" ht="20.399999999999999">
      <c r="E978" s="102"/>
    </row>
    <row r="979" spans="5:5" ht="20.399999999999999">
      <c r="E979" s="102"/>
    </row>
    <row r="980" spans="5:5" ht="20.399999999999999">
      <c r="E980" s="102"/>
    </row>
    <row r="981" spans="5:5" ht="20.399999999999999">
      <c r="E981" s="102"/>
    </row>
    <row r="982" spans="5:5" ht="20.399999999999999">
      <c r="E982" s="102"/>
    </row>
    <row r="983" spans="5:5" ht="20.399999999999999">
      <c r="E983" s="102"/>
    </row>
    <row r="984" spans="5:5" ht="20.399999999999999">
      <c r="E984" s="102"/>
    </row>
    <row r="985" spans="5:5" ht="20.399999999999999">
      <c r="E985" s="102"/>
    </row>
    <row r="986" spans="5:5" ht="20.399999999999999">
      <c r="E986" s="102"/>
    </row>
    <row r="987" spans="5:5" ht="20.399999999999999">
      <c r="E987" s="102"/>
    </row>
    <row r="988" spans="5:5" ht="20.399999999999999">
      <c r="E988" s="102"/>
    </row>
    <row r="989" spans="5:5" ht="20.399999999999999">
      <c r="E989" s="102"/>
    </row>
    <row r="990" spans="5:5" ht="20.399999999999999">
      <c r="E990" s="102"/>
    </row>
    <row r="991" spans="5:5" ht="20.399999999999999">
      <c r="E991" s="102"/>
    </row>
    <row r="992" spans="5:5" ht="20.399999999999999">
      <c r="E992" s="102"/>
    </row>
  </sheetData>
  <conditionalFormatting sqref="B3">
    <cfRule type="notContainsBlanks" dxfId="18" priority="3">
      <formula>LEN(TRIM(B3))&gt;0</formula>
    </cfRule>
  </conditionalFormatting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A8436"/>
    <outlinePr summaryBelow="0" summaryRight="0"/>
  </sheetPr>
  <dimension ref="A1:Z188"/>
  <sheetViews>
    <sheetView showGridLines="0" zoomScale="60" zoomScaleNormal="69" workbookViewId="0">
      <selection activeCell="D63" sqref="D63"/>
    </sheetView>
  </sheetViews>
  <sheetFormatPr defaultColWidth="14.44140625" defaultRowHeight="15.75" customHeight="1"/>
  <cols>
    <col min="1" max="1" width="7.33203125" style="6" customWidth="1"/>
    <col min="2" max="2" width="48.6640625" style="6" customWidth="1"/>
    <col min="3" max="7" width="18.77734375" style="6" customWidth="1"/>
    <col min="8" max="16384" width="14.44140625" style="6"/>
  </cols>
  <sheetData>
    <row r="1" spans="1:26" ht="18">
      <c r="A1" s="311"/>
      <c r="B1" s="278"/>
      <c r="C1" s="307"/>
      <c r="D1" s="307"/>
      <c r="E1" s="307"/>
      <c r="F1" s="13"/>
      <c r="G1" s="307"/>
    </row>
    <row r="2" spans="1:26" ht="21">
      <c r="A2" s="311"/>
      <c r="B2" s="279" t="str">
        <f>"Balance Sheet"</f>
        <v>Balance Sheet</v>
      </c>
      <c r="C2" s="307"/>
      <c r="D2" s="307"/>
      <c r="E2" s="307"/>
      <c r="F2" s="13"/>
      <c r="G2" s="307"/>
    </row>
    <row r="3" spans="1:26" ht="7.5" customHeight="1">
      <c r="B3" s="14"/>
      <c r="C3" s="15"/>
      <c r="D3" s="15"/>
      <c r="E3" s="15"/>
      <c r="F3" s="15"/>
      <c r="G3" s="15"/>
    </row>
    <row r="4" spans="1:26" ht="27" customHeight="1">
      <c r="B4" s="229" t="str">
        <f>CONCATENATE("(",Master!E11," in millions)")</f>
        <v>(USD in millions)</v>
      </c>
      <c r="C4" s="418" t="str">
        <f>"Historical"</f>
        <v>Historical</v>
      </c>
      <c r="D4" s="419"/>
      <c r="E4" s="419"/>
      <c r="F4" s="419"/>
      <c r="G4" s="419"/>
    </row>
    <row r="5" spans="1:26" ht="18" thickBot="1">
      <c r="B5" s="16"/>
      <c r="C5" s="17" t="s">
        <v>121</v>
      </c>
      <c r="D5" s="17" t="s">
        <v>122</v>
      </c>
      <c r="E5" s="17" t="s">
        <v>123</v>
      </c>
      <c r="F5" s="17" t="s">
        <v>124</v>
      </c>
      <c r="G5" s="17" t="s">
        <v>125</v>
      </c>
    </row>
    <row r="6" spans="1:26" ht="10.5" customHeight="1">
      <c r="B6" s="280"/>
      <c r="C6" s="280"/>
      <c r="D6" s="280"/>
      <c r="E6" s="280"/>
      <c r="F6" s="280"/>
      <c r="G6" s="280"/>
    </row>
    <row r="7" spans="1:26" ht="17.399999999999999">
      <c r="B7" s="18" t="str">
        <f>"Cash and cash equivalents"</f>
        <v>Cash and cash equivalents</v>
      </c>
      <c r="C7" s="281">
        <v>7895</v>
      </c>
      <c r="D7" s="281">
        <v>2343</v>
      </c>
      <c r="E7" s="281">
        <v>2757</v>
      </c>
      <c r="F7" s="281">
        <v>3760</v>
      </c>
      <c r="G7" s="281">
        <v>1659</v>
      </c>
    </row>
    <row r="8" spans="1:26" ht="17.399999999999999">
      <c r="B8" s="19" t="str">
        <f>"Trade accounts receivable"</f>
        <v>Trade accounts receivable</v>
      </c>
      <c r="C8" s="281">
        <v>2992</v>
      </c>
      <c r="D8" s="281">
        <v>3426</v>
      </c>
      <c r="E8" s="281">
        <v>3317</v>
      </c>
      <c r="F8" s="281">
        <v>3328</v>
      </c>
      <c r="G8" s="281">
        <v>4903</v>
      </c>
    </row>
    <row r="9" spans="1:26" ht="17.399999999999999">
      <c r="B9" s="19" t="str">
        <f>"Short-term investments"</f>
        <v>Short-term investments</v>
      </c>
      <c r="C9" s="281">
        <v>0</v>
      </c>
      <c r="D9" s="281">
        <v>0</v>
      </c>
      <c r="E9" s="281">
        <v>0</v>
      </c>
      <c r="F9" s="281">
        <v>0</v>
      </c>
      <c r="G9" s="281">
        <v>0</v>
      </c>
    </row>
    <row r="10" spans="1:26" ht="17.399999999999999">
      <c r="B10" s="18" t="str">
        <f>"Inventories"</f>
        <v>Inventories</v>
      </c>
      <c r="C10" s="281">
        <v>16627</v>
      </c>
      <c r="D10" s="281">
        <v>22068</v>
      </c>
      <c r="E10" s="281">
        <v>24886</v>
      </c>
      <c r="F10" s="281">
        <v>20976</v>
      </c>
      <c r="G10" s="281">
        <v>23451</v>
      </c>
    </row>
    <row r="11" spans="1:26" ht="17.399999999999999">
      <c r="B11" s="18" t="str">
        <f>"Prepaid expenses"</f>
        <v>Prepaid expenses</v>
      </c>
      <c r="C11" s="281">
        <v>0</v>
      </c>
      <c r="D11" s="281">
        <v>0</v>
      </c>
      <c r="E11" s="281">
        <v>0</v>
      </c>
      <c r="F11" s="281">
        <v>0</v>
      </c>
      <c r="G11" s="281">
        <v>0</v>
      </c>
    </row>
    <row r="12" spans="1:26" ht="17.399999999999999">
      <c r="B12" s="18" t="str">
        <f>"Other current assets"</f>
        <v>Other current assets</v>
      </c>
      <c r="C12" s="281">
        <v>963</v>
      </c>
      <c r="D12" s="281">
        <v>1218</v>
      </c>
      <c r="E12" s="281">
        <v>1511</v>
      </c>
      <c r="F12" s="281">
        <v>1711</v>
      </c>
      <c r="G12" s="281">
        <v>1670</v>
      </c>
    </row>
    <row r="13" spans="1:26" ht="17.399999999999999">
      <c r="B13" s="282" t="str">
        <f>"Current assets"</f>
        <v>Current assets</v>
      </c>
      <c r="C13" s="283">
        <f>SUM(C7:C12)</f>
        <v>28477</v>
      </c>
      <c r="D13" s="283">
        <f>SUM(D7:D12)</f>
        <v>29055</v>
      </c>
      <c r="E13" s="283">
        <f>SUM(E7:E12)</f>
        <v>32471</v>
      </c>
      <c r="F13" s="283">
        <f>SUM(F7:F12)</f>
        <v>29775</v>
      </c>
      <c r="G13" s="283">
        <f>SUM(G7:G12)</f>
        <v>31683</v>
      </c>
    </row>
    <row r="14" spans="1:26" ht="6" customHeight="1">
      <c r="B14" s="284"/>
      <c r="C14" s="307"/>
      <c r="D14" s="307"/>
      <c r="E14" s="307"/>
      <c r="F14" s="307"/>
      <c r="G14" s="307"/>
    </row>
    <row r="15" spans="1:26" ht="17.399999999999999">
      <c r="B15" s="18" t="str">
        <f>"Property Plant And Equipment"</f>
        <v>Property Plant And Equipment</v>
      </c>
      <c r="C15" s="281">
        <f>C16+C17</f>
        <v>30667</v>
      </c>
      <c r="D15" s="281">
        <f>D16+D17</f>
        <v>31167</v>
      </c>
      <c r="E15" s="281">
        <f>E16+E17</f>
        <v>32572</v>
      </c>
      <c r="F15" s="281">
        <f>F16+F17</f>
        <v>34038</v>
      </c>
      <c r="G15" s="281">
        <f>G16+G17</f>
        <v>35294</v>
      </c>
    </row>
    <row r="16" spans="1:26" ht="18">
      <c r="A16" s="20"/>
      <c r="B16" s="285" t="str">
        <f>"          Initial value"</f>
        <v xml:space="preserve">          Initial value</v>
      </c>
      <c r="C16" s="286">
        <v>54763</v>
      </c>
      <c r="D16" s="286">
        <v>57297</v>
      </c>
      <c r="E16" s="286">
        <v>59216</v>
      </c>
      <c r="F16" s="286">
        <v>61141</v>
      </c>
      <c r="G16" s="286">
        <v>64375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8">
      <c r="A17" s="20"/>
      <c r="B17" s="285" t="str">
        <f>"          Accumulated depreciation"</f>
        <v xml:space="preserve">          Accumulated depreciation</v>
      </c>
      <c r="C17" s="286">
        <v>-24096</v>
      </c>
      <c r="D17" s="286">
        <v>-26130</v>
      </c>
      <c r="E17" s="286">
        <v>-26644</v>
      </c>
      <c r="F17" s="286">
        <v>-27103</v>
      </c>
      <c r="G17" s="286">
        <v>-29081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7.399999999999999">
      <c r="B18" s="18" t="str">
        <f>"Long-term investments"</f>
        <v>Long-term investments</v>
      </c>
      <c r="C18" s="281">
        <v>0</v>
      </c>
      <c r="D18" s="281">
        <v>0</v>
      </c>
      <c r="E18" s="281">
        <v>0</v>
      </c>
      <c r="F18" s="281">
        <v>0</v>
      </c>
      <c r="G18" s="281">
        <v>0</v>
      </c>
    </row>
    <row r="19" spans="1:26" ht="17.399999999999999">
      <c r="B19" s="18" t="str">
        <f>"Goodwill"</f>
        <v>Goodwill</v>
      </c>
      <c r="C19" s="281">
        <v>7126</v>
      </c>
      <c r="D19" s="281">
        <v>7449</v>
      </c>
      <c r="E19" s="281">
        <v>7444</v>
      </c>
      <c r="F19" s="281">
        <v>8455</v>
      </c>
      <c r="G19" s="281">
        <v>19475</v>
      </c>
    </row>
    <row r="20" spans="1:26" ht="17.399999999999999">
      <c r="B20" s="18" t="str">
        <f>"Other intangible assets"</f>
        <v>Other intangible assets</v>
      </c>
      <c r="C20" s="281">
        <v>0</v>
      </c>
      <c r="D20" s="281">
        <v>3503</v>
      </c>
      <c r="E20" s="281">
        <v>3323</v>
      </c>
      <c r="F20" s="281">
        <v>3606</v>
      </c>
      <c r="G20" s="281">
        <v>8983</v>
      </c>
    </row>
    <row r="21" spans="1:26" ht="17.399999999999999">
      <c r="B21" s="18" t="str">
        <f>"Other long-term assets"</f>
        <v>Other long-term assets</v>
      </c>
      <c r="C21" s="281">
        <f>C22-C15-C18-C19-C20</f>
        <v>4311</v>
      </c>
      <c r="D21" s="281">
        <f>D22-D15-D18-D19-D20</f>
        <v>702</v>
      </c>
      <c r="E21" s="281">
        <f>E22-E15-E18-E19-E20</f>
        <v>635</v>
      </c>
      <c r="F21" s="281">
        <f>F22-F15-F18-F19-F20</f>
        <v>656</v>
      </c>
      <c r="G21" s="281">
        <f>G22-G15-G18-G19-G20</f>
        <v>684</v>
      </c>
      <c r="X21" s="21" t="str">
        <f t="shared" ref="X21:X22" si="0">"formula"</f>
        <v>formula</v>
      </c>
    </row>
    <row r="22" spans="1:26" ht="17.399999999999999">
      <c r="B22" s="282" t="str">
        <f>"Non-current assets"</f>
        <v>Non-current assets</v>
      </c>
      <c r="C22" s="283">
        <f>C24-C13</f>
        <v>42104</v>
      </c>
      <c r="D22" s="283">
        <f>D24-D13</f>
        <v>42821</v>
      </c>
      <c r="E22" s="283">
        <f>E24-E13</f>
        <v>43974</v>
      </c>
      <c r="F22" s="283">
        <f>F24-F13</f>
        <v>46755</v>
      </c>
      <c r="G22" s="283">
        <f>G24-G13</f>
        <v>64436</v>
      </c>
      <c r="X22" s="21" t="str">
        <f t="shared" si="0"/>
        <v>formula</v>
      </c>
    </row>
    <row r="23" spans="1:26" ht="9" customHeight="1">
      <c r="B23" s="76"/>
      <c r="C23" s="76"/>
      <c r="D23" s="76"/>
      <c r="E23" s="76"/>
      <c r="F23" s="76"/>
      <c r="G23" s="76"/>
      <c r="X23" s="21"/>
    </row>
    <row r="24" spans="1:26" ht="17.399999999999999">
      <c r="B24" s="22" t="str">
        <f>"Total assets"</f>
        <v>Total assets</v>
      </c>
      <c r="C24" s="287">
        <v>70581</v>
      </c>
      <c r="D24" s="287">
        <v>71876</v>
      </c>
      <c r="E24" s="287">
        <v>76445</v>
      </c>
      <c r="F24" s="287">
        <v>76530</v>
      </c>
      <c r="G24" s="287">
        <v>96119</v>
      </c>
      <c r="X24" s="21" t="str">
        <f>"fill"</f>
        <v>fill</v>
      </c>
    </row>
    <row r="25" spans="1:26" ht="12" customHeight="1">
      <c r="C25" s="307"/>
      <c r="D25" s="307"/>
      <c r="E25" s="307"/>
      <c r="F25" s="307"/>
      <c r="G25" s="307"/>
      <c r="X25" s="21"/>
    </row>
    <row r="26" spans="1:26" ht="17.399999999999999">
      <c r="B26" s="18" t="str">
        <f>"Trade accounts payable"</f>
        <v>Trade accounts payable</v>
      </c>
      <c r="C26" s="281">
        <v>11606</v>
      </c>
      <c r="D26" s="281">
        <v>13462</v>
      </c>
      <c r="E26" s="281">
        <v>11443</v>
      </c>
      <c r="F26" s="281">
        <v>10037</v>
      </c>
      <c r="G26" s="281">
        <v>11938</v>
      </c>
      <c r="X26" s="21"/>
    </row>
    <row r="27" spans="1:26" ht="17.399999999999999">
      <c r="B27" s="18" t="str">
        <f>"Short-term loans &amp; liabilities"</f>
        <v>Short-term loans &amp; liabilities</v>
      </c>
      <c r="C27" s="281">
        <v>0</v>
      </c>
      <c r="D27" s="281">
        <v>1035</v>
      </c>
      <c r="E27" s="281">
        <v>0</v>
      </c>
      <c r="F27" s="281">
        <v>0</v>
      </c>
      <c r="G27" s="281">
        <v>316</v>
      </c>
      <c r="X27" s="21"/>
    </row>
    <row r="28" spans="1:26" ht="17.399999999999999">
      <c r="B28" s="18" t="str">
        <f>"Accrued expenses"</f>
        <v>Accrued expenses</v>
      </c>
      <c r="C28" s="281">
        <v>7128</v>
      </c>
      <c r="D28" s="281">
        <v>7995</v>
      </c>
      <c r="E28" s="281">
        <v>7322</v>
      </c>
      <c r="F28" s="281">
        <v>7820</v>
      </c>
      <c r="G28" s="281">
        <v>8383</v>
      </c>
      <c r="X28" s="21"/>
    </row>
    <row r="29" spans="1:26" ht="17.399999999999999">
      <c r="B29" s="18" t="str">
        <f>"Current Portion of LT Debt/Capital Leases"</f>
        <v>Current Portion of LT Debt/Capital Leases</v>
      </c>
      <c r="C29" s="281">
        <v>1416</v>
      </c>
      <c r="D29" s="281">
        <v>2447</v>
      </c>
      <c r="E29" s="281">
        <v>1231</v>
      </c>
      <c r="F29" s="281">
        <v>1368</v>
      </c>
      <c r="G29" s="281">
        <v>4582</v>
      </c>
      <c r="X29" s="21"/>
    </row>
    <row r="30" spans="1:26" ht="17.399999999999999">
      <c r="B30" s="23" t="str">
        <f>"Other current liabilities"</f>
        <v>Other current liabilities</v>
      </c>
      <c r="C30" s="281">
        <v>3016</v>
      </c>
      <c r="D30" s="281">
        <v>3754</v>
      </c>
      <c r="E30" s="281">
        <v>3114</v>
      </c>
      <c r="F30" s="281">
        <v>2790</v>
      </c>
      <c r="G30" s="281">
        <v>3442</v>
      </c>
      <c r="X30" s="21"/>
    </row>
    <row r="31" spans="1:26" ht="17.399999999999999">
      <c r="B31" s="288" t="str">
        <f>"Current liabilities"</f>
        <v>Current liabilities</v>
      </c>
      <c r="C31" s="283">
        <f>C26+C27+C28+C29+C30</f>
        <v>23166</v>
      </c>
      <c r="D31" s="283">
        <f>D26+D27+D28+D29+D30</f>
        <v>28693</v>
      </c>
      <c r="E31" s="283">
        <f>E26+E27+E28+E29+E30</f>
        <v>23110</v>
      </c>
      <c r="F31" s="283">
        <f>F26+F27+F28+F29+F30</f>
        <v>22015</v>
      </c>
      <c r="G31" s="283">
        <f>G26+G27+G28+G29+G30</f>
        <v>28661</v>
      </c>
      <c r="X31" s="21"/>
    </row>
    <row r="32" spans="1:26" ht="7.5" customHeight="1">
      <c r="B32" s="24"/>
      <c r="C32" s="284"/>
      <c r="D32" s="284"/>
      <c r="E32" s="284"/>
      <c r="F32" s="284"/>
      <c r="G32" s="284"/>
      <c r="X32" s="21"/>
    </row>
    <row r="33" spans="2:24" ht="17.399999999999999">
      <c r="B33" s="18" t="str">
        <f>"Long-term debts"</f>
        <v>Long-term debts</v>
      </c>
      <c r="C33" s="281">
        <v>33122</v>
      </c>
      <c r="D33" s="281">
        <v>33566</v>
      </c>
      <c r="E33" s="281">
        <v>38908</v>
      </c>
      <c r="F33" s="281">
        <v>39743</v>
      </c>
      <c r="G33" s="281">
        <v>45736</v>
      </c>
      <c r="X33" s="21" t="str">
        <f>"fill"</f>
        <v>fill</v>
      </c>
    </row>
    <row r="34" spans="2:24" ht="17.399999999999999">
      <c r="B34" s="307" t="str">
        <f>"Other liabilities"</f>
        <v>Other liabilities</v>
      </c>
      <c r="C34" s="281">
        <f>C36-C33-C31</f>
        <v>10994</v>
      </c>
      <c r="D34" s="281">
        <f>D36-D33-D31</f>
        <v>11313</v>
      </c>
      <c r="E34" s="281">
        <f>E36-E33-E31</f>
        <v>12865</v>
      </c>
      <c r="F34" s="281">
        <f>F36-F33-F31</f>
        <v>13728</v>
      </c>
      <c r="G34" s="281">
        <f>G36-G33-G31</f>
        <v>15082</v>
      </c>
      <c r="X34" s="21" t="str">
        <f>"formula"</f>
        <v>formula</v>
      </c>
    </row>
    <row r="35" spans="2:24" ht="4.5" customHeight="1">
      <c r="B35" s="76"/>
      <c r="C35" s="281"/>
      <c r="D35" s="281"/>
      <c r="E35" s="281"/>
      <c r="F35" s="281"/>
      <c r="G35" s="281"/>
      <c r="X35" s="21"/>
    </row>
    <row r="36" spans="2:24" ht="17.399999999999999">
      <c r="B36" s="22" t="str">
        <f>"Total liabilities"</f>
        <v>Total liabilities</v>
      </c>
      <c r="C36" s="287">
        <v>67282</v>
      </c>
      <c r="D36" s="287">
        <v>73572</v>
      </c>
      <c r="E36" s="287">
        <v>74883</v>
      </c>
      <c r="F36" s="287">
        <v>75486</v>
      </c>
      <c r="G36" s="287">
        <v>89479</v>
      </c>
      <c r="X36" s="21" t="str">
        <f>"fill"</f>
        <v>fill</v>
      </c>
    </row>
    <row r="37" spans="2:24" ht="9.75" customHeight="1">
      <c r="B37" s="18"/>
      <c r="C37" s="76"/>
      <c r="D37" s="76"/>
      <c r="E37" s="76"/>
      <c r="F37" s="76"/>
      <c r="G37" s="76"/>
      <c r="X37" s="21"/>
    </row>
    <row r="38" spans="2:24" ht="17.399999999999999">
      <c r="B38" s="18" t="str">
        <f>"Charter capital"</f>
        <v>Charter capital</v>
      </c>
      <c r="C38" s="281">
        <v>89</v>
      </c>
      <c r="D38" s="281">
        <v>90</v>
      </c>
      <c r="E38" s="281">
        <v>90</v>
      </c>
      <c r="F38" s="281">
        <v>90</v>
      </c>
      <c r="G38" s="281">
        <v>90</v>
      </c>
      <c r="X38" s="21"/>
    </row>
    <row r="39" spans="2:24" ht="17.399999999999999">
      <c r="B39" s="6" t="str">
        <f>"Additional paid in capital"</f>
        <v>Additional paid in capital</v>
      </c>
      <c r="C39" s="281">
        <v>11540</v>
      </c>
      <c r="D39" s="281">
        <v>12132</v>
      </c>
      <c r="E39" s="281">
        <v>12592</v>
      </c>
      <c r="F39" s="281">
        <v>13147</v>
      </c>
      <c r="G39" s="281">
        <v>14117</v>
      </c>
      <c r="X39" s="21"/>
    </row>
    <row r="40" spans="2:24" ht="17.399999999999999">
      <c r="B40" s="18" t="str">
        <f>"Retained earnings"</f>
        <v>Retained earnings</v>
      </c>
      <c r="C40" s="281">
        <v>58134</v>
      </c>
      <c r="D40" s="281">
        <v>67580</v>
      </c>
      <c r="E40" s="281">
        <v>76896</v>
      </c>
      <c r="F40" s="281">
        <v>83656</v>
      </c>
      <c r="G40" s="281">
        <v>89533</v>
      </c>
      <c r="X40" s="21"/>
    </row>
    <row r="41" spans="2:24" ht="17.399999999999999">
      <c r="B41" s="25" t="str">
        <f>"Treasury stock"</f>
        <v>Treasury stock</v>
      </c>
      <c r="C41" s="281">
        <v>-65793</v>
      </c>
      <c r="D41" s="281">
        <v>-80794</v>
      </c>
      <c r="E41" s="281">
        <v>-87298</v>
      </c>
      <c r="F41" s="281">
        <v>-95372</v>
      </c>
      <c r="G41" s="281">
        <v>-95971</v>
      </c>
      <c r="X41" s="21"/>
    </row>
    <row r="42" spans="2:24" ht="17.399999999999999">
      <c r="B42" s="25" t="str">
        <f>"Other common equity adjustment"</f>
        <v>Other common equity adjustment</v>
      </c>
      <c r="C42" s="281">
        <f>C43-C41-C40-C39-C38</f>
        <v>-671</v>
      </c>
      <c r="D42" s="281">
        <f>D43-D41-D40-D39-D38</f>
        <v>-704</v>
      </c>
      <c r="E42" s="281">
        <f>E43-E41-E40-E39-E38</f>
        <v>-718</v>
      </c>
      <c r="F42" s="281">
        <f>F43-F41-F40-F39-F38</f>
        <v>-477</v>
      </c>
      <c r="G42" s="281">
        <f>G43-G41-G40-G39-G38</f>
        <v>-1129</v>
      </c>
      <c r="X42" s="21" t="str">
        <f>"formula"</f>
        <v>formula</v>
      </c>
    </row>
    <row r="43" spans="2:24" ht="17.399999999999999">
      <c r="B43" s="288" t="str">
        <f>"Common equity"</f>
        <v>Common equity</v>
      </c>
      <c r="C43" s="283">
        <v>3299</v>
      </c>
      <c r="D43" s="283">
        <v>-1696</v>
      </c>
      <c r="E43" s="283">
        <v>1562</v>
      </c>
      <c r="F43" s="283">
        <v>1044</v>
      </c>
      <c r="G43" s="283">
        <v>6640</v>
      </c>
      <c r="X43" s="21" t="str">
        <f>"fill"</f>
        <v>fill</v>
      </c>
    </row>
    <row r="44" spans="2:24" ht="9" customHeight="1">
      <c r="B44" s="289"/>
      <c r="C44" s="289"/>
      <c r="D44" s="289"/>
      <c r="E44" s="289"/>
      <c r="F44" s="289"/>
      <c r="G44" s="289"/>
      <c r="X44" s="21"/>
    </row>
    <row r="45" spans="2:24" ht="17.399999999999999">
      <c r="B45" s="6" t="str">
        <f>"Minority interest"</f>
        <v>Minority interest</v>
      </c>
      <c r="C45" s="281">
        <v>0</v>
      </c>
      <c r="D45" s="281">
        <v>0</v>
      </c>
      <c r="E45" s="281">
        <v>0</v>
      </c>
      <c r="F45" s="281">
        <v>0</v>
      </c>
      <c r="G45" s="281">
        <v>0</v>
      </c>
      <c r="X45" s="21"/>
    </row>
    <row r="46" spans="2:24" ht="18" thickBot="1">
      <c r="B46" s="26" t="str">
        <f>"Total equity"</f>
        <v>Total equity</v>
      </c>
      <c r="C46" s="290">
        <f>C43+C45</f>
        <v>3299</v>
      </c>
      <c r="D46" s="290">
        <f>D43+D45</f>
        <v>-1696</v>
      </c>
      <c r="E46" s="290">
        <f>E43+E45</f>
        <v>1562</v>
      </c>
      <c r="F46" s="290">
        <f>F43+F45</f>
        <v>1044</v>
      </c>
      <c r="G46" s="290">
        <f>G43+G45</f>
        <v>6640</v>
      </c>
      <c r="X46" s="21" t="str">
        <f>"formula"</f>
        <v>formula</v>
      </c>
    </row>
    <row r="48" spans="2:24" ht="18">
      <c r="B48" s="291" t="str">
        <f>"Days sales outstanding (DSO)"</f>
        <v>Days sales outstanding (DSO)</v>
      </c>
      <c r="C48" s="27">
        <f>IFERROR(C8/C61*365,0)</f>
        <v>8.266444629475437</v>
      </c>
      <c r="D48" s="27">
        <f>IFERROR(IF(AND(D8/D61*365=0,C48&lt;&gt;0),1,D8/D61*365),0)</f>
        <v>8.2727892191562411</v>
      </c>
      <c r="E48" s="27">
        <f>IFERROR(IF(AND(E8/E61*365=0,D48&lt;&gt;0),1,E8/E61*365),0)</f>
        <v>7.6917530161432754</v>
      </c>
      <c r="F48" s="27">
        <f>IFERROR(IF(AND(F8/F61*365=0,E48&lt;&gt;0),1,F8/F61*365),0)</f>
        <v>7.9565596159010665</v>
      </c>
      <c r="G48" s="27">
        <f>IFERROR(IF(AND(G8/G61*365=0,F48&lt;&gt;0),1,G8/G61*365),0)</f>
        <v>11.219046604059832</v>
      </c>
    </row>
    <row r="49" spans="1:8" ht="18">
      <c r="B49" s="291" t="str">
        <f>"Days payable outstanding (DPO)"</f>
        <v>Days payable outstanding (DPO)</v>
      </c>
      <c r="C49" s="27">
        <f>IFERROR(C26/ABS(C62)*365,0)</f>
        <v>48.548425914253293</v>
      </c>
      <c r="D49" s="27">
        <f>IFERROR(IF(AND(D26/ABS(D62)*365=0,C49&lt;&gt;0),1,D26/ABS(D62)*365),0)</f>
        <v>48.977124345875907</v>
      </c>
      <c r="E49" s="27">
        <f>IFERROR(IF(AND(E26/ABS(E62)*365=0,D49&lt;&gt;0),1,E26/ABS(E62)*365),0)</f>
        <v>39.920621266427723</v>
      </c>
      <c r="F49" s="27">
        <f>IFERROR(IF(AND(F26/ABS(F62)*365=0,E49&lt;&gt;0),1,F26/ABS(F62)*365),0)</f>
        <v>36.01947713575003</v>
      </c>
      <c r="G49" s="27">
        <f>IFERROR(IF(AND(G26/ABS(G62)*365=0,F49&lt;&gt;0),1,G26/ABS(G62)*365),0)</f>
        <v>41.027531401239102</v>
      </c>
    </row>
    <row r="50" spans="1:8" ht="18">
      <c r="B50" s="291" t="str">
        <f>"Days inventory outstanding (DIO)"</f>
        <v>Days inventory outstanding (DIO)</v>
      </c>
      <c r="C50" s="27">
        <f>IFERROR(C10/ABS(C62)*365,0)</f>
        <v>69.551497301076139</v>
      </c>
      <c r="D50" s="27">
        <f>IFERROR(IF(AND(D10/ABS(D62)*365=0,C50&lt;&gt;0),1,D10/ABS(D62)*365),0)</f>
        <v>80.287266384251183</v>
      </c>
      <c r="E50" s="27">
        <f>IFERROR(IF(AND(E10/ABS(E62)*365=0,D50&lt;&gt;0),1,E10/ABS(E62)*365),0)</f>
        <v>86.818542413381124</v>
      </c>
      <c r="F50" s="27">
        <f>IFERROR(IF(AND(F10/ABS(F62)*365=0,E50&lt;&gt;0),1,F10/ABS(F62)*365),0)</f>
        <v>75.27593428310179</v>
      </c>
      <c r="G50" s="27">
        <f>IFERROR(IF(AND(G10/ABS(G62)*365=0,F50&lt;&gt;0),1,G10/ABS(G62)*365),0)</f>
        <v>80.594457940229361</v>
      </c>
    </row>
    <row r="51" spans="1:8" ht="7.5" customHeight="1">
      <c r="B51" s="307"/>
      <c r="C51" s="307"/>
      <c r="D51" s="307"/>
      <c r="E51" s="307"/>
      <c r="F51" s="307"/>
      <c r="G51" s="307"/>
    </row>
    <row r="52" spans="1:8" ht="17.399999999999999">
      <c r="A52" s="18"/>
      <c r="B52" s="292" t="str">
        <f>"BS check"</f>
        <v>BS check</v>
      </c>
      <c r="C52" s="293">
        <f>C43+C36-C24</f>
        <v>0</v>
      </c>
      <c r="D52" s="293">
        <f>D43+D36-D24</f>
        <v>0</v>
      </c>
      <c r="E52" s="293">
        <f>E43+E36-E24</f>
        <v>0</v>
      </c>
      <c r="F52" s="293">
        <f>F43+F36-F24</f>
        <v>0</v>
      </c>
      <c r="G52" s="293">
        <f>G43+G36-G24</f>
        <v>0</v>
      </c>
    </row>
    <row r="54" spans="1:8" ht="17.399999999999999">
      <c r="C54" s="307"/>
      <c r="D54" s="307"/>
      <c r="E54" s="307"/>
      <c r="F54" s="307"/>
      <c r="G54" s="307"/>
      <c r="H54" s="307"/>
    </row>
    <row r="55" spans="1:8" ht="17.399999999999999">
      <c r="C55" s="307"/>
      <c r="D55" s="307"/>
      <c r="E55" s="307"/>
      <c r="F55" s="307"/>
      <c r="G55" s="307"/>
      <c r="H55" s="307"/>
    </row>
    <row r="56" spans="1:8" ht="21">
      <c r="B56" s="279" t="str">
        <f>"Income Statement"</f>
        <v>Income Statement</v>
      </c>
      <c r="C56" s="307"/>
      <c r="D56" s="307"/>
      <c r="E56" s="307"/>
      <c r="F56" s="307"/>
      <c r="G56" s="307"/>
      <c r="H56" s="307"/>
    </row>
    <row r="57" spans="1:8" ht="18">
      <c r="B57" s="14"/>
    </row>
    <row r="58" spans="1:8" ht="25.95" customHeight="1">
      <c r="B58" s="229" t="str">
        <f>CONCATENATE("(",Master!E11," in millions)")</f>
        <v>(USD in millions)</v>
      </c>
      <c r="C58" s="418" t="str">
        <f>"Historical"</f>
        <v>Historical</v>
      </c>
      <c r="D58" s="419"/>
      <c r="E58" s="419"/>
      <c r="F58" s="419"/>
      <c r="G58" s="419"/>
    </row>
    <row r="59" spans="1:8" ht="18" thickBot="1">
      <c r="B59" s="16"/>
      <c r="C59" s="303" t="str">
        <f>C5</f>
        <v>Feb-2021</v>
      </c>
      <c r="D59" s="303" t="str">
        <f>D5</f>
        <v>Feb-2022</v>
      </c>
      <c r="E59" s="303" t="str">
        <f>E5</f>
        <v>Feb-2023</v>
      </c>
      <c r="F59" s="303" t="str">
        <f>F5</f>
        <v>Feb-2024</v>
      </c>
      <c r="G59" s="303" t="str">
        <f>G5</f>
        <v>Feb-2025</v>
      </c>
      <c r="H59" s="307"/>
    </row>
    <row r="60" spans="1:8" ht="9" customHeight="1">
      <c r="B60" s="280"/>
      <c r="C60" s="280"/>
      <c r="D60" s="280"/>
      <c r="E60" s="280"/>
      <c r="F60" s="280"/>
      <c r="G60" s="280"/>
      <c r="H60" s="307"/>
    </row>
    <row r="61" spans="1:8" ht="17.399999999999999">
      <c r="B61" s="307" t="str">
        <f>"Revenue"</f>
        <v>Revenue</v>
      </c>
      <c r="C61" s="281">
        <v>132110</v>
      </c>
      <c r="D61" s="281">
        <v>151157</v>
      </c>
      <c r="E61" s="281">
        <v>157403</v>
      </c>
      <c r="F61" s="281">
        <v>152669</v>
      </c>
      <c r="G61" s="281">
        <v>159514</v>
      </c>
      <c r="H61" s="307"/>
    </row>
    <row r="62" spans="1:8" ht="17.399999999999999">
      <c r="B62" s="307" t="str">
        <f>"Cost of goods sold"</f>
        <v>Cost of goods sold</v>
      </c>
      <c r="C62" s="281">
        <v>-87257</v>
      </c>
      <c r="D62" s="281">
        <v>-100325</v>
      </c>
      <c r="E62" s="281">
        <v>-104625</v>
      </c>
      <c r="F62" s="281">
        <v>-101709</v>
      </c>
      <c r="G62" s="281">
        <v>-106206</v>
      </c>
      <c r="H62" s="307"/>
    </row>
    <row r="63" spans="1:8" ht="17.399999999999999">
      <c r="B63" s="294" t="str">
        <f>"Gross profits"</f>
        <v>Gross profits</v>
      </c>
      <c r="C63" s="295">
        <f>C61+C62</f>
        <v>44853</v>
      </c>
      <c r="D63" s="295">
        <f>D61+D62</f>
        <v>50832</v>
      </c>
      <c r="E63" s="295">
        <f>E61+E62</f>
        <v>52778</v>
      </c>
      <c r="F63" s="295">
        <f>F61+F62</f>
        <v>50960</v>
      </c>
      <c r="G63" s="295">
        <f>G61+G62</f>
        <v>53308</v>
      </c>
      <c r="H63" s="76"/>
    </row>
    <row r="64" spans="1:8" ht="9.75" customHeight="1">
      <c r="B64" s="307"/>
      <c r="C64" s="307"/>
      <c r="D64" s="307"/>
      <c r="E64" s="307"/>
      <c r="F64" s="307"/>
      <c r="G64" s="307"/>
      <c r="H64" s="307"/>
    </row>
    <row r="65" spans="1:8" ht="17.399999999999999">
      <c r="B65" s="307" t="str">
        <f>"Selling, G&amp;A expenses"</f>
        <v>Selling, G&amp;A expenses</v>
      </c>
      <c r="C65" s="281">
        <v>-22447</v>
      </c>
      <c r="D65" s="281">
        <v>-25144</v>
      </c>
      <c r="E65" s="281">
        <v>-26284</v>
      </c>
      <c r="F65" s="281">
        <v>-26598</v>
      </c>
      <c r="G65" s="281">
        <v>-28748</v>
      </c>
      <c r="H65" s="307"/>
    </row>
    <row r="66" spans="1:8" ht="17.399999999999999">
      <c r="B66" s="307" t="str">
        <f>"Research &amp; Development"</f>
        <v>Research &amp; Development</v>
      </c>
      <c r="C66" s="281">
        <v>0</v>
      </c>
      <c r="D66" s="281">
        <v>0</v>
      </c>
      <c r="E66" s="281">
        <v>0</v>
      </c>
      <c r="F66" s="281">
        <v>0</v>
      </c>
      <c r="G66" s="281">
        <v>0</v>
      </c>
      <c r="H66" s="307"/>
    </row>
    <row r="67" spans="1:8" ht="17.399999999999999">
      <c r="B67" s="307" t="str">
        <f>"Net other income/(expense)"</f>
        <v>Net other income/(expense)</v>
      </c>
      <c r="C67" s="281">
        <v>-4128</v>
      </c>
      <c r="D67" s="281">
        <v>-2648</v>
      </c>
      <c r="E67" s="281">
        <v>-2455</v>
      </c>
      <c r="F67" s="281">
        <v>-2673</v>
      </c>
      <c r="G67" s="281">
        <v>-3034</v>
      </c>
      <c r="H67" s="307"/>
    </row>
    <row r="68" spans="1:8" ht="10.5" customHeight="1">
      <c r="A68" s="28"/>
      <c r="B68" s="307"/>
      <c r="C68" s="281"/>
      <c r="D68" s="281"/>
      <c r="E68" s="281"/>
      <c r="F68" s="281"/>
      <c r="G68" s="281"/>
    </row>
    <row r="69" spans="1:8" ht="18">
      <c r="B69" s="296" t="str">
        <f>"Depreciation &amp; amortisation"</f>
        <v>Depreciation &amp; amortisation</v>
      </c>
      <c r="C69" s="297">
        <v>2519</v>
      </c>
      <c r="D69" s="297">
        <v>2862</v>
      </c>
      <c r="E69" s="297">
        <v>2975</v>
      </c>
      <c r="F69" s="297">
        <v>3247</v>
      </c>
      <c r="G69" s="298">
        <v>3761</v>
      </c>
    </row>
    <row r="70" spans="1:8" ht="18">
      <c r="B70" s="299" t="str">
        <f>"EBITDA"</f>
        <v>EBITDA</v>
      </c>
      <c r="C70" s="300">
        <f>C63+C65+C66+C67+ABS(C69)</f>
        <v>20797</v>
      </c>
      <c r="D70" s="300">
        <f>D63+D65+D66+D67+ABS(D69)</f>
        <v>25902</v>
      </c>
      <c r="E70" s="300">
        <f>E63+E65+E66+E67+ABS(E69)</f>
        <v>27014</v>
      </c>
      <c r="F70" s="300">
        <f>F63+F65+F66+F67+ABS(F69)</f>
        <v>24936</v>
      </c>
      <c r="G70" s="301">
        <f>G63+G65+G66+G67+ABS(G69)</f>
        <v>25287</v>
      </c>
    </row>
    <row r="71" spans="1:8" ht="8.25" customHeight="1">
      <c r="B71" s="307"/>
      <c r="C71" s="281"/>
      <c r="D71" s="281"/>
      <c r="E71" s="281"/>
      <c r="F71" s="281"/>
      <c r="G71" s="281"/>
    </row>
    <row r="72" spans="1:8" ht="17.399999999999999">
      <c r="B72" s="307" t="str">
        <f>"Net financial income/(expense)"</f>
        <v>Net financial income/(expense)</v>
      </c>
      <c r="C72" s="281">
        <v>-1300</v>
      </c>
      <c r="D72" s="281">
        <v>-1303</v>
      </c>
      <c r="E72" s="281">
        <v>-1562</v>
      </c>
      <c r="F72" s="281">
        <v>-1765</v>
      </c>
      <c r="G72" s="281">
        <v>-2120</v>
      </c>
    </row>
    <row r="73" spans="1:8" ht="17.399999999999999">
      <c r="A73" s="28"/>
      <c r="B73" s="294" t="str">
        <f>"Profit before tax"</f>
        <v>Profit before tax</v>
      </c>
      <c r="C73" s="295">
        <f>C63+C65+C66+C67+C72</f>
        <v>16978</v>
      </c>
      <c r="D73" s="295">
        <f>D63+D65+D66+D67+D72</f>
        <v>21737</v>
      </c>
      <c r="E73" s="295">
        <f>E63+E65+E66+E67+E72</f>
        <v>22477</v>
      </c>
      <c r="F73" s="295">
        <f>F63+F65+F66+F67+F72</f>
        <v>19924</v>
      </c>
      <c r="G73" s="295">
        <f>G63+G65+G66+G67+G72</f>
        <v>19406</v>
      </c>
      <c r="H73" s="76"/>
    </row>
    <row r="74" spans="1:8" ht="17.399999999999999">
      <c r="B74" s="76"/>
      <c r="C74" s="76"/>
      <c r="D74" s="76"/>
      <c r="E74" s="76"/>
      <c r="F74" s="76"/>
      <c r="G74" s="76"/>
    </row>
    <row r="75" spans="1:8" ht="17.399999999999999">
      <c r="B75" s="307" t="str">
        <f>"Corporate income tax"</f>
        <v>Corporate income tax</v>
      </c>
      <c r="C75" s="281">
        <v>-4112</v>
      </c>
      <c r="D75" s="281">
        <v>-5304</v>
      </c>
      <c r="E75" s="281">
        <v>-5372</v>
      </c>
      <c r="F75" s="281">
        <v>-4781</v>
      </c>
      <c r="G75" s="281">
        <v>-4600</v>
      </c>
      <c r="H75" s="307"/>
    </row>
    <row r="76" spans="1:8" ht="18" thickBot="1">
      <c r="B76" s="26" t="str">
        <f>"Net profit after tax"</f>
        <v>Net profit after tax</v>
      </c>
      <c r="C76" s="290">
        <f>C73+C75</f>
        <v>12866</v>
      </c>
      <c r="D76" s="290">
        <f>D73+D75</f>
        <v>16433</v>
      </c>
      <c r="E76" s="290">
        <f>E73+E75</f>
        <v>17105</v>
      </c>
      <c r="F76" s="290">
        <f>F73+F75</f>
        <v>15143</v>
      </c>
      <c r="G76" s="290">
        <f>G73+G75</f>
        <v>14806</v>
      </c>
      <c r="H76" s="76"/>
    </row>
    <row r="77" spans="1:8" ht="17.399999999999999">
      <c r="B77" s="76"/>
      <c r="C77" s="307"/>
      <c r="D77" s="307"/>
      <c r="E77" s="307"/>
      <c r="F77" s="307"/>
      <c r="G77" s="307"/>
      <c r="H77" s="29" t="str">
        <f>"Average"</f>
        <v>Average</v>
      </c>
    </row>
    <row r="78" spans="1:8" ht="18">
      <c r="B78" s="291" t="str">
        <f>"Sales growth"</f>
        <v>Sales growth</v>
      </c>
      <c r="C78" s="30" t="str">
        <f t="shared" ref="C78:G79" si="1">IFERROR(C61/B61-1,"n/a")</f>
        <v>n/a</v>
      </c>
      <c r="D78" s="31">
        <f t="shared" si="1"/>
        <v>0.14417530845507542</v>
      </c>
      <c r="E78" s="31">
        <f t="shared" si="1"/>
        <v>4.1321275230389531E-2</v>
      </c>
      <c r="F78" s="31">
        <f t="shared" si="1"/>
        <v>-3.0075665648049865E-2</v>
      </c>
      <c r="G78" s="31">
        <f t="shared" si="1"/>
        <v>4.4835559281845017E-2</v>
      </c>
    </row>
    <row r="79" spans="1:8" ht="18">
      <c r="B79" s="291" t="str">
        <f>"COGS growth"</f>
        <v>COGS growth</v>
      </c>
      <c r="C79" s="30" t="str">
        <f t="shared" si="1"/>
        <v>n/a</v>
      </c>
      <c r="D79" s="31">
        <f t="shared" si="1"/>
        <v>0.14976448880892068</v>
      </c>
      <c r="E79" s="31">
        <f t="shared" si="1"/>
        <v>4.2860702716172483E-2</v>
      </c>
      <c r="F79" s="31">
        <f t="shared" si="1"/>
        <v>-2.7870967741935537E-2</v>
      </c>
      <c r="G79" s="31">
        <f t="shared" si="1"/>
        <v>4.4214376308881143E-2</v>
      </c>
    </row>
    <row r="80" spans="1:8" ht="18">
      <c r="B80" s="291" t="str">
        <f>"Gross margin"</f>
        <v>Gross margin</v>
      </c>
      <c r="C80" s="32">
        <f>C63/C61</f>
        <v>0.33951252743925514</v>
      </c>
      <c r="D80" s="32">
        <f>D63/D61</f>
        <v>0.33628611311417927</v>
      </c>
      <c r="E80" s="32">
        <f>E63/E61</f>
        <v>0.33530491794946732</v>
      </c>
      <c r="F80" s="32">
        <f>F63/F61</f>
        <v>0.33379402498215094</v>
      </c>
      <c r="G80" s="32">
        <f>G63/G61</f>
        <v>0.33419010243614983</v>
      </c>
      <c r="H80" s="32">
        <f>AVERAGEIF(C80:G80,"&lt;&gt;0")</f>
        <v>0.33581753718424051</v>
      </c>
    </row>
    <row r="81" spans="2:8" ht="18">
      <c r="B81" s="291" t="str">
        <f>"EBITDA margin"</f>
        <v>EBITDA margin</v>
      </c>
      <c r="C81" s="32">
        <f>C70/C61</f>
        <v>0.1574218454318371</v>
      </c>
      <c r="D81" s="32">
        <f>D70/D61</f>
        <v>0.17135825664706233</v>
      </c>
      <c r="E81" s="32">
        <f>E70/E61</f>
        <v>0.17162315838961137</v>
      </c>
      <c r="F81" s="32">
        <f>F70/F61</f>
        <v>0.16333374817415455</v>
      </c>
      <c r="G81" s="32">
        <f>G70/G61</f>
        <v>0.15852527050917162</v>
      </c>
      <c r="H81" s="32">
        <f>AVERAGEIF(C81:G81,"&lt;&gt;0")</f>
        <v>0.16445245583036741</v>
      </c>
    </row>
    <row r="82" spans="2:8" ht="18">
      <c r="B82" s="291" t="str">
        <f>"SG&amp;A/Revenue"</f>
        <v>SG&amp;A/Revenue</v>
      </c>
      <c r="C82" s="32">
        <f>C65/C61</f>
        <v>-0.16991143743849821</v>
      </c>
      <c r="D82" s="32">
        <f>D65/D61</f>
        <v>-0.1663436030087922</v>
      </c>
      <c r="E82" s="32">
        <f>E65/E61</f>
        <v>-0.16698538147303418</v>
      </c>
      <c r="F82" s="32">
        <f>F65/F61</f>
        <v>-0.17422004467180632</v>
      </c>
      <c r="G82" s="32">
        <f>G65/G61</f>
        <v>-0.1802224256178141</v>
      </c>
      <c r="H82" s="32">
        <f>AVERAGEIF(C82:G82,"&lt;&gt;0")</f>
        <v>-0.171536578441989</v>
      </c>
    </row>
    <row r="83" spans="2:8" ht="18">
      <c r="B83" s="291" t="str">
        <f>"Net margin"</f>
        <v>Net margin</v>
      </c>
      <c r="C83" s="32">
        <f>C76/C61</f>
        <v>9.738853985315267E-2</v>
      </c>
      <c r="D83" s="32">
        <f>D76/D61</f>
        <v>0.10871477999695681</v>
      </c>
      <c r="E83" s="32">
        <f>E76/E61</f>
        <v>0.10867010158637383</v>
      </c>
      <c r="F83" s="32">
        <f>F76/F61</f>
        <v>9.9188440351348342E-2</v>
      </c>
      <c r="G83" s="32">
        <f>G76/G61</f>
        <v>9.2819439046102542E-2</v>
      </c>
      <c r="H83" s="32">
        <f>AVERAGEIF(C83:G83,"&lt;&gt;0")</f>
        <v>0.10135626016678685</v>
      </c>
    </row>
    <row r="84" spans="2:8" ht="18">
      <c r="B84" s="291" t="str">
        <f>"Effective tax rate"</f>
        <v>Effective tax rate</v>
      </c>
      <c r="C84" s="32">
        <f>-C75/C73</f>
        <v>0.24219578277771234</v>
      </c>
      <c r="D84" s="32">
        <f>-D75/D73</f>
        <v>0.244007912775452</v>
      </c>
      <c r="E84" s="32">
        <f>-E75/E73</f>
        <v>0.23899986653023089</v>
      </c>
      <c r="F84" s="32">
        <f>-F75/F73</f>
        <v>0.23996185504918691</v>
      </c>
      <c r="G84" s="32">
        <f>-G75/G73</f>
        <v>0.23704009069359991</v>
      </c>
      <c r="H84" s="32">
        <f>AVERAGEIF(C84:G84,"&lt;&gt;0")</f>
        <v>0.2404411015652364</v>
      </c>
    </row>
    <row r="86" spans="2:8" ht="17.399999999999999" hidden="1"/>
    <row r="87" spans="2:8" ht="21" hidden="1">
      <c r="B87" s="279" t="str">
        <f>"Income Statement"</f>
        <v>Income Statement</v>
      </c>
      <c r="C87" s="307"/>
      <c r="D87" s="307"/>
      <c r="E87" s="307"/>
      <c r="F87" s="307"/>
      <c r="G87" s="307"/>
    </row>
    <row r="88" spans="2:8" ht="18" hidden="1">
      <c r="B88" s="14"/>
    </row>
    <row r="89" spans="2:8" ht="25.05" hidden="1" customHeight="1">
      <c r="B89" s="14" t="str">
        <f>CONCATENATE("(",Master!E11," in millions)")</f>
        <v>(USD in millions)</v>
      </c>
      <c r="C89" s="418" t="str">
        <f>"Historical"</f>
        <v>Historical</v>
      </c>
      <c r="D89" s="419"/>
      <c r="E89" s="419"/>
      <c r="F89" s="419"/>
      <c r="G89" s="419"/>
    </row>
    <row r="90" spans="2:8" ht="18" hidden="1" thickBot="1">
      <c r="B90" s="16"/>
      <c r="C90" s="17" t="s">
        <v>17</v>
      </c>
      <c r="D90" s="17" t="s">
        <v>18</v>
      </c>
      <c r="E90" s="17" t="s">
        <v>19</v>
      </c>
      <c r="F90" s="17" t="s">
        <v>20</v>
      </c>
      <c r="G90" s="17" t="s">
        <v>21</v>
      </c>
    </row>
    <row r="91" spans="2:8" ht="17.399999999999999" hidden="1">
      <c r="B91" s="280"/>
      <c r="C91" s="280"/>
      <c r="D91" s="280"/>
      <c r="E91" s="280"/>
      <c r="F91" s="280"/>
      <c r="G91" s="280"/>
    </row>
    <row r="92" spans="2:8" ht="17.399999999999999" hidden="1">
      <c r="B92" s="8" t="str">
        <f>"Interest income"</f>
        <v>Interest income</v>
      </c>
      <c r="C92" s="281">
        <v>55901</v>
      </c>
      <c r="D92" s="281">
        <v>63971</v>
      </c>
      <c r="E92" s="281">
        <v>76100</v>
      </c>
      <c r="F92" s="281">
        <v>84040</v>
      </c>
      <c r="G92" s="281">
        <v>64523</v>
      </c>
    </row>
    <row r="93" spans="2:8" ht="17.399999999999999" hidden="1">
      <c r="B93" s="8" t="str">
        <f>"Interest expense"</f>
        <v>Interest expense</v>
      </c>
      <c r="C93" s="281">
        <v>-9818</v>
      </c>
      <c r="D93" s="281">
        <v>-13874</v>
      </c>
      <c r="E93" s="281">
        <v>-21041</v>
      </c>
      <c r="F93" s="281">
        <v>-26795</v>
      </c>
      <c r="G93" s="281">
        <v>-9960</v>
      </c>
    </row>
    <row r="94" spans="2:8" ht="17.399999999999999" hidden="1">
      <c r="B94" s="33" t="str">
        <f>"Net interest income"</f>
        <v>Net interest income</v>
      </c>
      <c r="C94" s="34">
        <f>C92+C93</f>
        <v>46083</v>
      </c>
      <c r="D94" s="34">
        <f>D92+D93</f>
        <v>50097</v>
      </c>
      <c r="E94" s="34">
        <f>E92+E93</f>
        <v>55059</v>
      </c>
      <c r="F94" s="34">
        <f>F92+F93</f>
        <v>57245</v>
      </c>
      <c r="G94" s="34">
        <f>G92+G93</f>
        <v>54563</v>
      </c>
    </row>
    <row r="95" spans="2:8" ht="7.5" hidden="1" customHeight="1">
      <c r="C95" s="35"/>
      <c r="D95" s="35"/>
      <c r="E95" s="35"/>
      <c r="F95" s="36"/>
      <c r="G95" s="35"/>
    </row>
    <row r="96" spans="2:8" ht="17.399999999999999" hidden="1">
      <c r="B96" s="8" t="str">
        <f>"Provision for loan losses"</f>
        <v>Provision for loan losses</v>
      </c>
      <c r="C96" s="281">
        <v>-5361</v>
      </c>
      <c r="D96" s="281">
        <v>-5290</v>
      </c>
      <c r="E96" s="281">
        <v>-4871</v>
      </c>
      <c r="F96" s="281">
        <v>-5585</v>
      </c>
      <c r="G96" s="281">
        <v>-10080</v>
      </c>
    </row>
    <row r="97" spans="2:8" ht="17.399999999999999" hidden="1">
      <c r="B97" s="8" t="str">
        <f>"Non-interest income"</f>
        <v>Non-interest income</v>
      </c>
      <c r="C97" s="281">
        <v>50486</v>
      </c>
      <c r="D97" s="281">
        <v>50608</v>
      </c>
      <c r="E97" s="281">
        <v>53724</v>
      </c>
      <c r="F97" s="281">
        <v>58154</v>
      </c>
      <c r="G97" s="281">
        <v>64980</v>
      </c>
    </row>
    <row r="98" spans="2:8" ht="17.399999999999999" hidden="1">
      <c r="B98" s="8" t="str">
        <f>"Non-interest expense"</f>
        <v>Non-interest expense</v>
      </c>
      <c r="C98" s="281">
        <v>-56672</v>
      </c>
      <c r="D98" s="281">
        <v>-59515</v>
      </c>
      <c r="E98" s="281">
        <v>-63148</v>
      </c>
      <c r="F98" s="281">
        <v>-65269</v>
      </c>
      <c r="G98" s="281">
        <v>-74056</v>
      </c>
    </row>
    <row r="99" spans="2:8" ht="17.399999999999999" hidden="1">
      <c r="B99" s="294" t="str">
        <f>"Profit before tax"</f>
        <v>Profit before tax</v>
      </c>
      <c r="C99" s="34">
        <f>C94+C96+C97+C98</f>
        <v>34536</v>
      </c>
      <c r="D99" s="34">
        <f>D94+D96+D97+D98</f>
        <v>35900</v>
      </c>
      <c r="E99" s="34">
        <f>E94+E96+E97+E98</f>
        <v>40764</v>
      </c>
      <c r="F99" s="34">
        <f>F94+F96+F97+F98</f>
        <v>44545</v>
      </c>
      <c r="G99" s="34">
        <f>G94+G96+G97+G98</f>
        <v>35407</v>
      </c>
    </row>
    <row r="100" spans="2:8" ht="6.75" hidden="1" customHeight="1">
      <c r="C100" s="35"/>
      <c r="D100" s="35"/>
      <c r="E100" s="35"/>
      <c r="F100" s="36"/>
      <c r="G100" s="35"/>
    </row>
    <row r="101" spans="2:8" ht="17.399999999999999" hidden="1">
      <c r="B101" s="307" t="str">
        <f>"Corporate income tax"</f>
        <v>Corporate income tax</v>
      </c>
      <c r="C101" s="281">
        <v>-9803</v>
      </c>
      <c r="D101" s="281">
        <v>-9559</v>
      </c>
      <c r="E101" s="281">
        <v>-8290</v>
      </c>
      <c r="F101" s="281">
        <v>-8114</v>
      </c>
      <c r="G101" s="281">
        <v>-6276</v>
      </c>
    </row>
    <row r="102" spans="2:8" ht="18" hidden="1" thickBot="1">
      <c r="B102" s="26" t="str">
        <f>"Net profit after tax"</f>
        <v>Net profit after tax</v>
      </c>
      <c r="C102" s="290">
        <f>C99+C101</f>
        <v>24733</v>
      </c>
      <c r="D102" s="290">
        <f>D99+D101</f>
        <v>26341</v>
      </c>
      <c r="E102" s="290">
        <f>E99+E101</f>
        <v>32474</v>
      </c>
      <c r="F102" s="290">
        <f>F99+F101</f>
        <v>36431</v>
      </c>
      <c r="G102" s="290">
        <f>G99+G101</f>
        <v>29131</v>
      </c>
    </row>
    <row r="103" spans="2:8" ht="5.25" hidden="1" customHeight="1">
      <c r="C103" s="35"/>
      <c r="D103" s="35"/>
      <c r="E103" s="35"/>
      <c r="F103" s="36"/>
      <c r="G103" s="35"/>
    </row>
    <row r="104" spans="2:8" ht="5.25" hidden="1" customHeight="1">
      <c r="C104" s="281"/>
      <c r="D104" s="281"/>
      <c r="E104" s="281"/>
      <c r="F104" s="281"/>
      <c r="G104" s="281"/>
    </row>
    <row r="105" spans="2:8" ht="6" hidden="1" customHeight="1">
      <c r="B105" s="9"/>
      <c r="C105" s="302">
        <f>C102</f>
        <v>24733</v>
      </c>
      <c r="D105" s="302">
        <f>D102</f>
        <v>26341</v>
      </c>
      <c r="E105" s="302">
        <f>E102</f>
        <v>32474</v>
      </c>
      <c r="F105" s="302">
        <f>F102</f>
        <v>36431</v>
      </c>
      <c r="G105" s="302">
        <f>G102</f>
        <v>29131</v>
      </c>
    </row>
    <row r="106" spans="2:8" ht="18" hidden="1">
      <c r="F106" s="13"/>
      <c r="H106" s="29" t="str">
        <f>"Average"</f>
        <v>Average</v>
      </c>
    </row>
    <row r="107" spans="2:8" ht="18" hidden="1">
      <c r="B107" s="291" t="str">
        <f>"Net interest income - growth"</f>
        <v>Net interest income - growth</v>
      </c>
      <c r="C107" s="32" t="str">
        <f>IFERROR(C94/B94-1,"n/a")</f>
        <v>n/a</v>
      </c>
      <c r="D107" s="32">
        <f>IFERROR(D94/C94-1,"n/a")</f>
        <v>8.7103704185925501E-2</v>
      </c>
      <c r="E107" s="32">
        <f>IFERROR(E94/D94-1,"n/a")</f>
        <v>9.9047847176477744E-2</v>
      </c>
      <c r="F107" s="32">
        <f>IFERROR(F94/E94-1,"n/a")</f>
        <v>3.970286420022151E-2</v>
      </c>
      <c r="G107" s="32">
        <f>IFERROR(G94/F94-1,"n/a")</f>
        <v>-4.6851253384575076E-2</v>
      </c>
      <c r="H107" s="37"/>
    </row>
    <row r="108" spans="2:8" ht="18" hidden="1">
      <c r="B108" s="291" t="str">
        <f>"Net margin"</f>
        <v>Net margin</v>
      </c>
      <c r="C108" s="32">
        <f>C105/(C92+C97)</f>
        <v>0.23248141220261875</v>
      </c>
      <c r="D108" s="32">
        <f>D105/(D92+D97)</f>
        <v>0.2298937850740537</v>
      </c>
      <c r="E108" s="32">
        <f>E105/(E92+E97)</f>
        <v>0.25013864924821294</v>
      </c>
      <c r="F108" s="32">
        <f>F105/(F92+F97)</f>
        <v>0.25620630968957903</v>
      </c>
      <c r="G108" s="32">
        <f>G105/(G92+G97)</f>
        <v>0.22494459587808777</v>
      </c>
      <c r="H108" s="32">
        <f>AVERAGEIF(C108:G108,"&lt;&gt;0")</f>
        <v>0.23873295041851042</v>
      </c>
    </row>
    <row r="109" spans="2:8" ht="18" hidden="1">
      <c r="B109" s="291" t="str">
        <f>"Effective tax rate"</f>
        <v>Effective tax rate</v>
      </c>
      <c r="C109" s="32">
        <f>-C101/C99</f>
        <v>0.28384873754922402</v>
      </c>
      <c r="D109" s="32">
        <f>-D101/D99</f>
        <v>0.26626740947075211</v>
      </c>
      <c r="E109" s="32">
        <f>-E101/E99</f>
        <v>0.20336571484643312</v>
      </c>
      <c r="F109" s="32">
        <f>-F101/F99</f>
        <v>0.18215287911101133</v>
      </c>
      <c r="G109" s="32">
        <f>-G101/G99</f>
        <v>0.17725308554805547</v>
      </c>
      <c r="H109" s="32">
        <f>AVERAGEIF(C109:G109,"&lt;&gt;0")</f>
        <v>0.2225775653050952</v>
      </c>
    </row>
    <row r="110" spans="2:8" ht="17.399999999999999" hidden="1">
      <c r="B110" s="38"/>
    </row>
    <row r="111" spans="2:8" ht="17.399999999999999" hidden="1">
      <c r="B111" s="18"/>
    </row>
    <row r="112" spans="2:8" ht="17.399999999999999" hidden="1">
      <c r="B112" s="18"/>
    </row>
    <row r="113" spans="2:7" ht="21" hidden="1">
      <c r="B113" s="279" t="str">
        <f>"Balance Sheet"</f>
        <v>Balance Sheet</v>
      </c>
      <c r="C113" s="307"/>
      <c r="D113" s="307"/>
      <c r="E113" s="307"/>
      <c r="F113" s="307"/>
      <c r="G113" s="307"/>
    </row>
    <row r="114" spans="2:7" ht="18" hidden="1">
      <c r="B114" s="14"/>
    </row>
    <row r="115" spans="2:7" ht="24" hidden="1" customHeight="1">
      <c r="B115" s="14" t="str">
        <f>B89</f>
        <v>(USD in millions)</v>
      </c>
      <c r="C115" s="418" t="str">
        <f>"Historical"</f>
        <v>Historical</v>
      </c>
      <c r="D115" s="419"/>
      <c r="E115" s="419"/>
      <c r="F115" s="419"/>
      <c r="G115" s="419"/>
    </row>
    <row r="116" spans="2:7" ht="18" hidden="1" thickBot="1">
      <c r="B116" s="16"/>
      <c r="C116" s="303" t="str">
        <f>C90</f>
        <v>Dec-2016</v>
      </c>
      <c r="D116" s="303" t="str">
        <f>D90</f>
        <v>Dec-2017</v>
      </c>
      <c r="E116" s="303" t="str">
        <f>E90</f>
        <v>Dec-2018</v>
      </c>
      <c r="F116" s="303" t="str">
        <f>F90</f>
        <v>Dec-2019</v>
      </c>
      <c r="G116" s="303" t="str">
        <f>G90</f>
        <v>Dec-2020</v>
      </c>
    </row>
    <row r="117" spans="2:7" ht="17.399999999999999" hidden="1">
      <c r="B117" s="280"/>
      <c r="C117" s="280"/>
      <c r="D117" s="280"/>
      <c r="E117" s="280"/>
      <c r="F117" s="280"/>
      <c r="G117" s="280"/>
    </row>
    <row r="118" spans="2:7" ht="17.399999999999999" hidden="1">
      <c r="B118" s="8" t="str">
        <f>"Cash &amp; Due from Banks"</f>
        <v>Cash &amp; Due from Banks</v>
      </c>
      <c r="C118" s="281">
        <v>272744.5</v>
      </c>
      <c r="D118" s="281">
        <v>301084.7</v>
      </c>
      <c r="E118" s="281">
        <v>195155.1</v>
      </c>
      <c r="F118" s="281">
        <v>151991.70000000001</v>
      </c>
      <c r="G118" s="281">
        <v>352246.3</v>
      </c>
    </row>
    <row r="119" spans="2:7" ht="17.399999999999999" hidden="1">
      <c r="B119" s="8" t="str">
        <f>"Other earning assets"</f>
        <v>Other earning assets</v>
      </c>
      <c r="C119" s="281">
        <v>1053032.5</v>
      </c>
      <c r="D119" s="281">
        <v>1020452.3</v>
      </c>
      <c r="E119" s="281">
        <v>1149586.8999999999</v>
      </c>
      <c r="F119" s="281">
        <v>1224140.3</v>
      </c>
      <c r="G119" s="281">
        <v>1621376.7</v>
      </c>
    </row>
    <row r="120" spans="2:7" ht="17.399999999999999" hidden="1">
      <c r="B120" s="8" t="str">
        <f>"Net loans"</f>
        <v>Net loans</v>
      </c>
      <c r="C120" s="281">
        <v>868334</v>
      </c>
      <c r="D120" s="281">
        <v>904490</v>
      </c>
      <c r="E120" s="281">
        <v>960072</v>
      </c>
      <c r="F120" s="281">
        <v>936136</v>
      </c>
      <c r="G120" s="281">
        <v>984525</v>
      </c>
    </row>
    <row r="121" spans="2:7" ht="17.399999999999999" hidden="1">
      <c r="B121" s="18" t="str">
        <f>"Property Plant And Equipment"</f>
        <v>Property Plant And Equipment</v>
      </c>
      <c r="C121" s="281">
        <v>14131</v>
      </c>
      <c r="D121" s="281">
        <v>14159</v>
      </c>
      <c r="E121" s="281">
        <v>14934</v>
      </c>
      <c r="F121" s="281">
        <v>25813</v>
      </c>
      <c r="G121" s="281">
        <v>27109</v>
      </c>
    </row>
    <row r="122" spans="2:7" ht="17.399999999999999" hidden="1">
      <c r="B122" s="8" t="str">
        <f>"Goodwill"</f>
        <v>Goodwill</v>
      </c>
      <c r="C122" s="281">
        <v>47288</v>
      </c>
      <c r="D122" s="281">
        <v>47507</v>
      </c>
      <c r="E122" s="281">
        <v>47471</v>
      </c>
      <c r="F122" s="281">
        <v>47823</v>
      </c>
      <c r="G122" s="281">
        <v>49248</v>
      </c>
    </row>
    <row r="123" spans="2:7" ht="17.399999999999999" hidden="1">
      <c r="B123" s="8" t="str">
        <f>"Other intangible assets"</f>
        <v>Other intangible assets</v>
      </c>
      <c r="C123" s="281">
        <v>6958</v>
      </c>
      <c r="D123" s="281">
        <v>6885</v>
      </c>
      <c r="E123" s="281">
        <v>6878</v>
      </c>
      <c r="F123" s="281">
        <v>5518</v>
      </c>
      <c r="G123" s="281">
        <v>4180</v>
      </c>
    </row>
    <row r="124" spans="2:7" ht="17.399999999999999" hidden="1">
      <c r="B124" s="8" t="str">
        <f>"Long-term investments"</f>
        <v>Long-term investments</v>
      </c>
      <c r="C124" s="281">
        <v>0</v>
      </c>
      <c r="D124" s="281">
        <v>0</v>
      </c>
      <c r="E124" s="281">
        <v>0</v>
      </c>
      <c r="F124" s="281">
        <v>0</v>
      </c>
      <c r="G124" s="281">
        <v>0</v>
      </c>
    </row>
    <row r="125" spans="2:7" ht="17.399999999999999" hidden="1">
      <c r="B125" s="8" t="str">
        <f>"Other long-term assets"</f>
        <v>Other long-term assets</v>
      </c>
      <c r="C125" s="281">
        <v>0</v>
      </c>
      <c r="D125" s="281">
        <v>0</v>
      </c>
      <c r="E125" s="281">
        <v>0</v>
      </c>
      <c r="F125" s="281">
        <v>0</v>
      </c>
      <c r="G125" s="281">
        <v>0</v>
      </c>
    </row>
    <row r="126" spans="2:7" ht="17.399999999999999" hidden="1">
      <c r="B126" s="8" t="str">
        <f>"Other assets"</f>
        <v>Other assets</v>
      </c>
      <c r="C126" s="281">
        <v>228484</v>
      </c>
      <c r="D126" s="281">
        <v>239022</v>
      </c>
      <c r="E126" s="281">
        <v>248435</v>
      </c>
      <c r="F126" s="281">
        <v>295957</v>
      </c>
      <c r="G126" s="281">
        <v>346072</v>
      </c>
    </row>
    <row r="127" spans="2:7" ht="17.399999999999999" hidden="1">
      <c r="B127" s="394" t="str">
        <f>"Total assets"</f>
        <v>Total assets</v>
      </c>
      <c r="C127" s="395">
        <f>SUM(C118:C126)</f>
        <v>2490972</v>
      </c>
      <c r="D127" s="395">
        <f>SUM(D118:D126)</f>
        <v>2533600</v>
      </c>
      <c r="E127" s="395">
        <f>SUM(E118:E126)</f>
        <v>2622532</v>
      </c>
      <c r="F127" s="395">
        <f>SUM(F118:F126)</f>
        <v>2687379</v>
      </c>
      <c r="G127" s="395">
        <f>SUM(G118:G126)</f>
        <v>3384757</v>
      </c>
    </row>
    <row r="128" spans="2:7" ht="18" hidden="1">
      <c r="C128" s="35"/>
      <c r="D128" s="35"/>
      <c r="E128" s="35"/>
      <c r="F128" s="36"/>
      <c r="G128" s="35"/>
    </row>
    <row r="129" spans="2:7" ht="17.399999999999999" hidden="1">
      <c r="B129" s="8" t="str">
        <f>"Account payable"</f>
        <v>Account payable</v>
      </c>
      <c r="C129" s="281">
        <v>0</v>
      </c>
      <c r="D129" s="281">
        <v>0</v>
      </c>
      <c r="E129" s="281">
        <v>0</v>
      </c>
      <c r="F129" s="281">
        <v>0</v>
      </c>
      <c r="G129" s="281">
        <v>0</v>
      </c>
    </row>
    <row r="130" spans="2:7" ht="17.399999999999999" hidden="1">
      <c r="B130" s="8" t="str">
        <f>"Accrued expenses"</f>
        <v>Accrued expenses</v>
      </c>
      <c r="C130" s="281">
        <v>190543</v>
      </c>
      <c r="D130" s="281">
        <v>189383</v>
      </c>
      <c r="E130" s="281">
        <v>196710</v>
      </c>
      <c r="F130" s="281">
        <v>8505</v>
      </c>
      <c r="G130" s="281">
        <v>8508</v>
      </c>
    </row>
    <row r="131" spans="2:7" ht="17.399999999999999" hidden="1">
      <c r="B131" s="8" t="str">
        <f>"Total deposits"</f>
        <v>Total deposits</v>
      </c>
      <c r="C131" s="281">
        <v>1375179</v>
      </c>
      <c r="D131" s="281">
        <v>1443982</v>
      </c>
      <c r="E131" s="281">
        <v>1470666</v>
      </c>
      <c r="F131" s="281">
        <v>1562431</v>
      </c>
      <c r="G131" s="281">
        <v>2144257</v>
      </c>
    </row>
    <row r="132" spans="2:7" ht="17.399999999999999" hidden="1">
      <c r="B132" s="8" t="str">
        <f>"Total short-term borrowings"</f>
        <v>Total short-term borrowings</v>
      </c>
      <c r="C132" s="281">
        <v>200109</v>
      </c>
      <c r="D132" s="281">
        <v>210718</v>
      </c>
      <c r="E132" s="281">
        <v>251596</v>
      </c>
      <c r="F132" s="281">
        <v>224595</v>
      </c>
      <c r="G132" s="281">
        <v>260417</v>
      </c>
    </row>
    <row r="133" spans="2:7" ht="17.399999999999999" hidden="1">
      <c r="B133" s="18" t="str">
        <f>"Current Portion of LT Debt/Capital Leases"</f>
        <v>Current Portion of LT Debt/Capital Leases</v>
      </c>
      <c r="C133" s="281">
        <v>0</v>
      </c>
      <c r="D133" s="281">
        <v>0</v>
      </c>
      <c r="E133" s="281">
        <v>0</v>
      </c>
      <c r="F133" s="281">
        <v>28779</v>
      </c>
      <c r="G133" s="281">
        <v>0</v>
      </c>
    </row>
    <row r="134" spans="2:7" ht="17.399999999999999" hidden="1">
      <c r="B134" s="8" t="str">
        <f>"Other current liabilities"</f>
        <v>Other current liabilities</v>
      </c>
      <c r="C134" s="281">
        <v>0</v>
      </c>
      <c r="D134" s="281">
        <v>0</v>
      </c>
      <c r="E134" s="281">
        <v>0</v>
      </c>
      <c r="F134" s="281">
        <v>0</v>
      </c>
      <c r="G134" s="281">
        <v>0</v>
      </c>
    </row>
    <row r="135" spans="2:7" ht="17.399999999999999" hidden="1">
      <c r="B135" s="8" t="str">
        <f>"Long-term debts"</f>
        <v>Long-term debts</v>
      </c>
      <c r="C135" s="281">
        <v>295245</v>
      </c>
      <c r="D135" s="281">
        <v>284080</v>
      </c>
      <c r="E135" s="281">
        <v>282031</v>
      </c>
      <c r="F135" s="281">
        <v>234084</v>
      </c>
      <c r="G135" s="281">
        <v>281685</v>
      </c>
    </row>
    <row r="136" spans="2:7" ht="17.399999999999999" hidden="1">
      <c r="B136" s="8" t="str">
        <f>"Deferred income tax"</f>
        <v>Deferred income tax</v>
      </c>
      <c r="C136" s="281">
        <v>0</v>
      </c>
      <c r="D136" s="281">
        <v>0</v>
      </c>
      <c r="E136" s="281">
        <v>0</v>
      </c>
      <c r="F136" s="281">
        <v>0</v>
      </c>
      <c r="G136" s="281">
        <v>0</v>
      </c>
    </row>
    <row r="137" spans="2:7" ht="17.399999999999999" hidden="1">
      <c r="B137" s="8" t="str">
        <f>"Other liabilities"</f>
        <v>Other liabilities</v>
      </c>
      <c r="C137" s="281">
        <v>175706</v>
      </c>
      <c r="D137" s="281">
        <v>149744</v>
      </c>
      <c r="E137" s="281">
        <v>165014</v>
      </c>
      <c r="F137" s="281">
        <v>137118</v>
      </c>
      <c r="G137" s="281">
        <v>187759</v>
      </c>
    </row>
    <row r="138" spans="2:7" ht="17.399999999999999" hidden="1">
      <c r="B138" s="394" t="str">
        <f>"Total liabilities"</f>
        <v>Total liabilities</v>
      </c>
      <c r="C138" s="395">
        <f>SUM(C129:C137)</f>
        <v>2236782</v>
      </c>
      <c r="D138" s="395">
        <f>SUM(D129:D137)</f>
        <v>2277907</v>
      </c>
      <c r="E138" s="395">
        <f>SUM(E129:E137)</f>
        <v>2366017</v>
      </c>
      <c r="F138" s="395">
        <f>SUM(F129:F137)</f>
        <v>2195512</v>
      </c>
      <c r="G138" s="395">
        <f>SUM(G129:G137)</f>
        <v>2882626</v>
      </c>
    </row>
    <row r="139" spans="2:7" ht="18" hidden="1">
      <c r="C139" s="35"/>
      <c r="D139" s="35"/>
      <c r="E139" s="35"/>
      <c r="F139" s="36"/>
      <c r="G139" s="35"/>
    </row>
    <row r="140" spans="2:7" ht="17.399999999999999" hidden="1">
      <c r="B140" s="8" t="str">
        <f>"Charter Capital"</f>
        <v>Charter Capital</v>
      </c>
      <c r="C140" s="281">
        <v>4105</v>
      </c>
      <c r="D140" s="281">
        <v>4105</v>
      </c>
      <c r="E140" s="281">
        <v>4105</v>
      </c>
      <c r="F140" s="281">
        <v>4105</v>
      </c>
      <c r="G140" s="281">
        <v>4105</v>
      </c>
    </row>
    <row r="141" spans="2:7" ht="17.399999999999999" hidden="1">
      <c r="B141" s="8" t="str">
        <f>"Preferred stock"</f>
        <v>Preferred stock</v>
      </c>
      <c r="C141" s="281">
        <v>26068</v>
      </c>
      <c r="D141" s="281">
        <v>26068</v>
      </c>
      <c r="E141" s="281">
        <v>26068</v>
      </c>
      <c r="F141" s="281">
        <v>26993</v>
      </c>
      <c r="G141" s="281">
        <v>30063</v>
      </c>
    </row>
    <row r="142" spans="2:7" ht="17.399999999999999" hidden="1">
      <c r="B142" s="8" t="str">
        <f>"Additional paid-in capital"</f>
        <v>Additional paid-in capital</v>
      </c>
      <c r="C142" s="281">
        <v>91627</v>
      </c>
      <c r="D142" s="281">
        <v>90579</v>
      </c>
      <c r="E142" s="281">
        <v>89162</v>
      </c>
      <c r="F142" s="281">
        <v>88522</v>
      </c>
      <c r="G142" s="281">
        <v>88394</v>
      </c>
    </row>
    <row r="143" spans="2:7" ht="17.399999999999999" hidden="1">
      <c r="B143" s="8" t="str">
        <f>"Retained earnings"</f>
        <v>Retained earnings</v>
      </c>
      <c r="C143" s="281">
        <v>162440</v>
      </c>
      <c r="D143" s="281">
        <v>177676</v>
      </c>
      <c r="E143" s="281">
        <v>199202</v>
      </c>
      <c r="F143" s="281">
        <v>223211</v>
      </c>
      <c r="G143" s="281">
        <v>236990</v>
      </c>
    </row>
    <row r="144" spans="2:7" ht="17.399999999999999" hidden="1">
      <c r="B144" s="8" t="str">
        <f>"Treasury stock"</f>
        <v>Treasury stock</v>
      </c>
      <c r="C144" s="281">
        <v>-28875</v>
      </c>
      <c r="D144" s="281">
        <v>-42616</v>
      </c>
      <c r="E144" s="281">
        <v>-60515</v>
      </c>
      <c r="F144" s="281">
        <v>-83070</v>
      </c>
      <c r="G144" s="281">
        <v>-88184</v>
      </c>
    </row>
    <row r="145" spans="2:7" ht="17.399999999999999" hidden="1">
      <c r="B145" s="8" t="str">
        <f>"Unrealized gain/loss"</f>
        <v>Unrealized gain/loss</v>
      </c>
      <c r="C145" s="281">
        <v>1524</v>
      </c>
      <c r="D145" s="281">
        <v>2164</v>
      </c>
      <c r="E145" s="281">
        <v>1202</v>
      </c>
      <c r="F145" s="281">
        <v>4057</v>
      </c>
      <c r="G145" s="281">
        <v>8180</v>
      </c>
    </row>
    <row r="146" spans="2:7" ht="17.399999999999999" hidden="1">
      <c r="B146" s="8" t="str">
        <f>"Other equity"</f>
        <v>Other equity</v>
      </c>
      <c r="C146" s="281">
        <v>-2699</v>
      </c>
      <c r="D146" s="281">
        <v>-2283</v>
      </c>
      <c r="E146" s="281">
        <v>-2709</v>
      </c>
      <c r="F146" s="281">
        <v>-2488</v>
      </c>
      <c r="G146" s="281">
        <v>-194</v>
      </c>
    </row>
    <row r="147" spans="2:7" ht="2.25" hidden="1" customHeight="1">
      <c r="C147" s="281"/>
      <c r="D147" s="281"/>
      <c r="E147" s="281"/>
      <c r="F147" s="281"/>
      <c r="G147" s="281"/>
    </row>
    <row r="148" spans="2:7" ht="18" hidden="1" thickBot="1">
      <c r="B148" s="39" t="str">
        <f>"Total equity"</f>
        <v>Total equity</v>
      </c>
      <c r="C148" s="40">
        <f>SUM(C140:C147)</f>
        <v>254190</v>
      </c>
      <c r="D148" s="40">
        <f>SUM(D140:D147)</f>
        <v>255693</v>
      </c>
      <c r="E148" s="40">
        <f>SUM(E140:E147)</f>
        <v>256515</v>
      </c>
      <c r="F148" s="40">
        <f>SUM(F140:F147)</f>
        <v>261330</v>
      </c>
      <c r="G148" s="40">
        <f>SUM(G140:G147)</f>
        <v>279354</v>
      </c>
    </row>
    <row r="149" spans="2:7" ht="17.399999999999999" hidden="1">
      <c r="B149" s="41"/>
    </row>
    <row r="150" spans="2:7" ht="17.399999999999999" hidden="1">
      <c r="B150" s="292"/>
      <c r="C150" s="293"/>
      <c r="D150" s="293"/>
      <c r="E150" s="293"/>
      <c r="F150" s="293"/>
      <c r="G150" s="293"/>
    </row>
    <row r="151" spans="2:7" ht="17.399999999999999">
      <c r="B151" s="42"/>
    </row>
    <row r="152" spans="2:7" ht="17.399999999999999">
      <c r="B152" s="42"/>
    </row>
    <row r="153" spans="2:7" ht="17.399999999999999">
      <c r="B153" s="18"/>
    </row>
    <row r="154" spans="2:7" ht="17.399999999999999">
      <c r="B154" s="42"/>
    </row>
    <row r="155" spans="2:7" ht="17.399999999999999">
      <c r="B155" s="42"/>
    </row>
    <row r="156" spans="2:7" ht="17.399999999999999">
      <c r="B156" s="42"/>
    </row>
    <row r="157" spans="2:7" ht="17.399999999999999">
      <c r="B157" s="42"/>
    </row>
    <row r="158" spans="2:7" ht="17.399999999999999">
      <c r="B158" s="42"/>
    </row>
    <row r="159" spans="2:7" ht="17.399999999999999">
      <c r="B159" s="18"/>
    </row>
    <row r="160" spans="2:7" ht="17.399999999999999">
      <c r="B160" s="43"/>
    </row>
    <row r="161" spans="2:2" ht="17.399999999999999">
      <c r="B161" s="43"/>
    </row>
    <row r="162" spans="2:2" ht="17.399999999999999">
      <c r="B162" s="43"/>
    </row>
    <row r="163" spans="2:2" ht="17.399999999999999">
      <c r="B163" s="43"/>
    </row>
    <row r="164" spans="2:2" ht="17.399999999999999">
      <c r="B164" s="43"/>
    </row>
    <row r="165" spans="2:2" ht="17.399999999999999">
      <c r="B165" s="18"/>
    </row>
    <row r="166" spans="2:2" ht="17.399999999999999">
      <c r="B166" s="43"/>
    </row>
    <row r="167" spans="2:2" ht="17.399999999999999">
      <c r="B167" s="43"/>
    </row>
    <row r="168" spans="2:2" ht="17.399999999999999">
      <c r="B168" s="42"/>
    </row>
    <row r="169" spans="2:2" ht="17.399999999999999">
      <c r="B169" s="42"/>
    </row>
    <row r="170" spans="2:2" ht="17.399999999999999">
      <c r="B170" s="42"/>
    </row>
    <row r="171" spans="2:2" ht="17.399999999999999">
      <c r="B171" s="18"/>
    </row>
    <row r="172" spans="2:2" ht="17.399999999999999">
      <c r="B172" s="42"/>
    </row>
    <row r="173" spans="2:2" ht="17.399999999999999">
      <c r="B173" s="42"/>
    </row>
    <row r="174" spans="2:2" ht="17.399999999999999">
      <c r="B174" s="42"/>
    </row>
    <row r="175" spans="2:2" ht="17.399999999999999">
      <c r="B175" s="42"/>
    </row>
    <row r="176" spans="2:2" ht="17.399999999999999">
      <c r="B176" s="42"/>
    </row>
    <row r="177" spans="2:2" ht="17.399999999999999">
      <c r="B177" s="18"/>
    </row>
    <row r="178" spans="2:2" ht="17.399999999999999">
      <c r="B178" s="42"/>
    </row>
    <row r="179" spans="2:2" ht="17.399999999999999">
      <c r="B179" s="42"/>
    </row>
    <row r="180" spans="2:2" ht="17.399999999999999">
      <c r="B180" s="42"/>
    </row>
    <row r="181" spans="2:2" ht="17.399999999999999">
      <c r="B181" s="42"/>
    </row>
    <row r="182" spans="2:2" ht="17.399999999999999">
      <c r="B182" s="42"/>
    </row>
    <row r="183" spans="2:2" ht="17.399999999999999">
      <c r="B183" s="18"/>
    </row>
    <row r="184" spans="2:2" ht="17.399999999999999">
      <c r="B184" s="42"/>
    </row>
    <row r="185" spans="2:2" ht="17.399999999999999">
      <c r="B185" s="42"/>
    </row>
    <row r="186" spans="2:2" ht="17.399999999999999">
      <c r="B186" s="42"/>
    </row>
    <row r="187" spans="2:2" ht="17.399999999999999">
      <c r="B187" s="42"/>
    </row>
    <row r="188" spans="2:2" ht="17.399999999999999">
      <c r="B188" s="42"/>
    </row>
  </sheetData>
  <mergeCells count="4">
    <mergeCell ref="C4:G4"/>
    <mergeCell ref="C58:G58"/>
    <mergeCell ref="C89:G89"/>
    <mergeCell ref="C115:G1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A8436"/>
    <outlinePr summaryBelow="0" summaryRight="0"/>
  </sheetPr>
  <dimension ref="B1:X55"/>
  <sheetViews>
    <sheetView showGridLines="0" zoomScale="80" zoomScaleNormal="80" workbookViewId="0">
      <selection activeCell="E7" sqref="E7"/>
    </sheetView>
  </sheetViews>
  <sheetFormatPr defaultColWidth="14.44140625" defaultRowHeight="15.75" customHeight="1"/>
  <cols>
    <col min="1" max="1" width="7.33203125" style="6" customWidth="1"/>
    <col min="2" max="2" width="14.44140625" style="6"/>
    <col min="3" max="3" width="24" style="6" customWidth="1"/>
    <col min="4" max="4" width="10" style="6" customWidth="1"/>
    <col min="5" max="5" width="19.109375" style="6" customWidth="1"/>
    <col min="6" max="7" width="14.44140625" style="6"/>
    <col min="8" max="8" width="20.109375" style="6" customWidth="1"/>
    <col min="9" max="16384" width="14.44140625" style="6"/>
  </cols>
  <sheetData>
    <row r="1" spans="2:8" ht="19.95" customHeight="1">
      <c r="F1" s="7"/>
      <c r="G1" s="7"/>
      <c r="H1" s="7"/>
    </row>
    <row r="2" spans="2:8" ht="19.95" customHeight="1">
      <c r="B2" s="107" t="s">
        <v>22</v>
      </c>
      <c r="D2" s="44" t="s">
        <v>23</v>
      </c>
      <c r="E2" s="44" t="s">
        <v>24</v>
      </c>
      <c r="F2" s="7"/>
      <c r="G2" s="45"/>
      <c r="H2" s="45"/>
    </row>
    <row r="3" spans="2:8" ht="19.95" customHeight="1">
      <c r="F3" s="7"/>
      <c r="G3" s="7"/>
      <c r="H3" s="46" t="s">
        <v>25</v>
      </c>
    </row>
    <row r="4" spans="2:8" ht="19.95" customHeight="1">
      <c r="F4" s="7"/>
      <c r="G4" s="47"/>
      <c r="H4" s="48">
        <f>F10</f>
        <v>7.5787018337613921E-2</v>
      </c>
    </row>
    <row r="5" spans="2:8" ht="19.95" customHeight="1">
      <c r="F5" s="7"/>
      <c r="G5" s="7"/>
      <c r="H5" s="7"/>
    </row>
    <row r="6" spans="2:8" ht="19.95" customHeight="1">
      <c r="B6" s="49"/>
      <c r="C6" s="49"/>
      <c r="D6" s="49"/>
      <c r="E6" s="50" t="s">
        <v>26</v>
      </c>
      <c r="F6" s="50" t="s">
        <v>27</v>
      </c>
      <c r="G6" s="7"/>
      <c r="H6" s="51" t="s">
        <v>28</v>
      </c>
    </row>
    <row r="7" spans="2:8" ht="19.95" customHeight="1">
      <c r="B7" s="8" t="s">
        <v>29</v>
      </c>
      <c r="E7" s="7" t="str">
        <f>CONCATENATE(ROUND(WACC!D17*100,1),"% - ",ROUND(WACC!E17*100,1),"%")</f>
        <v>6.4% - 8.2%</v>
      </c>
      <c r="F7" s="52">
        <f>WACC!D19</f>
        <v>7.2939116623051053E-2</v>
      </c>
      <c r="G7" s="7"/>
      <c r="H7" s="51" t="str">
        <f>CONCATENATE(TEXT(ROUND(Master!$F$4,2),"#,##0.00;(#,##0.00)")," ",Master!$G$4)</f>
        <v>379.16 USD</v>
      </c>
    </row>
    <row r="8" spans="2:8" ht="19.95" customHeight="1">
      <c r="B8" s="8" t="str">
        <f>IF(E2="Growth Exit", "Long-term Growth Rate", "Peers' EV/EBITDA multiples")</f>
        <v>Long-term Growth Rate</v>
      </c>
      <c r="E8" s="7" t="str">
        <f>IF(E2="Growth Exit", CONCATENATE(ROUND(Master!E17*100,1),"% - ",ROUND(Master!F17*100,1),"%"),CONCATENATE('Trading Multiples'!K55," - ",'Trading Multiples'!N55) )</f>
        <v>1% - 3%</v>
      </c>
      <c r="F8" s="52">
        <f>IF(E2="Growth Exit", AVERAGE(Master!E17:F17),'Trading Multiples'!E45)</f>
        <v>0.02</v>
      </c>
      <c r="G8" s="7"/>
      <c r="H8" s="7"/>
    </row>
    <row r="9" spans="2:8" ht="19.95" customHeight="1">
      <c r="B9" s="53" t="s">
        <v>30</v>
      </c>
      <c r="E9" s="7" t="str">
        <f>TEXT(MIN('Terminal Value'!D51,'Terminal Value'!D64),"#,##0.00;(#,##0.00)")&amp;" - "&amp;TEXT(MAX('Terminal Value'!D64,'Terminal Value'!D51),"#,##0.00;(#,##0.00)")</f>
        <v>297.58 - 637.41</v>
      </c>
      <c r="F9" s="54">
        <f>'Terminal Value'!C35</f>
        <v>407.89540587288968</v>
      </c>
      <c r="G9" s="7"/>
      <c r="H9" s="51" t="s">
        <v>30</v>
      </c>
    </row>
    <row r="10" spans="2:8" ht="19.95" customHeight="1">
      <c r="B10" s="53" t="s">
        <v>25</v>
      </c>
      <c r="E10" s="7" t="str">
        <f>CONCATENATE(ROUND((MIN('Terminal Value'!D51,'Terminal Value'!D64)/Master!F4-1)*100,1),"% - ",ROUND((MAX('Terminal Value'!D51,'Terminal Value'!D64)/Master!F4-1)*100,1),"%")</f>
        <v>-21.5% - 68.1%</v>
      </c>
      <c r="F10" s="55">
        <f>F9/Master!F4-1</f>
        <v>7.5787018337613921E-2</v>
      </c>
      <c r="G10" s="7"/>
      <c r="H10" s="51" t="str">
        <f>CONCATENATE(TEXT(ROUND(F9,2),"#,##0.00;(#,##0.00)")," ",Master!$G$4)</f>
        <v>407.90 USD</v>
      </c>
    </row>
    <row r="55" spans="24:24" ht="15.75" customHeight="1">
      <c r="X55" s="8">
        <f>IF(C55&gt;=$G$48+LEFT(D2,1),0, SUM(G55:P55))</f>
        <v>0</v>
      </c>
    </row>
  </sheetData>
  <conditionalFormatting sqref="H3">
    <cfRule type="expression" dxfId="17" priority="1">
      <formula>H4&lt;0</formula>
    </cfRule>
  </conditionalFormatting>
  <conditionalFormatting sqref="H4">
    <cfRule type="cellIs" dxfId="16" priority="2" operator="lessThan">
      <formula>0</formula>
    </cfRule>
  </conditionalFormatting>
  <dataValidations count="2">
    <dataValidation type="list" allowBlank="1" showErrorMessage="1" sqref="D2" xr:uid="{00000000-0002-0000-0200-000000000000}">
      <formula1>"5Y,10Y"</formula1>
    </dataValidation>
    <dataValidation type="list" allowBlank="1" showErrorMessage="1" sqref="E2" xr:uid="{00000000-0002-0000-0200-000001000000}">
      <formula1>"Growth Exit,EBITDA Multiples"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005"/>
  <sheetViews>
    <sheetView showGridLines="0" topLeftCell="A15" zoomScale="80" zoomScaleNormal="80" workbookViewId="0">
      <selection activeCell="E27" sqref="E27:I27"/>
    </sheetView>
  </sheetViews>
  <sheetFormatPr defaultColWidth="14.44140625" defaultRowHeight="15.75" customHeight="1"/>
  <cols>
    <col min="1" max="1" width="7.33203125" style="6" customWidth="1"/>
    <col min="2" max="2" width="29.109375" style="6" customWidth="1"/>
    <col min="3" max="3" width="17.33203125" style="6" customWidth="1"/>
    <col min="4" max="4" width="1.6640625" style="6" customWidth="1"/>
    <col min="5" max="9" width="17.33203125" style="6" customWidth="1"/>
    <col min="10" max="14" width="17.33203125" style="6" hidden="1" customWidth="1"/>
    <col min="15" max="16384" width="14.44140625" style="6"/>
  </cols>
  <sheetData>
    <row r="1" spans="1:14" ht="17.399999999999999">
      <c r="K1" s="7"/>
      <c r="L1" s="7"/>
      <c r="M1" s="7"/>
      <c r="N1" s="7"/>
    </row>
    <row r="2" spans="1:14" ht="21">
      <c r="B2" s="140" t="str">
        <f>"Revenue &amp; Expenses Forecast"</f>
        <v>Revenue &amp; Expenses Forecast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ht="17.399999999999999">
      <c r="B3" s="18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1:14" ht="28.95" customHeight="1">
      <c r="B4" s="229" t="str">
        <f>Financials!B58</f>
        <v>(USD in millions)</v>
      </c>
      <c r="C4" s="60"/>
      <c r="D4" s="119"/>
      <c r="E4" s="422" t="str">
        <f>"Projections"</f>
        <v>Projections</v>
      </c>
      <c r="F4" s="421"/>
      <c r="G4" s="421"/>
      <c r="H4" s="421"/>
      <c r="I4" s="421"/>
      <c r="J4" s="421"/>
      <c r="K4" s="421"/>
      <c r="L4" s="421"/>
      <c r="M4" s="421"/>
      <c r="N4" s="421"/>
    </row>
    <row r="5" spans="1:14" ht="17.399999999999999">
      <c r="B5" s="120"/>
      <c r="C5" s="303" t="str">
        <f>Financials!G5</f>
        <v>Feb-2025</v>
      </c>
      <c r="D5" s="121"/>
      <c r="E5" s="82" t="str">
        <f>CONCATENATE(LEFT(C5,4),RIGHT(C5,4)+1)</f>
        <v>Feb-2026</v>
      </c>
      <c r="F5" s="82" t="str">
        <f t="shared" ref="F5:N5" si="0">CONCATENATE(LEFT(E5,4),RIGHT(E5,4)+1)</f>
        <v>Feb-2027</v>
      </c>
      <c r="G5" s="82" t="str">
        <f t="shared" si="0"/>
        <v>Feb-2028</v>
      </c>
      <c r="H5" s="82" t="str">
        <f t="shared" si="0"/>
        <v>Feb-2029</v>
      </c>
      <c r="I5" s="82" t="str">
        <f t="shared" si="0"/>
        <v>Feb-2030</v>
      </c>
      <c r="J5" s="82" t="str">
        <f t="shared" si="0"/>
        <v>Feb-2031</v>
      </c>
      <c r="K5" s="82" t="str">
        <f t="shared" si="0"/>
        <v>Feb-2032</v>
      </c>
      <c r="L5" s="82" t="str">
        <f t="shared" si="0"/>
        <v>Feb-2033</v>
      </c>
      <c r="M5" s="82" t="str">
        <f t="shared" si="0"/>
        <v>Feb-2034</v>
      </c>
      <c r="N5" s="82" t="str">
        <f t="shared" si="0"/>
        <v>Feb-2035</v>
      </c>
    </row>
    <row r="6" spans="1:14" ht="17.399999999999999">
      <c r="B6" s="307"/>
      <c r="C6" s="122"/>
      <c r="D6" s="123"/>
      <c r="E6" s="122"/>
      <c r="F6" s="122"/>
      <c r="G6" s="122"/>
      <c r="H6" s="122"/>
      <c r="I6" s="122"/>
      <c r="J6" s="122"/>
      <c r="K6" s="122"/>
      <c r="L6" s="122"/>
      <c r="M6" s="122"/>
      <c r="N6" s="122"/>
    </row>
    <row r="7" spans="1:14" ht="17.399999999999999">
      <c r="B7" s="67" t="str">
        <f>"Revenue"</f>
        <v>Revenue</v>
      </c>
      <c r="C7" s="124">
        <f>Financials!G61</f>
        <v>159514</v>
      </c>
      <c r="D7" s="125"/>
      <c r="E7" s="124">
        <f>C7*(1+E8)</f>
        <v>167892.28919756314</v>
      </c>
      <c r="F7" s="124">
        <f t="shared" ref="F7:N7" si="1">E7*(1+F8)</f>
        <v>171250.13498151439</v>
      </c>
      <c r="G7" s="124">
        <f t="shared" si="1"/>
        <v>175648.40927559391</v>
      </c>
      <c r="H7" s="124">
        <f t="shared" si="1"/>
        <v>182419.52371871952</v>
      </c>
      <c r="I7" s="124">
        <f t="shared" si="1"/>
        <v>190703.75422590965</v>
      </c>
      <c r="J7" s="124">
        <f t="shared" si="1"/>
        <v>194517.82931042786</v>
      </c>
      <c r="K7" s="124">
        <f t="shared" si="1"/>
        <v>204734.65434174164</v>
      </c>
      <c r="L7" s="124">
        <f t="shared" si="1"/>
        <v>211013.12056262512</v>
      </c>
      <c r="M7" s="124">
        <f t="shared" si="1"/>
        <v>216617.78903415063</v>
      </c>
      <c r="N7" s="124">
        <f t="shared" si="1"/>
        <v>220950.14481483365</v>
      </c>
    </row>
    <row r="8" spans="1:14" ht="18">
      <c r="B8" s="14" t="str">
        <f>"% Growth"</f>
        <v>% Growth</v>
      </c>
      <c r="C8" s="126">
        <f>Financials!G61/Financials!F61-1</f>
        <v>4.4835559281845017E-2</v>
      </c>
      <c r="D8" s="127"/>
      <c r="E8" s="610">
        <v>5.2523848675120319E-2</v>
      </c>
      <c r="F8" s="610">
        <v>0.02</v>
      </c>
      <c r="G8" s="610">
        <v>2.5683333298127164E-2</v>
      </c>
      <c r="H8" s="610">
        <v>3.8549250010580439E-2</v>
      </c>
      <c r="I8" s="610">
        <v>4.5413069491201823E-2</v>
      </c>
      <c r="J8" s="128">
        <v>0.02</v>
      </c>
      <c r="K8" s="128">
        <v>5.2523848675120319E-2</v>
      </c>
      <c r="L8" s="128">
        <v>3.0666358077336177E-2</v>
      </c>
      <c r="M8" s="128">
        <v>2.6560758196370632E-2</v>
      </c>
      <c r="N8" s="128">
        <v>0.02</v>
      </c>
    </row>
    <row r="9" spans="1:14" ht="6.75" customHeight="1">
      <c r="B9" s="420"/>
      <c r="C9" s="421"/>
      <c r="D9" s="123"/>
    </row>
    <row r="10" spans="1:14" ht="9.75" customHeight="1">
      <c r="B10" s="19"/>
      <c r="C10" s="129"/>
      <c r="D10" s="130"/>
      <c r="E10" s="129"/>
      <c r="F10" s="129"/>
      <c r="G10" s="129"/>
      <c r="H10" s="129"/>
      <c r="I10" s="129"/>
      <c r="J10" s="129"/>
      <c r="K10" s="129"/>
      <c r="L10" s="129"/>
      <c r="M10" s="129"/>
      <c r="N10" s="129"/>
    </row>
    <row r="11" spans="1:14" ht="17.399999999999999">
      <c r="B11" s="19" t="str">
        <f>"Cost of goods sold"</f>
        <v>Cost of goods sold</v>
      </c>
      <c r="C11" s="63">
        <f>Financials!G62</f>
        <v>-106206</v>
      </c>
      <c r="D11" s="131"/>
      <c r="E11" s="63">
        <f t="shared" ref="E11:N11" si="2">-E12*E7</f>
        <v>-109548.66091494203</v>
      </c>
      <c r="F11" s="63">
        <f t="shared" si="2"/>
        <v>-109504.84145057604</v>
      </c>
      <c r="G11" s="63">
        <f t="shared" si="2"/>
        <v>-110070.94497548358</v>
      </c>
      <c r="H11" s="63">
        <f t="shared" si="2"/>
        <v>-112027.81540519945</v>
      </c>
      <c r="I11" s="63">
        <f t="shared" si="2"/>
        <v>-114773.03552372042</v>
      </c>
      <c r="J11" s="63">
        <f t="shared" si="2"/>
        <v>-117068.49623419483</v>
      </c>
      <c r="K11" s="63">
        <f t="shared" si="2"/>
        <v>-123217.38421502357</v>
      </c>
      <c r="L11" s="63">
        <f t="shared" si="2"/>
        <v>-126996.01264071418</v>
      </c>
      <c r="M11" s="63">
        <f t="shared" si="2"/>
        <v>-130369.12302436742</v>
      </c>
      <c r="N11" s="63">
        <f t="shared" si="2"/>
        <v>-132976.50548485477</v>
      </c>
    </row>
    <row r="12" spans="1:14" ht="18">
      <c r="B12" s="14" t="str">
        <f>"% of Revenue"</f>
        <v>% of Revenue</v>
      </c>
      <c r="C12" s="126">
        <f>ABS(C11/C7)</f>
        <v>0.66580989756385023</v>
      </c>
      <c r="D12" s="127"/>
      <c r="E12" s="610">
        <v>0.6524936996125732</v>
      </c>
      <c r="F12" s="610">
        <v>0.63944382562032176</v>
      </c>
      <c r="G12" s="610">
        <v>0.6266549491079153</v>
      </c>
      <c r="H12" s="610">
        <v>0.61412185012575704</v>
      </c>
      <c r="I12" s="610">
        <v>0.60183941312324185</v>
      </c>
      <c r="J12" s="128">
        <v>0.60183941312324185</v>
      </c>
      <c r="K12" s="128">
        <v>0.60183941312324185</v>
      </c>
      <c r="L12" s="128">
        <v>0.60183941312324185</v>
      </c>
      <c r="M12" s="128">
        <v>0.60183941312324185</v>
      </c>
      <c r="N12" s="128">
        <v>0.60183941312324185</v>
      </c>
    </row>
    <row r="13" spans="1:14" ht="17.399999999999999">
      <c r="A13" s="307"/>
      <c r="B13" s="307"/>
      <c r="D13" s="123"/>
    </row>
    <row r="14" spans="1:14" ht="17.399999999999999">
      <c r="B14" s="19" t="str">
        <f>"Selling, G&amp;A expenses"</f>
        <v>Selling, G&amp;A expenses</v>
      </c>
      <c r="C14" s="63">
        <f>Financials!G65</f>
        <v>-28748</v>
      </c>
      <c r="D14" s="131"/>
      <c r="E14" s="63">
        <f t="shared" ref="E14:N14" si="3">-E15*E7</f>
        <v>-30257.955601712354</v>
      </c>
      <c r="F14" s="63">
        <f t="shared" si="3"/>
        <v>-30863.1147137466</v>
      </c>
      <c r="G14" s="63">
        <f t="shared" si="3"/>
        <v>-31655.78237555809</v>
      </c>
      <c r="H14" s="63">
        <f t="shared" si="3"/>
        <v>-32876.089044634005</v>
      </c>
      <c r="I14" s="63">
        <f t="shared" si="3"/>
        <v>-34369.093161016906</v>
      </c>
      <c r="J14" s="63">
        <f t="shared" si="3"/>
        <v>-35056.475024237247</v>
      </c>
      <c r="K14" s="63">
        <f t="shared" si="3"/>
        <v>-36897.776013493414</v>
      </c>
      <c r="L14" s="63">
        <f t="shared" si="3"/>
        <v>-38029.296424980545</v>
      </c>
      <c r="M14" s="63">
        <f t="shared" si="3"/>
        <v>-39039.383371702555</v>
      </c>
      <c r="N14" s="63">
        <f t="shared" si="3"/>
        <v>-39820.171039136614</v>
      </c>
    </row>
    <row r="15" spans="1:14" ht="18">
      <c r="B15" s="14" t="str">
        <f>"% of Revenue"</f>
        <v>% of Revenue</v>
      </c>
      <c r="C15" s="126">
        <f>ABS(C14/C7)</f>
        <v>0.1802224256178141</v>
      </c>
      <c r="D15" s="127"/>
      <c r="E15" s="610">
        <f>C15</f>
        <v>0.1802224256178141</v>
      </c>
      <c r="F15" s="610">
        <f>C15</f>
        <v>0.1802224256178141</v>
      </c>
      <c r="G15" s="610">
        <f>C15</f>
        <v>0.1802224256178141</v>
      </c>
      <c r="H15" s="610">
        <f>C15</f>
        <v>0.1802224256178141</v>
      </c>
      <c r="I15" s="610">
        <f>C15</f>
        <v>0.1802224256178141</v>
      </c>
      <c r="J15" s="128">
        <f>C15</f>
        <v>0.1802224256178141</v>
      </c>
      <c r="K15" s="128">
        <f>C15</f>
        <v>0.1802224256178141</v>
      </c>
      <c r="L15" s="128">
        <f>C15</f>
        <v>0.1802224256178141</v>
      </c>
      <c r="M15" s="128">
        <f>C15</f>
        <v>0.1802224256178141</v>
      </c>
      <c r="N15" s="128">
        <f>C15</f>
        <v>0.1802224256178141</v>
      </c>
    </row>
    <row r="16" spans="1:14" ht="17.399999999999999">
      <c r="B16" s="420"/>
      <c r="C16" s="421"/>
      <c r="D16" s="123"/>
    </row>
    <row r="17" spans="1:14" ht="17.399999999999999">
      <c r="B17" s="19" t="str">
        <f>"Research &amp; Development"</f>
        <v>Research &amp; Development</v>
      </c>
      <c r="C17" s="63">
        <f>Financials!G66</f>
        <v>0</v>
      </c>
      <c r="D17" s="131"/>
      <c r="E17" s="63">
        <f t="shared" ref="E17:N17" si="4">-E18*E7</f>
        <v>0</v>
      </c>
      <c r="F17" s="63">
        <f t="shared" si="4"/>
        <v>0</v>
      </c>
      <c r="G17" s="63">
        <f t="shared" si="4"/>
        <v>0</v>
      </c>
      <c r="H17" s="63">
        <f t="shared" si="4"/>
        <v>0</v>
      </c>
      <c r="I17" s="63">
        <f t="shared" si="4"/>
        <v>0</v>
      </c>
      <c r="J17" s="63">
        <f t="shared" si="4"/>
        <v>0</v>
      </c>
      <c r="K17" s="63">
        <f t="shared" si="4"/>
        <v>0</v>
      </c>
      <c r="L17" s="63">
        <f t="shared" si="4"/>
        <v>0</v>
      </c>
      <c r="M17" s="63">
        <f t="shared" si="4"/>
        <v>0</v>
      </c>
      <c r="N17" s="63">
        <f t="shared" si="4"/>
        <v>0</v>
      </c>
    </row>
    <row r="18" spans="1:14" ht="18">
      <c r="B18" s="14" t="str">
        <f>"% of Revenue"</f>
        <v>% of Revenue</v>
      </c>
      <c r="C18" s="126">
        <f>ABS(C17/C7)</f>
        <v>0</v>
      </c>
      <c r="D18" s="127"/>
      <c r="E18" s="610">
        <f>C18</f>
        <v>0</v>
      </c>
      <c r="F18" s="610">
        <f>C18</f>
        <v>0</v>
      </c>
      <c r="G18" s="610">
        <f>C18</f>
        <v>0</v>
      </c>
      <c r="H18" s="610">
        <f>C18</f>
        <v>0</v>
      </c>
      <c r="I18" s="610">
        <f>C18</f>
        <v>0</v>
      </c>
      <c r="J18" s="128">
        <f>C18</f>
        <v>0</v>
      </c>
      <c r="K18" s="128">
        <f>C18</f>
        <v>0</v>
      </c>
      <c r="L18" s="128">
        <f>C18</f>
        <v>0</v>
      </c>
      <c r="M18" s="128">
        <f>C18</f>
        <v>0</v>
      </c>
      <c r="N18" s="128">
        <f>C18</f>
        <v>0</v>
      </c>
    </row>
    <row r="19" spans="1:14" ht="17.399999999999999">
      <c r="B19" s="420"/>
      <c r="C19" s="421"/>
      <c r="D19" s="123"/>
    </row>
    <row r="20" spans="1:14" ht="17.399999999999999">
      <c r="A20" s="18"/>
      <c r="B20" s="19" t="str">
        <f>"Net interest incomes/expenses"</f>
        <v>Net interest incomes/expenses</v>
      </c>
      <c r="C20" s="63">
        <f>Financials!G72</f>
        <v>-2120</v>
      </c>
      <c r="D20" s="131"/>
      <c r="E20" s="63">
        <f t="shared" ref="E20:N20" si="5">E21*E7</f>
        <v>-2231.3505591912549</v>
      </c>
      <c r="F20" s="63">
        <f t="shared" si="5"/>
        <v>-2275.9775703750802</v>
      </c>
      <c r="G20" s="63">
        <f t="shared" si="5"/>
        <v>-2334.4322608940852</v>
      </c>
      <c r="H20" s="63">
        <f t="shared" si="5"/>
        <v>-2424.4228737520557</v>
      </c>
      <c r="I20" s="63">
        <f t="shared" si="5"/>
        <v>-2534.5233581938169</v>
      </c>
      <c r="J20" s="63">
        <f t="shared" si="5"/>
        <v>-2585.2138253576932</v>
      </c>
      <c r="K20" s="63">
        <f t="shared" si="5"/>
        <v>-2720.9992051136092</v>
      </c>
      <c r="L20" s="63">
        <f t="shared" si="5"/>
        <v>-2804.4423410657701</v>
      </c>
      <c r="M20" s="63">
        <f t="shared" si="5"/>
        <v>-2878.930455962482</v>
      </c>
      <c r="N20" s="63">
        <f t="shared" si="5"/>
        <v>-2936.5090650817315</v>
      </c>
    </row>
    <row r="21" spans="1:14" ht="18">
      <c r="A21" s="18"/>
      <c r="B21" s="14" t="str">
        <f>"% of Revenue"</f>
        <v>% of Revenue</v>
      </c>
      <c r="C21" s="132">
        <f>C20/C7</f>
        <v>-1.3290369497348195E-2</v>
      </c>
      <c r="D21" s="127"/>
      <c r="E21" s="611">
        <f>C21</f>
        <v>-1.3290369497348195E-2</v>
      </c>
      <c r="F21" s="611">
        <f>C21</f>
        <v>-1.3290369497348195E-2</v>
      </c>
      <c r="G21" s="611">
        <f>C21</f>
        <v>-1.3290369497348195E-2</v>
      </c>
      <c r="H21" s="611">
        <f>C21</f>
        <v>-1.3290369497348195E-2</v>
      </c>
      <c r="I21" s="611">
        <f>C21</f>
        <v>-1.3290369497348195E-2</v>
      </c>
      <c r="J21" s="133">
        <f>C21</f>
        <v>-1.3290369497348195E-2</v>
      </c>
      <c r="K21" s="133">
        <f>C21</f>
        <v>-1.3290369497348195E-2</v>
      </c>
      <c r="L21" s="133">
        <f>C21</f>
        <v>-1.3290369497348195E-2</v>
      </c>
      <c r="M21" s="133">
        <f>C21</f>
        <v>-1.3290369497348195E-2</v>
      </c>
      <c r="N21" s="133">
        <f>C21</f>
        <v>-1.3290369497348195E-2</v>
      </c>
    </row>
    <row r="22" spans="1:14" ht="17.399999999999999">
      <c r="A22" s="18"/>
      <c r="B22" s="19"/>
      <c r="C22" s="63"/>
      <c r="D22" s="131"/>
      <c r="E22" s="63"/>
      <c r="F22" s="63"/>
      <c r="G22" s="63"/>
      <c r="H22" s="63"/>
      <c r="I22" s="63"/>
      <c r="J22" s="63"/>
      <c r="K22" s="63"/>
      <c r="L22" s="63"/>
      <c r="M22" s="63"/>
      <c r="N22" s="63"/>
    </row>
    <row r="23" spans="1:14" ht="17.399999999999999">
      <c r="B23" s="19" t="str">
        <f>"Other incomes/expenses"</f>
        <v>Other incomes/expenses</v>
      </c>
      <c r="C23" s="63">
        <f>Financials!G67</f>
        <v>-3034</v>
      </c>
      <c r="D23" s="131"/>
      <c r="E23" s="63">
        <f t="shared" ref="E23:N23" si="6">E24*E7</f>
        <v>-3193.3573568803149</v>
      </c>
      <c r="F23" s="63">
        <f t="shared" si="6"/>
        <v>-3257.2245040179209</v>
      </c>
      <c r="G23" s="63">
        <f t="shared" si="6"/>
        <v>-3340.8808865814403</v>
      </c>
      <c r="H23" s="63">
        <f t="shared" si="6"/>
        <v>-3469.6693391338376</v>
      </c>
      <c r="I23" s="63">
        <f t="shared" si="6"/>
        <v>-3627.2376739434148</v>
      </c>
      <c r="J23" s="63">
        <f t="shared" si="6"/>
        <v>-3699.782427422283</v>
      </c>
      <c r="K23" s="63">
        <f t="shared" si="6"/>
        <v>-3894.1092397710804</v>
      </c>
      <c r="L23" s="63">
        <f t="shared" si="6"/>
        <v>-4013.527388110163</v>
      </c>
      <c r="M23" s="63">
        <f t="shared" si="6"/>
        <v>-4120.1297185802687</v>
      </c>
      <c r="N23" s="63">
        <f t="shared" si="6"/>
        <v>-4202.5323129518738</v>
      </c>
    </row>
    <row r="24" spans="1:14" ht="18">
      <c r="B24" s="14" t="str">
        <f>"% of Revenue"</f>
        <v>% of Revenue</v>
      </c>
      <c r="C24" s="132">
        <f>C23/C7</f>
        <v>-1.9020274082525671E-2</v>
      </c>
      <c r="D24" s="127"/>
      <c r="E24" s="611">
        <f>C24</f>
        <v>-1.9020274082525671E-2</v>
      </c>
      <c r="F24" s="611">
        <f>C24</f>
        <v>-1.9020274082525671E-2</v>
      </c>
      <c r="G24" s="611">
        <f>C24</f>
        <v>-1.9020274082525671E-2</v>
      </c>
      <c r="H24" s="611">
        <f>C24</f>
        <v>-1.9020274082525671E-2</v>
      </c>
      <c r="I24" s="611">
        <f>C24</f>
        <v>-1.9020274082525671E-2</v>
      </c>
      <c r="J24" s="133">
        <f>C24</f>
        <v>-1.9020274082525671E-2</v>
      </c>
      <c r="K24" s="133">
        <f>C24</f>
        <v>-1.9020274082525671E-2</v>
      </c>
      <c r="L24" s="133">
        <f>C24</f>
        <v>-1.9020274082525671E-2</v>
      </c>
      <c r="M24" s="133">
        <f>C24</f>
        <v>-1.9020274082525671E-2</v>
      </c>
      <c r="N24" s="133">
        <f>C24</f>
        <v>-1.9020274082525671E-2</v>
      </c>
    </row>
    <row r="25" spans="1:14" ht="17.399999999999999">
      <c r="B25" s="420"/>
      <c r="C25" s="421"/>
      <c r="D25" s="123"/>
    </row>
    <row r="26" spans="1:14" ht="17.399999999999999">
      <c r="B26" s="19" t="str">
        <f>"Tax expense"</f>
        <v>Tax expense</v>
      </c>
      <c r="C26" s="63">
        <f>Financials!G75</f>
        <v>-4600</v>
      </c>
      <c r="D26" s="131"/>
      <c r="E26" s="63">
        <f t="shared" ref="E26:N26" si="7">-(E7+E11+E14+E17+E23+E20)*E27</f>
        <v>-5437.7671421745927</v>
      </c>
      <c r="F26" s="63">
        <f t="shared" si="7"/>
        <v>-6082.7874828006825</v>
      </c>
      <c r="G26" s="63">
        <f t="shared" si="7"/>
        <v>-6778.0510501507606</v>
      </c>
      <c r="H26" s="63">
        <f t="shared" si="7"/>
        <v>-7587.960291845855</v>
      </c>
      <c r="I26" s="63">
        <f t="shared" si="7"/>
        <v>-8494.6171560779367</v>
      </c>
      <c r="J26" s="63">
        <f t="shared" si="7"/>
        <v>-8664.5094991994974</v>
      </c>
      <c r="K26" s="63">
        <f t="shared" si="7"/>
        <v>-9119.6028849795912</v>
      </c>
      <c r="L26" s="63">
        <f t="shared" si="7"/>
        <v>-9399.2678925734836</v>
      </c>
      <c r="M26" s="63">
        <f t="shared" si="7"/>
        <v>-9648.9195742910415</v>
      </c>
      <c r="N26" s="63">
        <f t="shared" si="7"/>
        <v>-9841.8979657768614</v>
      </c>
    </row>
    <row r="27" spans="1:14" ht="18">
      <c r="B27" s="14" t="str">
        <f>"Tax rate"</f>
        <v>Tax rate</v>
      </c>
      <c r="C27" s="126">
        <f>MAX(Financials!G84,0)</f>
        <v>0.23704009069359991</v>
      </c>
      <c r="D27" s="127"/>
      <c r="E27" s="610">
        <f>WACC!$G$32</f>
        <v>0.23996185504918691</v>
      </c>
      <c r="F27" s="610">
        <f>WACC!$G$32</f>
        <v>0.23996185504918691</v>
      </c>
      <c r="G27" s="610">
        <f>WACC!$G$32</f>
        <v>0.23996185504918691</v>
      </c>
      <c r="H27" s="610">
        <f>WACC!$G$32</f>
        <v>0.23996185504918691</v>
      </c>
      <c r="I27" s="610">
        <f>WACC!$G$32</f>
        <v>0.23996185504918691</v>
      </c>
      <c r="J27" s="139">
        <f>WACC!$G$32</f>
        <v>0.23996185504918691</v>
      </c>
      <c r="K27" s="139">
        <f>WACC!$G$32</f>
        <v>0.23996185504918691</v>
      </c>
      <c r="L27" s="139">
        <f>WACC!$G$32</f>
        <v>0.23996185504918691</v>
      </c>
      <c r="M27" s="139">
        <f>WACC!$G$32</f>
        <v>0.23996185504918691</v>
      </c>
      <c r="N27" s="139">
        <f>WACC!$G$32</f>
        <v>0.23996185504918691</v>
      </c>
    </row>
    <row r="28" spans="1:14" ht="17.399999999999999">
      <c r="B28" s="420"/>
      <c r="C28" s="421"/>
      <c r="D28" s="123"/>
    </row>
    <row r="29" spans="1:14" ht="17.399999999999999">
      <c r="B29" s="65" t="str">
        <f>"Net profit"</f>
        <v>Net profit</v>
      </c>
      <c r="C29" s="66">
        <f>C7+C11+C14+C17+C23+C26+C20</f>
        <v>14806</v>
      </c>
      <c r="D29" s="134"/>
      <c r="E29" s="66">
        <f t="shared" ref="E29:N29" si="8">E7+E11+E14+E17+E23+E26+E20</f>
        <v>17223.197622662592</v>
      </c>
      <c r="F29" s="66">
        <f t="shared" si="8"/>
        <v>19266.189259998064</v>
      </c>
      <c r="G29" s="66">
        <f t="shared" si="8"/>
        <v>21468.31772692595</v>
      </c>
      <c r="H29" s="66">
        <f t="shared" si="8"/>
        <v>24033.566764154315</v>
      </c>
      <c r="I29" s="66">
        <f t="shared" si="8"/>
        <v>26905.247352957162</v>
      </c>
      <c r="J29" s="66">
        <f t="shared" si="8"/>
        <v>27443.352300016311</v>
      </c>
      <c r="K29" s="66">
        <f t="shared" si="8"/>
        <v>28884.78278336037</v>
      </c>
      <c r="L29" s="66">
        <f t="shared" si="8"/>
        <v>29770.57387518098</v>
      </c>
      <c r="M29" s="66">
        <f t="shared" si="8"/>
        <v>30561.302889246861</v>
      </c>
      <c r="N29" s="66">
        <f t="shared" si="8"/>
        <v>31172.528947031791</v>
      </c>
    </row>
    <row r="30" spans="1:14" ht="18">
      <c r="B30" s="135" t="str">
        <f>"% Margin"</f>
        <v>% Margin</v>
      </c>
      <c r="C30" s="136">
        <f>C29/C7</f>
        <v>9.2819439046102542E-2</v>
      </c>
      <c r="D30" s="137"/>
      <c r="E30" s="136">
        <f t="shared" ref="E30:N30" si="9">E29/E7</f>
        <v>0.10258480425146635</v>
      </c>
      <c r="F30" s="136">
        <f t="shared" si="9"/>
        <v>0.11250320627237902</v>
      </c>
      <c r="G30" s="136">
        <f t="shared" si="9"/>
        <v>0.1222232402528734</v>
      </c>
      <c r="H30" s="136">
        <f t="shared" si="9"/>
        <v>0.13174887355375789</v>
      </c>
      <c r="I30" s="136">
        <f t="shared" si="9"/>
        <v>0.14108399418862477</v>
      </c>
      <c r="J30" s="136">
        <f t="shared" si="9"/>
        <v>0.14108399418862477</v>
      </c>
      <c r="K30" s="136">
        <f t="shared" si="9"/>
        <v>0.14108399418862472</v>
      </c>
      <c r="L30" s="136">
        <f t="shared" si="9"/>
        <v>0.14108399418862477</v>
      </c>
      <c r="M30" s="136">
        <f t="shared" si="9"/>
        <v>0.1410839941886248</v>
      </c>
      <c r="N30" s="136">
        <f t="shared" si="9"/>
        <v>0.14108399418862477</v>
      </c>
    </row>
    <row r="31" spans="1:14" ht="17.399999999999999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ht="20.399999999999999">
      <c r="C32" s="7"/>
      <c r="D32" s="7"/>
      <c r="E32" s="58"/>
      <c r="F32" s="7"/>
      <c r="G32" s="7"/>
      <c r="H32" s="7"/>
      <c r="I32" s="7"/>
      <c r="J32" s="7"/>
      <c r="K32" s="7"/>
      <c r="L32" s="7"/>
      <c r="M32" s="7"/>
      <c r="N32" s="7"/>
    </row>
    <row r="33" spans="3:14" ht="17.399999999999999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3:14" ht="17.399999999999999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3:14" ht="17.399999999999999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3:14" ht="18">
      <c r="C36" s="7"/>
      <c r="D36" s="7"/>
      <c r="E36" s="138"/>
      <c r="F36" s="7"/>
      <c r="G36" s="7"/>
      <c r="H36" s="7"/>
      <c r="I36" s="7"/>
      <c r="J36" s="7"/>
      <c r="K36" s="7"/>
      <c r="L36" s="7"/>
      <c r="M36" s="7"/>
      <c r="N36" s="7"/>
    </row>
    <row r="37" spans="3:14" ht="17.399999999999999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3:14" ht="17.399999999999999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3:14" ht="17.399999999999999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3:14" ht="17.399999999999999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3:14" ht="17.399999999999999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3:14" ht="17.399999999999999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3:14" ht="17.399999999999999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3:14" ht="17.399999999999999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3:14" ht="17.399999999999999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3:14" ht="17.399999999999999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3:14" ht="17.399999999999999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3:14" ht="17.399999999999999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3:14" ht="17.399999999999999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3:14" ht="17.399999999999999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3:14" ht="17.399999999999999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3:14" ht="17.399999999999999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3:14" ht="17.399999999999999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3:14" ht="17.399999999999999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3:14" ht="17.399999999999999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3:14" ht="17.399999999999999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3:14" ht="17.399999999999999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3:14" ht="17.399999999999999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3:14" ht="17.399999999999999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3:14" ht="17.399999999999999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3:14" ht="17.399999999999999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3:14" ht="17.399999999999999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spans="3:14" ht="17.399999999999999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spans="3:14" ht="17.399999999999999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spans="3:14" ht="17.399999999999999"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3:14" ht="17.399999999999999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spans="3:14" ht="17.399999999999999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3:14" ht="17.399999999999999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spans="3:14" ht="17.399999999999999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3:14" ht="17.399999999999999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spans="3:14" ht="17.399999999999999"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spans="3:14" ht="17.399999999999999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spans="3:14" ht="17.399999999999999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3:14" ht="17.399999999999999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spans="3:14" ht="17.399999999999999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spans="3:14" ht="17.399999999999999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spans="3:14" ht="17.399999999999999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spans="3:14" ht="17.399999999999999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spans="3:14" ht="17.399999999999999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spans="3:14" ht="17.399999999999999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spans="3:14" ht="17.399999999999999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spans="3:14" ht="17.399999999999999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spans="3:14" ht="17.399999999999999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spans="3:14" ht="17.399999999999999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spans="3:14" ht="17.399999999999999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spans="3:14" ht="17.399999999999999"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 spans="3:14" ht="17.399999999999999"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spans="3:14" ht="17.399999999999999"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spans="3:14" ht="17.399999999999999"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3:14" ht="17.399999999999999"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spans="3:14" ht="17.399999999999999"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spans="3:14" ht="17.399999999999999"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spans="3:14" ht="17.399999999999999"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spans="3:14" ht="17.399999999999999"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spans="3:14" ht="17.399999999999999"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spans="3:14" ht="17.399999999999999"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spans="3:14" ht="17.399999999999999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spans="3:14" ht="17.399999999999999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spans="3:14" ht="17.399999999999999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spans="3:14" ht="17.399999999999999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spans="3:14" ht="17.399999999999999"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spans="3:14" ht="17.399999999999999"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spans="3:14" ht="17.399999999999999"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spans="3:14" ht="17.399999999999999"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spans="3:14" ht="17.399999999999999"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spans="3:14" ht="17.399999999999999"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spans="3:14" ht="17.399999999999999"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 spans="3:14" ht="17.399999999999999"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spans="3:14" ht="17.399999999999999"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 spans="3:14" ht="17.399999999999999"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 spans="3:14" ht="17.399999999999999"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 spans="3:14" ht="17.399999999999999"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 spans="3:14" ht="17.399999999999999"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 spans="3:14" ht="17.399999999999999"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spans="3:14" ht="17.399999999999999"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spans="3:14" ht="17.399999999999999"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spans="3:14" ht="17.399999999999999"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spans="3:14" ht="17.399999999999999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spans="3:14" ht="17.399999999999999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spans="3:14" ht="17.399999999999999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 spans="3:14" ht="17.399999999999999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spans="3:14" ht="17.399999999999999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 spans="3:14" ht="17.399999999999999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 spans="3:14" ht="17.399999999999999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 spans="3:14" ht="17.399999999999999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 spans="3:14" ht="17.399999999999999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 spans="3:14" ht="17.399999999999999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spans="3:14" ht="17.399999999999999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 spans="3:14" ht="17.399999999999999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 spans="3:14" ht="17.399999999999999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spans="3:14" ht="17.399999999999999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 spans="3:14" ht="17.399999999999999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spans="3:14" ht="17.399999999999999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3:14" ht="17.399999999999999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spans="3:14" ht="17.399999999999999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spans="3:14" ht="17.399999999999999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 spans="3:14" ht="17.399999999999999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 spans="3:14" ht="17.399999999999999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 spans="3:14" ht="17.399999999999999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spans="3:14" ht="17.399999999999999"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 spans="3:14" ht="17.399999999999999"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 spans="3:14" ht="17.399999999999999"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 spans="3:14" ht="17.399999999999999"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spans="3:14" ht="17.399999999999999"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 spans="3:14" ht="17.399999999999999"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spans="3:14" ht="17.399999999999999"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3:14" ht="17.399999999999999"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spans="3:14" ht="17.399999999999999"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 spans="3:14" ht="17.399999999999999"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 spans="3:14" ht="17.399999999999999"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spans="3:14" ht="17.399999999999999"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spans="3:14" ht="17.399999999999999"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 spans="3:14" ht="17.399999999999999"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 spans="3:14" ht="17.399999999999999"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 spans="3:14" ht="17.399999999999999"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 spans="3:14" ht="17.399999999999999"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 spans="3:14" ht="17.399999999999999"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 spans="3:14" ht="17.399999999999999"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 spans="3:14" ht="17.399999999999999"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 spans="3:14" ht="17.399999999999999"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 spans="3:14" ht="17.399999999999999"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 spans="3:14" ht="17.399999999999999"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 spans="3:14" ht="17.399999999999999"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 spans="3:14" ht="17.399999999999999"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 spans="3:14" ht="17.399999999999999"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 spans="3:14" ht="17.399999999999999"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 spans="3:14" ht="17.399999999999999"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 spans="3:14" ht="17.399999999999999"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 spans="3:14" ht="17.399999999999999"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 spans="3:14" ht="17.399999999999999"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 spans="3:14" ht="17.399999999999999"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 spans="3:14" ht="17.399999999999999"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 spans="3:14" ht="17.399999999999999"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 spans="3:14" ht="17.399999999999999"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 spans="3:14" ht="17.399999999999999"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spans="3:14" ht="17.399999999999999"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 spans="3:14" ht="17.399999999999999"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 spans="3:14" ht="17.399999999999999"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 spans="3:14" ht="17.399999999999999"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 spans="3:14" ht="17.399999999999999"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 spans="3:14" ht="17.399999999999999"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 spans="3:14" ht="17.399999999999999"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 spans="3:14" ht="17.399999999999999"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 spans="3:14" ht="17.399999999999999"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 spans="3:14" ht="17.399999999999999"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 spans="3:14" ht="17.399999999999999"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 spans="3:14" ht="17.399999999999999"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 spans="3:14" ht="17.399999999999999"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 spans="3:14" ht="17.399999999999999"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 spans="3:14" ht="17.399999999999999"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 spans="3:14" ht="17.399999999999999"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 spans="3:14" ht="17.399999999999999"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 spans="3:14" ht="17.399999999999999"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 spans="3:14" ht="17.399999999999999"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 spans="3:14" ht="17.399999999999999"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 spans="3:14" ht="17.399999999999999"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 spans="3:14" ht="17.399999999999999"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 spans="3:14" ht="17.399999999999999"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 spans="3:14" ht="17.399999999999999"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 spans="3:14" ht="17.399999999999999"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 spans="3:14" ht="17.399999999999999"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 spans="3:14" ht="17.399999999999999"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 spans="3:14" ht="17.399999999999999"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 spans="3:14" ht="17.399999999999999"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 spans="3:14" ht="17.399999999999999"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 spans="3:14" ht="17.399999999999999"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 spans="3:14" ht="17.399999999999999"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 spans="3:14" ht="17.399999999999999"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 spans="3:14" ht="17.399999999999999"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 spans="3:14" ht="17.399999999999999"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 spans="3:14" ht="17.399999999999999"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spans="3:14" ht="17.399999999999999"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 spans="3:14" ht="17.399999999999999"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 spans="3:14" ht="17.399999999999999"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 spans="3:14" ht="17.399999999999999"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 spans="3:14" ht="17.399999999999999"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 spans="3:14" ht="17.399999999999999"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 spans="3:14" ht="17.399999999999999"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 spans="3:14" ht="17.399999999999999"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 spans="3:14" ht="17.399999999999999"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 spans="3:14" ht="17.399999999999999"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 spans="3:14" ht="17.399999999999999"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 spans="3:14" ht="17.399999999999999"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 spans="3:14" ht="17.399999999999999"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 spans="3:14" ht="17.399999999999999"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 spans="3:14" ht="17.399999999999999"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 spans="3:14" ht="17.399999999999999"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 spans="3:14" ht="17.399999999999999"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 spans="3:14" ht="17.399999999999999"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 spans="3:14" ht="17.399999999999999"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 spans="3:14" ht="17.399999999999999"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 spans="3:14" ht="17.399999999999999"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 spans="3:14" ht="17.399999999999999"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 spans="3:14" ht="17.399999999999999"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 spans="3:14" ht="17.399999999999999"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3:14" ht="17.399999999999999"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 spans="3:14" ht="17.399999999999999"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 spans="3:14" ht="17.399999999999999"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 spans="3:14" ht="17.399999999999999"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 spans="3:14" ht="17.399999999999999"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 spans="3:14" ht="17.399999999999999"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 spans="3:14" ht="17.399999999999999"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 spans="3:14" ht="17.399999999999999"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 spans="3:14" ht="17.399999999999999"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 spans="3:14" ht="17.399999999999999"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 spans="3:14" ht="17.399999999999999"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 spans="3:14" ht="17.399999999999999"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 spans="3:14" ht="17.399999999999999"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 spans="3:14" ht="17.399999999999999"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 spans="3:14" ht="17.399999999999999"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 spans="3:14" ht="17.399999999999999"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 spans="3:14" ht="17.399999999999999"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 spans="3:14" ht="17.399999999999999"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 spans="3:14" ht="17.399999999999999"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 spans="3:14" ht="17.399999999999999"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 spans="3:14" ht="17.399999999999999"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 spans="3:14" ht="17.399999999999999"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 spans="3:14" ht="17.399999999999999"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 spans="3:14" ht="17.399999999999999"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 spans="3:14" ht="17.399999999999999"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 spans="3:14" ht="17.399999999999999"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 spans="3:14" ht="17.399999999999999"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 spans="3:14" ht="17.399999999999999"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 spans="3:14" ht="17.399999999999999"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 spans="3:14" ht="17.399999999999999"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 spans="3:14" ht="17.399999999999999"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 spans="3:14" ht="17.399999999999999"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 spans="3:14" ht="17.399999999999999"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 spans="3:14" ht="17.399999999999999"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 spans="3:14" ht="17.399999999999999"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 spans="3:14" ht="17.399999999999999"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 spans="3:14" ht="17.399999999999999"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 spans="3:14" ht="17.399999999999999"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 spans="3:14" ht="17.399999999999999"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 spans="3:14" ht="17.399999999999999"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 spans="3:14" ht="17.399999999999999"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 spans="3:14" ht="17.399999999999999"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 spans="3:14" ht="17.399999999999999"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 spans="3:14" ht="17.399999999999999"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 spans="3:14" ht="17.399999999999999"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 spans="3:14" ht="17.399999999999999"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 spans="3:14" ht="17.399999999999999"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 spans="3:14" ht="17.399999999999999"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 spans="3:14" ht="17.399999999999999"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 spans="3:14" ht="17.399999999999999"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 spans="3:14" ht="17.399999999999999"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 spans="3:14" ht="17.399999999999999"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 spans="3:14" ht="17.399999999999999"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 spans="3:14" ht="17.399999999999999"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 spans="3:14" ht="17.399999999999999"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 spans="3:14" ht="17.399999999999999"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 spans="3:14" ht="17.399999999999999"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 spans="3:14" ht="17.399999999999999"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 spans="3:14" ht="17.399999999999999"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 spans="3:14" ht="17.399999999999999"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 spans="3:14" ht="17.399999999999999"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 spans="3:14" ht="17.399999999999999"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 spans="3:14" ht="17.399999999999999"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 spans="3:14" ht="17.399999999999999"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 spans="3:14" ht="17.399999999999999"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 spans="3:14" ht="17.399999999999999"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 spans="3:14" ht="17.399999999999999"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 spans="3:14" ht="17.399999999999999"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 spans="3:14" ht="17.399999999999999"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 spans="3:14" ht="17.399999999999999"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 spans="3:14" ht="17.399999999999999"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 spans="3:14" ht="17.399999999999999"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 spans="3:14" ht="17.399999999999999"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 spans="3:14" ht="17.399999999999999"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 spans="3:14" ht="17.399999999999999"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 spans="3:14" ht="17.399999999999999"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 spans="3:14" ht="17.399999999999999"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 spans="3:14" ht="17.399999999999999"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 spans="3:14" ht="17.399999999999999"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 spans="3:14" ht="17.399999999999999"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 spans="3:14" ht="17.399999999999999"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 spans="3:14" ht="17.399999999999999"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 spans="3:14" ht="17.399999999999999"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 spans="3:14" ht="17.399999999999999"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 spans="3:14" ht="17.399999999999999"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 spans="3:14" ht="17.399999999999999"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 spans="3:14" ht="17.399999999999999"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 spans="3:14" ht="17.399999999999999"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 spans="3:14" ht="17.399999999999999"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 spans="3:14" ht="17.399999999999999"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 spans="3:14" ht="17.399999999999999"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 spans="3:14" ht="17.399999999999999"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 spans="3:14" ht="17.399999999999999"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 spans="3:14" ht="17.399999999999999"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 spans="3:14" ht="17.399999999999999"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 spans="3:14" ht="17.399999999999999"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 spans="3:14" ht="17.399999999999999"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 spans="3:14" ht="17.399999999999999"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 spans="3:14" ht="17.399999999999999"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 spans="3:14" ht="17.399999999999999"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 spans="3:14" ht="17.399999999999999"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 spans="3:14" ht="17.399999999999999"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 spans="3:14" ht="17.399999999999999"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 spans="3:14" ht="17.399999999999999"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 spans="3:14" ht="17.399999999999999"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 spans="3:14" ht="17.399999999999999"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 spans="3:14" ht="17.399999999999999"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 spans="3:14" ht="17.399999999999999"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 spans="3:14" ht="17.399999999999999"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 spans="3:14" ht="17.399999999999999"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 spans="3:14" ht="17.399999999999999"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 spans="3:14" ht="17.399999999999999"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 spans="3:14" ht="17.399999999999999"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 spans="3:14" ht="17.399999999999999"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 spans="3:14" ht="17.399999999999999"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 spans="3:14" ht="17.399999999999999"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 spans="3:14" ht="17.399999999999999"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 spans="3:14" ht="17.399999999999999"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 spans="3:14" ht="17.399999999999999"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 spans="3:14" ht="17.399999999999999"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 spans="3:14" ht="17.399999999999999"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 spans="3:14" ht="17.399999999999999"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 spans="3:14" ht="17.399999999999999"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 spans="3:14" ht="17.399999999999999"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 spans="3:14" ht="17.399999999999999"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 spans="3:14" ht="17.399999999999999"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 spans="3:14" ht="17.399999999999999"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 spans="3:14" ht="17.399999999999999"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 spans="3:14" ht="17.399999999999999"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 spans="3:14" ht="17.399999999999999"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 spans="3:14" ht="17.399999999999999"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 spans="3:14" ht="17.399999999999999"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 spans="3:14" ht="17.399999999999999"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 spans="3:14" ht="17.399999999999999"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 spans="3:14" ht="17.399999999999999"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 spans="3:14" ht="17.399999999999999"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 spans="3:14" ht="17.399999999999999"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 spans="3:14" ht="17.399999999999999"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 spans="3:14" ht="17.399999999999999"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 spans="3:14" ht="17.399999999999999"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 spans="3:14" ht="17.399999999999999"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 spans="3:14" ht="17.399999999999999"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 spans="3:14" ht="17.399999999999999"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 spans="3:14" ht="17.399999999999999"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 spans="3:14" ht="17.399999999999999"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 spans="3:14" ht="17.399999999999999"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 spans="3:14" ht="17.399999999999999"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 spans="3:14" ht="17.399999999999999"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 spans="3:14" ht="17.399999999999999"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 spans="3:14" ht="17.399999999999999"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 spans="3:14" ht="17.399999999999999"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 spans="3:14" ht="17.399999999999999"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 spans="3:14" ht="17.399999999999999"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 spans="3:14" ht="17.399999999999999"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 spans="3:14" ht="17.399999999999999"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 spans="3:14" ht="17.399999999999999"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 spans="3:14" ht="17.399999999999999"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 spans="3:14" ht="17.399999999999999"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 spans="3:14" ht="17.399999999999999"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 spans="3:14" ht="17.399999999999999"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 spans="3:14" ht="17.399999999999999"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 spans="3:14" ht="17.399999999999999"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 spans="3:14" ht="17.399999999999999"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 spans="3:14" ht="17.399999999999999"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 spans="3:14" ht="17.399999999999999"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 spans="3:14" ht="17.399999999999999"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 spans="3:14" ht="17.399999999999999"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 spans="3:14" ht="17.399999999999999"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 spans="3:14" ht="17.399999999999999"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 spans="3:14" ht="17.399999999999999"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 spans="3:14" ht="17.399999999999999"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 spans="3:14" ht="17.399999999999999"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 spans="3:14" ht="17.399999999999999"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 spans="3:14" ht="17.399999999999999"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 spans="3:14" ht="17.399999999999999"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 spans="3:14" ht="17.399999999999999"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 spans="3:14" ht="17.399999999999999"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 spans="3:14" ht="17.399999999999999"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 spans="3:14" ht="17.399999999999999"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 spans="3:14" ht="17.399999999999999"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 spans="3:14" ht="17.399999999999999"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 spans="3:14" ht="17.399999999999999"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 spans="3:14" ht="17.399999999999999"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 spans="3:14" ht="17.399999999999999"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 spans="3:14" ht="17.399999999999999"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 spans="3:14" ht="17.399999999999999"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 spans="3:14" ht="17.399999999999999"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 spans="3:14" ht="17.399999999999999"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 spans="3:14" ht="17.399999999999999"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 spans="3:14" ht="17.399999999999999"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 spans="3:14" ht="17.399999999999999"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 spans="3:14" ht="17.399999999999999"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 spans="3:14" ht="17.399999999999999"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 spans="3:14" ht="17.399999999999999"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 spans="3:14" ht="17.399999999999999"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 spans="3:14" ht="17.399999999999999"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 spans="3:14" ht="17.399999999999999"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 spans="3:14" ht="17.399999999999999"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 spans="3:14" ht="17.399999999999999"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 spans="3:14" ht="17.399999999999999"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 spans="3:14" ht="17.399999999999999"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 spans="3:14" ht="17.399999999999999"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 spans="3:14" ht="17.399999999999999"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 spans="3:14" ht="17.399999999999999"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 spans="3:14" ht="17.399999999999999"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 spans="3:14" ht="17.399999999999999"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 spans="3:14" ht="17.399999999999999"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 spans="3:14" ht="17.399999999999999"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 spans="3:14" ht="17.399999999999999"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 spans="3:14" ht="17.399999999999999"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 spans="3:14" ht="17.399999999999999"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 spans="3:14" ht="17.399999999999999"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 spans="3:14" ht="17.399999999999999"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 spans="3:14" ht="17.399999999999999"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 spans="3:14" ht="17.399999999999999"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 spans="3:14" ht="17.399999999999999"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 spans="3:14" ht="17.399999999999999"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 spans="3:14" ht="17.399999999999999"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 spans="3:14" ht="17.399999999999999"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 spans="3:14" ht="17.399999999999999"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 spans="3:14" ht="17.399999999999999"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 spans="3:14" ht="17.399999999999999"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 spans="3:14" ht="17.399999999999999"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 spans="3:14" ht="17.399999999999999"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 spans="3:14" ht="17.399999999999999"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 spans="3:14" ht="17.399999999999999"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 spans="3:14" ht="17.399999999999999"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 spans="3:14" ht="17.399999999999999"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 spans="3:14" ht="17.399999999999999"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 spans="3:14" ht="17.399999999999999"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 spans="3:14" ht="17.399999999999999"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 spans="3:14" ht="17.399999999999999"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 spans="3:14" ht="17.399999999999999"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 spans="3:14" ht="17.399999999999999"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 spans="3:14" ht="17.399999999999999"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 spans="3:14" ht="17.399999999999999"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 spans="3:14" ht="17.399999999999999"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 spans="3:14" ht="17.399999999999999"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 spans="3:14" ht="17.399999999999999"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 spans="3:14" ht="17.399999999999999"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 spans="3:14" ht="17.399999999999999"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 spans="3:14" ht="17.399999999999999"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 spans="3:14" ht="17.399999999999999"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 spans="3:14" ht="17.399999999999999"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 spans="3:14" ht="17.399999999999999"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 spans="3:14" ht="17.399999999999999"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 spans="3:14" ht="17.399999999999999"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 spans="3:14" ht="17.399999999999999"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 spans="3:14" ht="17.399999999999999"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 spans="3:14" ht="17.399999999999999"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 spans="3:14" ht="17.399999999999999"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 spans="3:14" ht="17.399999999999999"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 spans="3:14" ht="17.399999999999999"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 spans="3:14" ht="17.399999999999999"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 spans="3:14" ht="17.399999999999999"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 spans="3:14" ht="17.399999999999999"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 spans="3:14" ht="17.399999999999999"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 spans="3:14" ht="17.399999999999999"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 spans="3:14" ht="17.399999999999999"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 spans="3:14" ht="17.399999999999999"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 spans="3:14" ht="17.399999999999999"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 spans="3:14" ht="17.399999999999999"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 spans="3:14" ht="17.399999999999999"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 spans="3:14" ht="17.399999999999999"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 spans="3:14" ht="17.399999999999999"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 spans="3:14" ht="17.399999999999999"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 spans="3:14" ht="17.399999999999999"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 spans="3:14" ht="17.399999999999999"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 spans="3:14" ht="17.399999999999999"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 spans="3:14" ht="17.399999999999999"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 spans="3:14" ht="17.399999999999999"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 spans="3:14" ht="17.399999999999999"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 spans="3:14" ht="17.399999999999999"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 spans="3:14" ht="17.399999999999999"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 spans="3:14" ht="17.399999999999999"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 spans="3:14" ht="17.399999999999999"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 spans="3:14" ht="17.399999999999999"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 spans="3:14" ht="17.399999999999999"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 spans="3:14" ht="17.399999999999999"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 spans="3:14" ht="17.399999999999999"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 spans="3:14" ht="17.399999999999999"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 spans="3:14" ht="17.399999999999999"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 spans="3:14" ht="17.399999999999999"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 spans="3:14" ht="17.399999999999999"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 spans="3:14" ht="17.399999999999999"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 spans="3:14" ht="17.399999999999999"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 spans="3:14" ht="17.399999999999999"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 spans="3:14" ht="17.399999999999999"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 spans="3:14" ht="17.399999999999999"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 spans="3:14" ht="17.399999999999999"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 spans="3:14" ht="17.399999999999999"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 spans="3:14" ht="17.399999999999999"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 spans="3:14" ht="17.399999999999999"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 spans="3:14" ht="17.399999999999999"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 spans="3:14" ht="17.399999999999999"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 spans="3:14" ht="17.399999999999999"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 spans="3:14" ht="17.399999999999999"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 spans="3:14" ht="17.399999999999999"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 spans="3:14" ht="17.399999999999999"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 spans="3:14" ht="17.399999999999999"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 spans="3:14" ht="17.399999999999999"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 spans="3:14" ht="17.399999999999999"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 spans="3:14" ht="17.399999999999999"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 spans="3:14" ht="17.399999999999999"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 spans="3:14" ht="17.399999999999999"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 spans="3:14" ht="17.399999999999999"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 spans="3:14" ht="17.399999999999999"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 spans="3:14" ht="17.399999999999999"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 spans="3:14" ht="17.399999999999999"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 spans="3:14" ht="17.399999999999999"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 spans="3:14" ht="17.399999999999999"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 spans="3:14" ht="17.399999999999999"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 spans="3:14" ht="17.399999999999999"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 spans="3:14" ht="17.399999999999999"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 spans="3:14" ht="17.399999999999999"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 spans="3:14" ht="17.399999999999999"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 spans="3:14" ht="17.399999999999999"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 spans="3:14" ht="17.399999999999999"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 spans="3:14" ht="17.399999999999999"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 spans="3:14" ht="17.399999999999999"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 spans="3:14" ht="17.399999999999999"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 spans="3:14" ht="17.399999999999999"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 spans="3:14" ht="17.399999999999999"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 spans="3:14" ht="17.399999999999999"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 spans="3:14" ht="17.399999999999999"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 spans="3:14" ht="17.399999999999999"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 spans="3:14" ht="17.399999999999999"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 spans="3:14" ht="17.399999999999999"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 spans="3:14" ht="17.399999999999999"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 spans="3:14" ht="17.399999999999999"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 spans="3:14" ht="17.399999999999999"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 spans="3:14" ht="17.399999999999999"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 spans="3:14" ht="17.399999999999999"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 spans="3:14" ht="17.399999999999999"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 spans="3:14" ht="17.399999999999999"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 spans="3:14" ht="17.399999999999999"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 spans="3:14" ht="17.399999999999999"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 spans="3:14" ht="17.399999999999999"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 spans="3:14" ht="17.399999999999999"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 spans="3:14" ht="17.399999999999999"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 spans="3:14" ht="17.399999999999999"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 spans="3:14" ht="17.399999999999999"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 spans="3:14" ht="17.399999999999999"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 spans="3:14" ht="17.399999999999999"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 spans="3:14" ht="17.399999999999999"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 spans="3:14" ht="17.399999999999999"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 spans="3:14" ht="17.399999999999999"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 spans="3:14" ht="17.399999999999999"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 spans="3:14" ht="17.399999999999999"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 spans="3:14" ht="17.399999999999999"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 spans="3:14" ht="17.399999999999999"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 spans="3:14" ht="17.399999999999999"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 spans="3:14" ht="17.399999999999999"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 spans="3:14" ht="17.399999999999999"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 spans="3:14" ht="17.399999999999999"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 spans="3:14" ht="17.399999999999999"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 spans="3:14" ht="17.399999999999999"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 spans="3:14" ht="17.399999999999999"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 spans="3:14" ht="17.399999999999999"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 spans="3:14" ht="17.399999999999999"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 spans="3:14" ht="17.399999999999999"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 spans="3:14" ht="17.399999999999999"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 spans="3:14" ht="17.399999999999999"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 spans="3:14" ht="17.399999999999999"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 spans="3:14" ht="17.399999999999999"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 spans="3:14" ht="17.399999999999999"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 spans="3:14" ht="17.399999999999999"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 spans="3:14" ht="17.399999999999999"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 spans="3:14" ht="17.399999999999999"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 spans="3:14" ht="17.399999999999999"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 spans="3:14" ht="17.399999999999999"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 spans="3:14" ht="17.399999999999999"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 spans="3:14" ht="17.399999999999999"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 spans="3:14" ht="17.399999999999999"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 spans="3:14" ht="17.399999999999999"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 spans="3:14" ht="17.399999999999999"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 spans="3:14" ht="17.399999999999999"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 spans="3:14" ht="17.399999999999999"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 spans="3:14" ht="17.399999999999999"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 spans="3:14" ht="17.399999999999999"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 spans="3:14" ht="17.399999999999999"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 spans="3:14" ht="17.399999999999999"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 spans="3:14" ht="17.399999999999999"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 spans="3:14" ht="17.399999999999999"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 spans="3:14" ht="17.399999999999999"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 spans="3:14" ht="17.399999999999999"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 spans="3:14" ht="17.399999999999999"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 spans="3:14" ht="17.399999999999999"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 spans="3:14" ht="17.399999999999999"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 spans="3:14" ht="17.399999999999999"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 spans="3:14" ht="17.399999999999999"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 spans="3:14" ht="17.399999999999999"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 spans="3:14" ht="17.399999999999999"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 spans="3:14" ht="17.399999999999999"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 spans="3:14" ht="17.399999999999999"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 spans="3:14" ht="17.399999999999999"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 spans="3:14" ht="17.399999999999999"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 spans="3:14" ht="17.399999999999999"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 spans="3:14" ht="17.399999999999999"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 spans="3:14" ht="17.399999999999999"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 spans="3:14" ht="17.399999999999999"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 spans="3:14" ht="17.399999999999999"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 spans="3:14" ht="17.399999999999999"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 spans="3:14" ht="17.399999999999999"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 spans="3:14" ht="17.399999999999999"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 spans="3:14" ht="17.399999999999999"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 spans="3:14" ht="17.399999999999999"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 spans="3:14" ht="17.399999999999999"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 spans="3:14" ht="17.399999999999999"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 spans="3:14" ht="17.399999999999999"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 spans="3:14" ht="17.399999999999999"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 spans="3:14" ht="17.399999999999999"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 spans="3:14" ht="17.399999999999999"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 spans="3:14" ht="17.399999999999999"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 spans="3:14" ht="17.399999999999999"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 spans="3:14" ht="17.399999999999999"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 spans="3:14" ht="17.399999999999999"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 spans="3:14" ht="17.399999999999999"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 spans="3:14" ht="17.399999999999999"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 spans="3:14" ht="17.399999999999999"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 spans="3:14" ht="17.399999999999999"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 spans="3:14" ht="17.399999999999999"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 spans="3:14" ht="17.399999999999999"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 spans="3:14" ht="17.399999999999999"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 spans="3:14" ht="17.399999999999999"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 spans="3:14" ht="17.399999999999999"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 spans="3:14" ht="17.399999999999999"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 spans="3:14" ht="17.399999999999999"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 spans="3:14" ht="17.399999999999999"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 spans="3:14" ht="17.399999999999999"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 spans="3:14" ht="17.399999999999999"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 spans="3:14" ht="17.399999999999999"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 spans="3:14" ht="17.399999999999999"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 spans="3:14" ht="17.399999999999999"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 spans="3:14" ht="17.399999999999999"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 spans="3:14" ht="17.399999999999999"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 spans="3:14" ht="17.399999999999999"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 spans="3:14" ht="17.399999999999999"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 spans="3:14" ht="17.399999999999999"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 spans="3:14" ht="17.399999999999999"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 spans="3:14" ht="17.399999999999999"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 spans="3:14" ht="17.399999999999999"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 spans="3:14" ht="17.399999999999999"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 spans="3:14" ht="17.399999999999999"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 spans="3:14" ht="17.399999999999999"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 spans="3:14" ht="17.399999999999999"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 spans="3:14" ht="17.399999999999999"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 spans="3:14" ht="17.399999999999999"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 spans="3:14" ht="17.399999999999999"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 spans="3:14" ht="17.399999999999999"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 spans="3:14" ht="17.399999999999999"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 spans="3:14" ht="17.399999999999999"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 spans="3:14" ht="17.399999999999999"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 spans="3:14" ht="17.399999999999999"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 spans="3:14" ht="17.399999999999999"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 spans="3:14" ht="17.399999999999999"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 spans="3:14" ht="17.399999999999999"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 spans="3:14" ht="17.399999999999999"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 spans="3:14" ht="17.399999999999999"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 spans="3:14" ht="17.399999999999999"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 spans="3:14" ht="17.399999999999999"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 spans="3:14" ht="17.399999999999999"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 spans="3:14" ht="17.399999999999999"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 spans="3:14" ht="17.399999999999999"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 spans="3:14" ht="17.399999999999999"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 spans="3:14" ht="17.399999999999999"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 spans="3:14" ht="17.399999999999999"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 spans="3:14" ht="17.399999999999999"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 spans="3:14" ht="17.399999999999999"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 spans="3:14" ht="17.399999999999999"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 spans="3:14" ht="17.399999999999999"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 spans="3:14" ht="17.399999999999999"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 spans="3:14" ht="17.399999999999999"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 spans="3:14" ht="17.399999999999999"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 spans="3:14" ht="17.399999999999999"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 spans="3:14" ht="17.399999999999999"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 spans="3:14" ht="17.399999999999999"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 spans="3:14" ht="17.399999999999999"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 spans="3:14" ht="17.399999999999999"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 spans="3:14" ht="17.399999999999999"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 spans="3:14" ht="17.399999999999999"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 spans="3:14" ht="17.399999999999999"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 spans="3:14" ht="17.399999999999999"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 spans="3:14" ht="17.399999999999999"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 spans="3:14" ht="17.399999999999999"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 spans="3:14" ht="17.399999999999999"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 spans="3:14" ht="17.399999999999999"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 spans="3:14" ht="17.399999999999999"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 spans="3:14" ht="17.399999999999999"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 spans="3:14" ht="17.399999999999999"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 spans="3:14" ht="17.399999999999999"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 spans="3:14" ht="17.399999999999999"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 spans="3:14" ht="17.399999999999999"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 spans="3:14" ht="17.399999999999999"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 spans="3:14" ht="17.399999999999999"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 spans="3:14" ht="17.399999999999999"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 spans="3:14" ht="17.399999999999999"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 spans="3:14" ht="17.399999999999999"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 spans="3:14" ht="17.399999999999999"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 spans="3:14" ht="17.399999999999999"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 spans="3:14" ht="17.399999999999999"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 spans="3:14" ht="17.399999999999999"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 spans="3:14" ht="17.399999999999999"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 spans="3:14" ht="17.399999999999999"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 spans="3:14" ht="17.399999999999999"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 spans="3:14" ht="17.399999999999999"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 spans="3:14" ht="17.399999999999999"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 spans="3:14" ht="17.399999999999999"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 spans="3:14" ht="17.399999999999999"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 spans="3:14" ht="17.399999999999999"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 spans="3:14" ht="17.399999999999999"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 spans="3:14" ht="17.399999999999999"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 spans="3:14" ht="17.399999999999999"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 spans="3:14" ht="17.399999999999999"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 spans="3:14" ht="17.399999999999999"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 spans="3:14" ht="17.399999999999999"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 spans="3:14" ht="17.399999999999999"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 spans="3:14" ht="17.399999999999999"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 spans="3:14" ht="17.399999999999999"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 spans="3:14" ht="17.399999999999999"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 spans="3:14" ht="17.399999999999999"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 spans="3:14" ht="17.399999999999999"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 spans="3:14" ht="17.399999999999999"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 spans="3:14" ht="17.399999999999999"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 spans="3:14" ht="17.399999999999999"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 spans="3:14" ht="17.399999999999999"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 spans="3:14" ht="17.399999999999999"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 spans="3:14" ht="17.399999999999999"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 spans="3:14" ht="17.399999999999999"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 spans="3:14" ht="17.399999999999999"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 spans="3:14" ht="17.399999999999999"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 spans="3:14" ht="17.399999999999999"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 spans="3:14" ht="17.399999999999999"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 spans="3:14" ht="17.399999999999999"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 spans="3:14" ht="17.399999999999999"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 spans="3:14" ht="17.399999999999999"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 spans="3:14" ht="17.399999999999999"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 spans="3:14" ht="17.399999999999999"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 spans="3:14" ht="17.399999999999999"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 spans="3:14" ht="17.399999999999999"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 spans="3:14" ht="17.399999999999999"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 spans="3:14" ht="17.399999999999999"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 spans="3:14" ht="17.399999999999999"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 spans="3:14" ht="17.399999999999999"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 spans="3:14" ht="17.399999999999999"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 spans="3:14" ht="17.399999999999999"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 spans="3:14" ht="17.399999999999999"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 spans="3:14" ht="17.399999999999999"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 spans="3:14" ht="17.399999999999999"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 spans="3:14" ht="17.399999999999999"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 spans="3:14" ht="17.399999999999999"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 spans="3:14" ht="17.399999999999999"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 spans="3:14" ht="17.399999999999999"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 spans="3:14" ht="17.399999999999999"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 spans="3:14" ht="17.399999999999999"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 spans="3:14" ht="17.399999999999999"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 spans="3:14" ht="17.399999999999999"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 spans="3:14" ht="17.399999999999999"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 spans="3:14" ht="17.399999999999999"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 spans="3:14" ht="17.399999999999999"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 spans="3:14" ht="17.399999999999999"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 spans="3:14" ht="17.399999999999999"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 spans="3:14" ht="17.399999999999999"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 spans="3:14" ht="17.399999999999999"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 spans="3:14" ht="17.399999999999999"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 spans="3:14" ht="17.399999999999999"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 spans="3:14" ht="17.399999999999999"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 spans="3:14" ht="17.399999999999999"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 spans="3:14" ht="17.399999999999999"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 spans="3:14" ht="17.399999999999999"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 spans="3:14" ht="17.399999999999999"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 spans="3:14" ht="17.399999999999999"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 spans="3:14" ht="17.399999999999999"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 spans="3:14" ht="17.399999999999999"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 spans="3:14" ht="17.399999999999999"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 spans="3:14" ht="17.399999999999999"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 spans="3:14" ht="17.399999999999999"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 spans="3:14" ht="17.399999999999999"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 spans="3:14" ht="17.399999999999999"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 spans="3:14" ht="17.399999999999999"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 spans="3:14" ht="17.399999999999999"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 spans="3:14" ht="17.399999999999999"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 spans="3:14" ht="17.399999999999999"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 spans="3:14" ht="17.399999999999999"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 spans="3:14" ht="17.399999999999999"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 spans="3:14" ht="17.399999999999999"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 spans="3:14" ht="17.399999999999999"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 spans="3:14" ht="17.399999999999999"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 spans="3:14" ht="17.399999999999999"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 spans="3:14" ht="17.399999999999999"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 spans="3:14" ht="17.399999999999999"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 spans="3:14" ht="17.399999999999999"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 spans="3:14" ht="17.399999999999999"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 spans="3:14" ht="17.399999999999999"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 spans="3:14" ht="17.399999999999999"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 spans="3:14" ht="17.399999999999999"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 spans="3:14" ht="17.399999999999999"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 spans="3:14" ht="17.399999999999999"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 spans="3:14" ht="17.399999999999999"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 spans="3:14" ht="17.399999999999999"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 spans="3:14" ht="17.399999999999999"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 spans="3:14" ht="17.399999999999999"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 spans="3:14" ht="17.399999999999999"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 spans="3:14" ht="17.399999999999999"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 spans="3:14" ht="17.399999999999999"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 spans="3:14" ht="17.399999999999999"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 spans="3:14" ht="17.399999999999999"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 spans="3:14" ht="17.399999999999999"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 spans="3:14" ht="17.399999999999999"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 spans="3:14" ht="17.399999999999999"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 spans="3:14" ht="17.399999999999999"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 spans="3:14" ht="17.399999999999999"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 spans="3:14" ht="17.399999999999999"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 spans="3:14" ht="17.399999999999999"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 spans="3:14" ht="17.399999999999999"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 spans="3:14" ht="17.399999999999999"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 spans="3:14" ht="17.399999999999999"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 spans="3:14" ht="17.399999999999999"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 spans="3:14" ht="17.399999999999999"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 spans="3:14" ht="17.399999999999999"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 spans="3:14" ht="17.399999999999999"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 spans="3:14" ht="17.399999999999999"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 spans="3:14" ht="17.399999999999999"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 spans="3:14" ht="17.399999999999999"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 spans="3:14" ht="17.399999999999999"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 spans="3:14" ht="17.399999999999999"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 spans="3:14" ht="17.399999999999999"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 spans="3:14" ht="17.399999999999999"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 spans="3:14" ht="17.399999999999999"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 spans="3:14" ht="17.399999999999999"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 spans="3:14" ht="17.399999999999999"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 spans="3:14" ht="17.399999999999999"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 spans="3:14" ht="17.399999999999999"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 spans="3:14" ht="17.399999999999999"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 spans="3:14" ht="17.399999999999999"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 spans="3:14" ht="17.399999999999999"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 spans="3:14" ht="17.399999999999999"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 spans="3:14" ht="17.399999999999999"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 spans="3:14" ht="17.399999999999999"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 spans="3:14" ht="17.399999999999999"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 spans="3:14" ht="17.399999999999999"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 spans="3:14" ht="17.399999999999999"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 spans="3:14" ht="17.399999999999999"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 spans="3:14" ht="17.399999999999999"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 spans="3:14" ht="17.399999999999999"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 spans="3:14" ht="17.399999999999999"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 spans="3:14" ht="17.399999999999999"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 spans="3:14" ht="17.399999999999999"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 spans="3:14" ht="17.399999999999999"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 spans="3:14" ht="17.399999999999999"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 spans="3:14" ht="17.399999999999999"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 spans="3:14" ht="17.399999999999999"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 spans="3:14" ht="17.399999999999999"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 spans="3:14" ht="17.399999999999999"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 spans="3:14" ht="17.399999999999999"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 spans="3:14" ht="17.399999999999999"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 spans="3:14" ht="17.399999999999999"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 spans="3:14" ht="17.399999999999999"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 spans="3:14" ht="17.399999999999999"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 spans="3:14" ht="17.399999999999999"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 spans="3:14" ht="17.399999999999999"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 spans="3:14" ht="17.399999999999999"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 spans="3:14" ht="17.399999999999999"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 spans="3:14" ht="17.399999999999999"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 spans="3:14" ht="17.399999999999999"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 spans="3:14" ht="17.399999999999999"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 spans="3:14" ht="17.399999999999999"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 spans="3:14" ht="17.399999999999999"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 spans="3:14" ht="17.399999999999999"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 spans="3:14" ht="17.399999999999999"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 spans="3:14" ht="17.399999999999999"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 spans="3:14" ht="17.399999999999999"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 spans="3:14" ht="17.399999999999999"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 spans="3:14" ht="17.399999999999999"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 spans="3:14" ht="17.399999999999999"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 spans="3:14" ht="17.399999999999999"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 spans="3:14" ht="17.399999999999999"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 spans="3:14" ht="17.399999999999999"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 spans="3:14" ht="17.399999999999999"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 spans="3:14" ht="17.399999999999999"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 spans="3:14" ht="17.399999999999999"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 spans="3:14" ht="17.399999999999999"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 spans="3:14" ht="17.399999999999999"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 spans="3:14" ht="17.399999999999999"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 spans="3:14" ht="17.399999999999999"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 spans="3:14" ht="17.399999999999999"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 spans="3:14" ht="17.399999999999999"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 spans="3:14" ht="17.399999999999999"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 spans="3:14" ht="17.399999999999999"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 spans="3:14" ht="17.399999999999999"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 spans="3:14" ht="17.399999999999999"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 spans="3:14" ht="17.399999999999999"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 spans="3:14" ht="17.399999999999999"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 spans="3:14" ht="17.399999999999999"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 spans="3:14" ht="17.399999999999999"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 spans="3:14" ht="17.399999999999999"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 spans="3:14" ht="17.399999999999999"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 spans="3:14" ht="17.399999999999999"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 spans="3:14" ht="17.399999999999999"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 spans="3:14" ht="17.399999999999999"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 spans="3:14" ht="17.399999999999999"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 spans="3:14" ht="17.399999999999999"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 spans="3:14" ht="17.399999999999999"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 spans="3:14" ht="17.399999999999999"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 spans="3:14" ht="17.399999999999999"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 spans="3:14" ht="17.399999999999999"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 spans="3:14" ht="17.399999999999999"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 spans="3:14" ht="17.399999999999999"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 spans="3:14" ht="17.399999999999999"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 spans="3:14" ht="17.399999999999999"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 spans="3:14" ht="17.399999999999999"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 spans="3:14" ht="17.399999999999999"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 spans="3:14" ht="17.399999999999999"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 spans="3:14" ht="17.399999999999999"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 spans="3:14" ht="17.399999999999999"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 spans="3:14" ht="17.399999999999999"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 spans="3:14" ht="17.399999999999999"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 spans="3:14" ht="17.399999999999999"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 spans="3:14" ht="17.399999999999999"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 spans="3:14" ht="17.399999999999999"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 spans="3:14" ht="17.399999999999999"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 spans="3:14" ht="17.399999999999999"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 spans="3:14" ht="17.399999999999999"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 spans="3:14" ht="17.399999999999999"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 spans="3:14" ht="17.399999999999999"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 spans="3:14" ht="17.399999999999999"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 spans="3:14" ht="17.399999999999999"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 spans="3:14" ht="17.399999999999999"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 spans="3:14" ht="17.399999999999999"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 spans="3:14" ht="17.399999999999999"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 spans="3:14" ht="17.399999999999999"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 spans="3:14" ht="17.399999999999999"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 spans="3:14" ht="17.399999999999999"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 spans="3:14" ht="17.399999999999999"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 spans="3:14" ht="17.399999999999999"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 spans="3:14" ht="17.399999999999999"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 spans="3:14" ht="17.399999999999999"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 spans="3:14" ht="17.399999999999999"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 spans="3:14" ht="17.399999999999999"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 spans="3:14" ht="17.399999999999999"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 spans="3:14" ht="17.399999999999999"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 spans="3:14" ht="17.399999999999999"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 spans="3:14" ht="17.399999999999999"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 spans="3:14" ht="17.399999999999999"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 spans="3:14" ht="17.399999999999999"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 spans="3:14" ht="17.399999999999999"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 spans="3:14" ht="17.399999999999999"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 spans="3:14" ht="17.399999999999999"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 spans="3:14" ht="17.399999999999999"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 spans="3:14" ht="17.399999999999999"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 spans="3:14" ht="17.399999999999999"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 spans="3:14" ht="17.399999999999999"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 spans="3:14" ht="17.399999999999999"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 spans="3:14" ht="17.399999999999999"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 spans="3:14" ht="17.399999999999999"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 spans="3:14" ht="17.399999999999999"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 spans="3:14" ht="17.399999999999999"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 spans="3:14" ht="17.399999999999999"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 spans="3:14" ht="17.399999999999999"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 spans="3:14" ht="17.399999999999999"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 spans="3:14" ht="17.399999999999999"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 spans="3:14" ht="17.399999999999999"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 spans="3:14" ht="17.399999999999999"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 spans="3:14" ht="17.399999999999999"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 spans="3:14" ht="17.399999999999999"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 spans="3:14" ht="17.399999999999999"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 spans="3:14" ht="17.399999999999999"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 spans="3:14" ht="17.399999999999999"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 spans="3:14" ht="17.399999999999999"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 spans="3:14" ht="17.399999999999999"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</sheetData>
  <mergeCells count="6">
    <mergeCell ref="B28:C28"/>
    <mergeCell ref="E4:N4"/>
    <mergeCell ref="B9:C9"/>
    <mergeCell ref="B16:C16"/>
    <mergeCell ref="B19:C19"/>
    <mergeCell ref="B25:C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37"/>
  <sheetViews>
    <sheetView showGridLines="0" topLeftCell="A10" zoomScale="80" zoomScaleNormal="80" workbookViewId="0">
      <selection activeCell="E44" sqref="E44"/>
    </sheetView>
  </sheetViews>
  <sheetFormatPr defaultColWidth="14.44140625" defaultRowHeight="15.75" customHeight="1"/>
  <cols>
    <col min="1" max="1" width="7.33203125" style="6" customWidth="1"/>
    <col min="2" max="2" width="5.77734375" style="6" customWidth="1"/>
    <col min="3" max="3" width="24.44140625" style="6" customWidth="1"/>
    <col min="4" max="4" width="18.109375" style="6" customWidth="1"/>
    <col min="5" max="5" width="17.109375" style="6" customWidth="1"/>
    <col min="6" max="6" width="2.44140625" style="6" customWidth="1"/>
    <col min="7" max="11" width="18.77734375" style="6" customWidth="1"/>
    <col min="12" max="16" width="18.77734375" style="6" hidden="1" customWidth="1"/>
    <col min="17" max="17" width="18.77734375" style="6" customWidth="1"/>
    <col min="18" max="16384" width="14.44140625" style="6"/>
  </cols>
  <sheetData>
    <row r="1" spans="1:28" ht="17.399999999999999">
      <c r="K1" s="122"/>
      <c r="L1" s="122"/>
      <c r="M1" s="122"/>
      <c r="N1" s="122"/>
      <c r="O1" s="122"/>
      <c r="P1" s="122"/>
      <c r="Q1" s="307"/>
      <c r="R1" s="307"/>
      <c r="S1" s="307"/>
      <c r="T1" s="307"/>
      <c r="U1" s="307"/>
      <c r="V1" s="307"/>
      <c r="W1" s="307"/>
      <c r="X1" s="141"/>
      <c r="Y1" s="307"/>
      <c r="Z1" s="307"/>
      <c r="AA1" s="307"/>
      <c r="AB1" s="307"/>
    </row>
    <row r="2" spans="1:28" ht="17.399999999999999">
      <c r="A2" s="307"/>
      <c r="B2" s="142"/>
      <c r="C2" s="142"/>
      <c r="D2" s="122"/>
      <c r="E2" s="143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307"/>
      <c r="R2" s="307"/>
      <c r="S2" s="307"/>
      <c r="T2" s="307"/>
      <c r="U2" s="307"/>
      <c r="V2" s="307"/>
      <c r="W2" s="307"/>
      <c r="X2" s="141"/>
      <c r="Y2" s="307"/>
      <c r="Z2" s="307"/>
      <c r="AA2" s="307"/>
      <c r="AB2" s="307"/>
    </row>
    <row r="3" spans="1:28" ht="21">
      <c r="A3" s="307"/>
      <c r="B3" s="140" t="s">
        <v>31</v>
      </c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307"/>
      <c r="R3" s="307"/>
      <c r="S3" s="307"/>
      <c r="T3" s="307"/>
      <c r="U3" s="307"/>
      <c r="V3" s="307"/>
      <c r="W3" s="307"/>
      <c r="X3" s="141"/>
      <c r="Y3" s="307"/>
      <c r="Z3" s="307"/>
      <c r="AA3" s="307"/>
      <c r="AB3" s="307"/>
    </row>
    <row r="4" spans="1:28" ht="18">
      <c r="A4" s="307"/>
      <c r="B4" s="14"/>
      <c r="C4" s="14"/>
      <c r="D4" s="144"/>
      <c r="E4" s="145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307"/>
      <c r="R4" s="307"/>
      <c r="S4" s="307"/>
      <c r="T4" s="307"/>
      <c r="U4" s="307"/>
      <c r="V4" s="307"/>
      <c r="W4" s="307"/>
      <c r="X4" s="141"/>
      <c r="Y4" s="307"/>
      <c r="Z4" s="307"/>
      <c r="AA4" s="307"/>
      <c r="AB4" s="307"/>
    </row>
    <row r="5" spans="1:28" ht="18">
      <c r="A5" s="307"/>
      <c r="B5" s="14"/>
      <c r="C5" s="423" t="str">
        <f>CONCATENATE(LEFT(Financials!B58,LEN(Financials!B58)-1)," except days)")</f>
        <v>(USD in millions except days)</v>
      </c>
      <c r="D5" s="424"/>
      <c r="E5" s="145"/>
      <c r="F5" s="146"/>
      <c r="G5" s="422" t="s">
        <v>32</v>
      </c>
      <c r="H5" s="421"/>
      <c r="I5" s="421"/>
      <c r="J5" s="421"/>
      <c r="K5" s="421"/>
      <c r="L5" s="421"/>
      <c r="M5" s="421"/>
      <c r="N5" s="421"/>
      <c r="O5" s="421"/>
      <c r="P5" s="421"/>
      <c r="Q5" s="307"/>
      <c r="R5" s="307"/>
      <c r="S5" s="307"/>
      <c r="T5" s="307"/>
      <c r="U5" s="307"/>
      <c r="V5" s="307"/>
      <c r="W5" s="307"/>
      <c r="X5" s="141"/>
      <c r="Y5" s="307"/>
      <c r="Z5" s="307"/>
      <c r="AA5" s="307"/>
      <c r="AB5" s="307"/>
    </row>
    <row r="6" spans="1:28" ht="9.75" customHeight="1">
      <c r="A6" s="307"/>
      <c r="B6" s="307"/>
      <c r="C6" s="420"/>
      <c r="D6" s="421"/>
      <c r="E6" s="421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307"/>
      <c r="R6" s="307"/>
      <c r="S6" s="307"/>
      <c r="T6" s="307"/>
      <c r="U6" s="307"/>
      <c r="V6" s="307"/>
      <c r="W6" s="307"/>
      <c r="X6" s="141"/>
      <c r="Y6" s="307"/>
      <c r="Z6" s="307"/>
      <c r="AA6" s="307"/>
      <c r="AB6" s="307"/>
    </row>
    <row r="7" spans="1:28" ht="17.399999999999999">
      <c r="A7" s="307"/>
      <c r="B7" s="19"/>
      <c r="C7" s="147"/>
      <c r="D7" s="147" t="s">
        <v>33</v>
      </c>
      <c r="E7" s="148" t="str">
        <f>'Rev &amp; Exp'!C5</f>
        <v>Feb-2025</v>
      </c>
      <c r="F7" s="149"/>
      <c r="G7" s="61" t="str">
        <f>'Rev &amp; Exp'!E5</f>
        <v>Feb-2026</v>
      </c>
      <c r="H7" s="61" t="str">
        <f>'Rev &amp; Exp'!F5</f>
        <v>Feb-2027</v>
      </c>
      <c r="I7" s="61" t="str">
        <f>'Rev &amp; Exp'!G5</f>
        <v>Feb-2028</v>
      </c>
      <c r="J7" s="61" t="str">
        <f>'Rev &amp; Exp'!H5</f>
        <v>Feb-2029</v>
      </c>
      <c r="K7" s="61" t="str">
        <f>'Rev &amp; Exp'!I5</f>
        <v>Feb-2030</v>
      </c>
      <c r="L7" s="61" t="str">
        <f>'Rev &amp; Exp'!J5</f>
        <v>Feb-2031</v>
      </c>
      <c r="M7" s="61" t="str">
        <f>'Rev &amp; Exp'!K5</f>
        <v>Feb-2032</v>
      </c>
      <c r="N7" s="61" t="str">
        <f>'Rev &amp; Exp'!L5</f>
        <v>Feb-2033</v>
      </c>
      <c r="O7" s="61" t="str">
        <f>'Rev &amp; Exp'!M5</f>
        <v>Feb-2034</v>
      </c>
      <c r="P7" s="61" t="str">
        <f>'Rev &amp; Exp'!N5</f>
        <v>Feb-2035</v>
      </c>
      <c r="Q7" s="307"/>
      <c r="R7" s="307"/>
      <c r="S7" s="307"/>
      <c r="T7" s="307"/>
      <c r="U7" s="307"/>
      <c r="V7" s="307"/>
      <c r="W7" s="307"/>
      <c r="X7" s="141"/>
      <c r="Y7" s="307"/>
      <c r="Z7" s="307"/>
      <c r="AA7" s="307"/>
      <c r="AB7" s="307"/>
    </row>
    <row r="8" spans="1:28" ht="17.399999999999999">
      <c r="A8" s="307"/>
      <c r="B8" s="307"/>
      <c r="C8" s="420"/>
      <c r="D8" s="421"/>
      <c r="E8" s="421"/>
      <c r="F8" s="123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307"/>
      <c r="R8" s="307"/>
      <c r="S8" s="307"/>
      <c r="T8" s="307"/>
      <c r="U8" s="307"/>
      <c r="V8" s="307"/>
      <c r="W8" s="307"/>
      <c r="X8" s="141"/>
      <c r="Y8" s="307"/>
      <c r="Z8" s="307"/>
      <c r="AA8" s="307"/>
      <c r="AB8" s="307"/>
    </row>
    <row r="9" spans="1:28" ht="18">
      <c r="A9" s="307"/>
      <c r="B9" s="14"/>
      <c r="C9" s="14" t="s">
        <v>34</v>
      </c>
      <c r="D9" s="150">
        <f>IFERROR(AVERAGEIF(Financials!E48:G48,"&lt;&gt;0"),0)</f>
        <v>8.9557864120347244</v>
      </c>
      <c r="E9" s="144"/>
      <c r="F9" s="151"/>
      <c r="G9" s="612">
        <f>IFERROR(AVERAGEIF(Financials!E48:G48,"&lt;&gt;0"),0)</f>
        <v>8.9557864120347244</v>
      </c>
      <c r="H9" s="612">
        <f>IFERROR((SUMIF(Financials!F48:G48,"&lt;&gt;0") + SUMIF(G9,"&lt;&gt;0"))/(COUNTIF(Financials!F48:G48,"&lt;&gt;0")+COUNTIF(G9,"&lt;&gt;0")),0)</f>
        <v>9.377130877331874</v>
      </c>
      <c r="I9" s="612">
        <f>IFERROR((SUMIF(G9:H9,"&lt;&gt;0")+SUMIF(Financials!G48,"&lt;&gt;0"))/(COUNTIF(G9:H9,"&lt;&gt;0")+COUNTIF(Financials!G48,"&lt;&gt;0")),0)</f>
        <v>9.8506546311421435</v>
      </c>
      <c r="J9" s="612">
        <f t="shared" ref="J9:P9" si="0">IFERROR(AVERAGEIF(G9:I9,"&lt;&gt;0"),0)</f>
        <v>9.3945239735029133</v>
      </c>
      <c r="K9" s="612">
        <f t="shared" si="0"/>
        <v>9.5407698273256436</v>
      </c>
      <c r="L9" s="152">
        <f t="shared" si="0"/>
        <v>9.5953161439902335</v>
      </c>
      <c r="M9" s="152">
        <f t="shared" si="0"/>
        <v>9.5102033149395968</v>
      </c>
      <c r="N9" s="152">
        <f t="shared" si="0"/>
        <v>9.5487630954184919</v>
      </c>
      <c r="O9" s="152">
        <f t="shared" si="0"/>
        <v>9.5514275181161068</v>
      </c>
      <c r="P9" s="152">
        <f t="shared" si="0"/>
        <v>9.5367979761580646</v>
      </c>
      <c r="Q9" s="307"/>
      <c r="R9" s="307"/>
      <c r="S9" s="307"/>
      <c r="T9" s="307"/>
      <c r="U9" s="307"/>
      <c r="V9" s="307"/>
      <c r="W9" s="307"/>
      <c r="X9" s="141"/>
      <c r="Y9" s="307"/>
      <c r="Z9" s="307"/>
      <c r="AA9" s="307"/>
      <c r="AB9" s="307"/>
    </row>
    <row r="10" spans="1:28" ht="17.399999999999999">
      <c r="A10" s="307"/>
      <c r="B10" s="19"/>
      <c r="C10" s="19" t="s">
        <v>35</v>
      </c>
      <c r="D10" s="150"/>
      <c r="E10" s="63">
        <f>Financials!G8</f>
        <v>4903</v>
      </c>
      <c r="F10" s="130"/>
      <c r="G10" s="63">
        <f>IFERROR(G9 * 'Rev &amp; Exp'!E7 / 365,0)</f>
        <v>4119.4725541943571</v>
      </c>
      <c r="H10" s="63">
        <f>H9 * 'Rev &amp; Exp'!F7 / 365</f>
        <v>4399.5477492668761</v>
      </c>
      <c r="I10" s="63">
        <f>I9 * 'Rev &amp; Exp'!G7 / 365</f>
        <v>4740.4159350229584</v>
      </c>
      <c r="J10" s="63">
        <f>J9 * 'Rev &amp; Exp'!H7 / 365</f>
        <v>4695.190654275325</v>
      </c>
      <c r="K10" s="63">
        <f>K9 * 'Rev &amp; Exp'!I7 / 365</f>
        <v>4984.8236281542022</v>
      </c>
      <c r="L10" s="63">
        <f>L9 * 'Rev &amp; Exp'!J7 / 365</f>
        <v>5113.5892270583145</v>
      </c>
      <c r="M10" s="63">
        <f>M9 * 'Rev &amp; Exp'!K7 / 365</f>
        <v>5334.4333928872438</v>
      </c>
      <c r="N10" s="63">
        <f>N9 * 'Rev &amp; Exp'!L7 / 365</f>
        <v>5520.3131459657197</v>
      </c>
      <c r="O10" s="63">
        <f>O9 * 'Rev &amp; Exp'!M7 / 365</f>
        <v>5668.5181125870022</v>
      </c>
      <c r="P10" s="63">
        <f>P9 * 'Rev &amp; Exp'!N7 / 365</f>
        <v>5773.032586032703</v>
      </c>
      <c r="Q10" s="307"/>
      <c r="R10" s="307"/>
      <c r="S10" s="307"/>
      <c r="T10" s="307"/>
      <c r="U10" s="307"/>
      <c r="V10" s="307"/>
      <c r="W10" s="307"/>
      <c r="X10" s="141"/>
      <c r="Y10" s="307"/>
      <c r="Z10" s="307"/>
      <c r="AA10" s="307"/>
      <c r="AB10" s="307"/>
    </row>
    <row r="11" spans="1:28" ht="17.399999999999999">
      <c r="A11" s="307"/>
      <c r="B11" s="307"/>
      <c r="C11" s="420"/>
      <c r="D11" s="421"/>
      <c r="E11" s="421"/>
      <c r="F11" s="123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307"/>
      <c r="R11" s="307"/>
      <c r="S11" s="307"/>
      <c r="T11" s="307"/>
      <c r="U11" s="307"/>
      <c r="V11" s="307"/>
      <c r="W11" s="307"/>
      <c r="X11" s="141"/>
      <c r="Y11" s="307"/>
      <c r="Z11" s="307"/>
      <c r="AA11" s="307"/>
      <c r="AB11" s="307"/>
    </row>
    <row r="12" spans="1:28" ht="18">
      <c r="A12" s="307"/>
      <c r="B12" s="14"/>
      <c r="C12" s="14" t="s">
        <v>36</v>
      </c>
      <c r="D12" s="150">
        <f>IFERROR(AVERAGEIF(Financials!E49:G49,"&lt;&gt;0"),0)</f>
        <v>38.989209934472285</v>
      </c>
      <c r="E12" s="144"/>
      <c r="F12" s="151"/>
      <c r="G12" s="612">
        <f>IFERROR(AVERAGEIF(Financials!E49:G49,"&lt;&gt;0"),0)</f>
        <v>38.989209934472285</v>
      </c>
      <c r="H12" s="612">
        <f>IFERROR((SUMIF(Financials!F49:G49,"&lt;&gt;0") + SUMIF(G12,"&lt;&gt;0"))/(COUNTIF(Financials!F49:G49,"&lt;&gt;0")+COUNTIF(G12,"&lt;&gt;0")),0)</f>
        <v>38.678739490487139</v>
      </c>
      <c r="I12" s="612">
        <f>IFERROR((SUMIF(G12:H12,"&lt;&gt;0")+SUMIF(Financials!G49,"&lt;&gt;0"))/(COUNTIF(G12:H12,"&lt;&gt;0")+COUNTIF(Financials!G49,"&lt;&gt;0")),0)</f>
        <v>39.565160275399514</v>
      </c>
      <c r="J12" s="612">
        <f t="shared" ref="J12:P12" si="1">IFERROR(AVERAGEIF(G12:I12,"&lt;&gt;0"),0)</f>
        <v>39.077703233452979</v>
      </c>
      <c r="K12" s="612">
        <f t="shared" si="1"/>
        <v>39.107200999779877</v>
      </c>
      <c r="L12" s="152">
        <f t="shared" si="1"/>
        <v>39.250021502877452</v>
      </c>
      <c r="M12" s="152">
        <f t="shared" si="1"/>
        <v>39.144975245370098</v>
      </c>
      <c r="N12" s="152">
        <f t="shared" si="1"/>
        <v>39.167399249342473</v>
      </c>
      <c r="O12" s="152">
        <f t="shared" si="1"/>
        <v>39.187465332530003</v>
      </c>
      <c r="P12" s="152">
        <f t="shared" si="1"/>
        <v>39.166613275747522</v>
      </c>
      <c r="Q12" s="307"/>
      <c r="R12" s="307"/>
      <c r="S12" s="307"/>
      <c r="T12" s="307"/>
      <c r="U12" s="307"/>
      <c r="V12" s="307"/>
      <c r="W12" s="307"/>
      <c r="X12" s="141"/>
      <c r="Y12" s="307"/>
      <c r="Z12" s="307"/>
      <c r="AA12" s="307"/>
      <c r="AB12" s="307"/>
    </row>
    <row r="13" spans="1:28" ht="17.399999999999999">
      <c r="A13" s="307"/>
      <c r="B13" s="19"/>
      <c r="C13" s="19" t="s">
        <v>37</v>
      </c>
      <c r="D13" s="145"/>
      <c r="E13" s="63">
        <f>-Financials!G26</f>
        <v>-11938</v>
      </c>
      <c r="F13" s="130"/>
      <c r="G13" s="63">
        <f>G12 * 'Rev &amp; Exp'!E11 / 365</f>
        <v>-11701.960927268476</v>
      </c>
      <c r="H13" s="63">
        <f>H12 * 'Rev &amp; Exp'!F11 / 365</f>
        <v>-11604.134891545009</v>
      </c>
      <c r="I13" s="63">
        <f>I12 * 'Rev &amp; Exp'!G11 / 365</f>
        <v>-11931.437204437503</v>
      </c>
      <c r="J13" s="63">
        <f>J12 * 'Rev &amp; Exp'!H11 / 365</f>
        <v>-11993.944450127221</v>
      </c>
      <c r="K13" s="63">
        <f>K12 * 'Rev &amp; Exp'!I11 / 365</f>
        <v>-12297.129231728797</v>
      </c>
      <c r="L13" s="63">
        <f>L12 * 'Rev &amp; Exp'!J11 / 365</f>
        <v>-12588.879436990888</v>
      </c>
      <c r="M13" s="63">
        <f>M12 * 'Rev &amp; Exp'!K11 / 365</f>
        <v>-13214.634123003711</v>
      </c>
      <c r="N13" s="63">
        <f>N12 * 'Rev &amp; Exp'!L11 / 365</f>
        <v>-13627.680904584646</v>
      </c>
      <c r="O13" s="63">
        <f>O12 * 'Rev &amp; Exp'!M11 / 365</f>
        <v>-13996.809558766405</v>
      </c>
      <c r="P13" s="63">
        <f>P12 * 'Rev &amp; Exp'!N11 / 365</f>
        <v>-14269.148945440071</v>
      </c>
      <c r="Q13" s="307"/>
      <c r="R13" s="307"/>
      <c r="S13" s="307"/>
      <c r="T13" s="307"/>
      <c r="U13" s="307"/>
      <c r="V13" s="307"/>
      <c r="W13" s="307"/>
      <c r="X13" s="141"/>
      <c r="Y13" s="307"/>
      <c r="Z13" s="307"/>
      <c r="AA13" s="307"/>
      <c r="AB13" s="307"/>
    </row>
    <row r="14" spans="1:28" ht="17.399999999999999">
      <c r="A14" s="307"/>
      <c r="B14" s="307"/>
      <c r="C14" s="420"/>
      <c r="D14" s="421"/>
      <c r="E14" s="421"/>
      <c r="F14" s="123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307"/>
      <c r="R14" s="307"/>
      <c r="S14" s="307"/>
      <c r="T14" s="307"/>
      <c r="U14" s="307"/>
      <c r="V14" s="307"/>
      <c r="W14" s="307"/>
      <c r="X14" s="141"/>
      <c r="Y14" s="307"/>
      <c r="Z14" s="307"/>
      <c r="AA14" s="307"/>
      <c r="AB14" s="307"/>
    </row>
    <row r="15" spans="1:28" ht="18">
      <c r="A15" s="307"/>
      <c r="B15" s="14"/>
      <c r="C15" s="14" t="s">
        <v>38</v>
      </c>
      <c r="D15" s="150">
        <f>IFERROR(AVERAGEIF(Financials!E50:G50,"&lt;&gt;0"),0)</f>
        <v>80.896311545570754</v>
      </c>
      <c r="E15" s="144"/>
      <c r="F15" s="151"/>
      <c r="G15" s="612">
        <f>IFERROR(AVERAGEIF(Financials!E50:G50,"&lt;&gt;0"),0)</f>
        <v>80.896311545570754</v>
      </c>
      <c r="H15" s="612">
        <f>IFERROR((SUMIF(Financials!F50:G50,"&lt;&gt;0") + SUMIF(G15,"&lt;&gt;0"))/(COUNTIF(Financials!F50:G50,"&lt;&gt;0")+COUNTIF(G15,"&lt;&gt;0")),0)</f>
        <v>78.922234589633959</v>
      </c>
      <c r="I15" s="612">
        <f>IFERROR((SUMIF(G15:H15,"&lt;&gt;0")+SUMIF(Financials!G50,"&lt;&gt;0"))/(COUNTIF(G15:H15,"&lt;&gt;0")+COUNTIF(Financials!G50,"&lt;&gt;0")),0)</f>
        <v>80.137668025144691</v>
      </c>
      <c r="J15" s="612">
        <f t="shared" ref="J15:P15" si="2">IFERROR(AVERAGEIF(G15:I15,"&lt;&gt;0"),0)</f>
        <v>79.985404720116478</v>
      </c>
      <c r="K15" s="612">
        <f t="shared" si="2"/>
        <v>79.681769111631709</v>
      </c>
      <c r="L15" s="152">
        <f t="shared" si="2"/>
        <v>79.934947285630969</v>
      </c>
      <c r="M15" s="152">
        <f t="shared" si="2"/>
        <v>79.867373705793057</v>
      </c>
      <c r="N15" s="152">
        <f t="shared" si="2"/>
        <v>79.828030034351912</v>
      </c>
      <c r="O15" s="152">
        <f t="shared" si="2"/>
        <v>79.87678367525865</v>
      </c>
      <c r="P15" s="152">
        <f t="shared" si="2"/>
        <v>79.857395805134544</v>
      </c>
      <c r="Q15" s="307"/>
      <c r="R15" s="307"/>
      <c r="S15" s="307"/>
      <c r="T15" s="307"/>
      <c r="U15" s="307"/>
      <c r="V15" s="307"/>
      <c r="W15" s="307"/>
      <c r="X15" s="141"/>
      <c r="Y15" s="307"/>
      <c r="Z15" s="307"/>
      <c r="AA15" s="307"/>
      <c r="AB15" s="307"/>
    </row>
    <row r="16" spans="1:28" ht="17.399999999999999">
      <c r="A16" s="307"/>
      <c r="B16" s="19"/>
      <c r="C16" s="19" t="s">
        <v>39</v>
      </c>
      <c r="D16" s="145"/>
      <c r="E16" s="63">
        <f>Financials!G10</f>
        <v>23451</v>
      </c>
      <c r="F16" s="130"/>
      <c r="G16" s="63">
        <f>-G15*'Rev &amp; Exp'!E11/365</f>
        <v>24279.67836376778</v>
      </c>
      <c r="H16" s="63">
        <f>-H15*'Rev &amp; Exp'!F11/365</f>
        <v>23677.717220994615</v>
      </c>
      <c r="I16" s="63">
        <f>-I15*'Rev &amp; Exp'!G11/365</f>
        <v>24166.654377148687</v>
      </c>
      <c r="J16" s="63">
        <f>-J15*'Rev &amp; Exp'!H11/365</f>
        <v>24549.562068754462</v>
      </c>
      <c r="K16" s="63">
        <f>-K15*'Rev &amp; Exp'!I11/365</f>
        <v>25055.667169430668</v>
      </c>
      <c r="L16" s="63">
        <f>-L15*'Rev &amp; Exp'!J11/365</f>
        <v>25637.983767913563</v>
      </c>
      <c r="M16" s="63">
        <f>-M15*'Rev &amp; Exp'!K11/365</f>
        <v>26961.77773192212</v>
      </c>
      <c r="N16" s="63">
        <f>-N15*'Rev &amp; Exp'!L11/365</f>
        <v>27774.908250207853</v>
      </c>
      <c r="O16" s="63">
        <f>-O15*'Rev &amp; Exp'!M11/365</f>
        <v>28530.044486987888</v>
      </c>
      <c r="P16" s="63">
        <f>-P15*'Rev &amp; Exp'!N11/365</f>
        <v>29093.582003527925</v>
      </c>
      <c r="Q16" s="307"/>
      <c r="R16" s="307"/>
      <c r="S16" s="307"/>
      <c r="T16" s="307"/>
      <c r="U16" s="307"/>
      <c r="V16" s="307"/>
      <c r="W16" s="307"/>
      <c r="X16" s="141"/>
      <c r="Y16" s="307"/>
      <c r="Z16" s="307"/>
      <c r="AA16" s="307"/>
      <c r="AB16" s="307"/>
    </row>
    <row r="17" spans="1:28" ht="17.399999999999999">
      <c r="A17" s="307"/>
      <c r="B17" s="307"/>
      <c r="C17" s="420"/>
      <c r="D17" s="421"/>
      <c r="E17" s="421"/>
      <c r="F17" s="123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307"/>
      <c r="R17" s="307"/>
      <c r="S17" s="307"/>
      <c r="T17" s="307"/>
      <c r="U17" s="307"/>
      <c r="V17" s="307"/>
      <c r="W17" s="307"/>
      <c r="X17" s="141"/>
      <c r="Y17" s="307"/>
      <c r="Z17" s="307"/>
      <c r="AA17" s="307"/>
      <c r="AB17" s="307"/>
    </row>
    <row r="18" spans="1:28" ht="17.399999999999999">
      <c r="A18" s="307"/>
      <c r="B18" s="19"/>
      <c r="C18" s="153" t="s">
        <v>40</v>
      </c>
      <c r="D18" s="154"/>
      <c r="E18" s="155">
        <f>E16+E13+E10</f>
        <v>16416</v>
      </c>
      <c r="F18" s="156"/>
      <c r="G18" s="155">
        <f t="shared" ref="G18:P18" si="3">G16+G13+G10</f>
        <v>16697.18999069366</v>
      </c>
      <c r="H18" s="155">
        <f t="shared" si="3"/>
        <v>16473.13007871648</v>
      </c>
      <c r="I18" s="155">
        <f t="shared" si="3"/>
        <v>16975.633107734142</v>
      </c>
      <c r="J18" s="155">
        <f t="shared" si="3"/>
        <v>17250.808272902566</v>
      </c>
      <c r="K18" s="155">
        <f t="shared" si="3"/>
        <v>17743.361565856074</v>
      </c>
      <c r="L18" s="155">
        <f t="shared" si="3"/>
        <v>18162.693557980991</v>
      </c>
      <c r="M18" s="155">
        <f t="shared" si="3"/>
        <v>19081.577001805654</v>
      </c>
      <c r="N18" s="155">
        <f t="shared" si="3"/>
        <v>19667.540491588927</v>
      </c>
      <c r="O18" s="155">
        <f t="shared" si="3"/>
        <v>20201.753040808486</v>
      </c>
      <c r="P18" s="155">
        <f t="shared" si="3"/>
        <v>20597.465644120559</v>
      </c>
      <c r="Q18" s="307"/>
      <c r="R18" s="307"/>
      <c r="S18" s="307"/>
      <c r="T18" s="307"/>
      <c r="U18" s="307"/>
      <c r="V18" s="307"/>
      <c r="W18" s="307"/>
      <c r="X18" s="141"/>
      <c r="Y18" s="307"/>
      <c r="Z18" s="307"/>
      <c r="AA18" s="307"/>
      <c r="AB18" s="307"/>
    </row>
    <row r="19" spans="1:28" ht="17.399999999999999">
      <c r="A19" s="307"/>
      <c r="B19" s="157"/>
      <c r="C19" s="158" t="s">
        <v>41</v>
      </c>
      <c r="D19" s="159"/>
      <c r="E19" s="159"/>
      <c r="F19" s="160"/>
      <c r="G19" s="161">
        <f>G18-E18</f>
        <v>281.18999069365964</v>
      </c>
      <c r="H19" s="161">
        <f t="shared" ref="H19:P19" si="4">H18-G18</f>
        <v>-224.05991197717958</v>
      </c>
      <c r="I19" s="161">
        <f t="shared" si="4"/>
        <v>502.5030290176619</v>
      </c>
      <c r="J19" s="161">
        <f t="shared" si="4"/>
        <v>275.17516516842443</v>
      </c>
      <c r="K19" s="161">
        <f t="shared" si="4"/>
        <v>492.55329295350748</v>
      </c>
      <c r="L19" s="161">
        <f t="shared" si="4"/>
        <v>419.33199212491672</v>
      </c>
      <c r="M19" s="161">
        <f t="shared" si="4"/>
        <v>918.88344382466312</v>
      </c>
      <c r="N19" s="161">
        <f t="shared" si="4"/>
        <v>585.96348978327296</v>
      </c>
      <c r="O19" s="161">
        <f t="shared" si="4"/>
        <v>534.21254921955915</v>
      </c>
      <c r="P19" s="161">
        <f t="shared" si="4"/>
        <v>395.71260331207304</v>
      </c>
      <c r="Q19" s="307"/>
      <c r="R19" s="307"/>
      <c r="S19" s="307"/>
      <c r="T19" s="307"/>
      <c r="U19" s="307"/>
      <c r="V19" s="307"/>
      <c r="W19" s="307"/>
      <c r="X19" s="141"/>
      <c r="Y19" s="307"/>
      <c r="Z19" s="307"/>
      <c r="AA19" s="307"/>
      <c r="AB19" s="307"/>
    </row>
    <row r="20" spans="1:28" ht="17.399999999999999">
      <c r="A20" s="307"/>
      <c r="B20" s="142"/>
      <c r="C20" s="14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307"/>
      <c r="R20" s="307"/>
      <c r="S20" s="307"/>
      <c r="T20" s="307"/>
      <c r="U20" s="307"/>
      <c r="V20" s="307"/>
      <c r="W20" s="307"/>
      <c r="X20" s="141"/>
      <c r="Y20" s="307"/>
      <c r="Z20" s="307"/>
      <c r="AA20" s="307"/>
      <c r="AB20" s="307"/>
    </row>
    <row r="21" spans="1:28" ht="17.399999999999999">
      <c r="A21" s="307"/>
      <c r="B21" s="142"/>
      <c r="C21" s="14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307"/>
      <c r="R21" s="307"/>
      <c r="S21" s="307"/>
      <c r="T21" s="307"/>
      <c r="U21" s="307"/>
      <c r="V21" s="307"/>
      <c r="W21" s="307"/>
      <c r="X21" s="141"/>
      <c r="Y21" s="307"/>
      <c r="Z21" s="307"/>
      <c r="AA21" s="307"/>
      <c r="AB21" s="307"/>
    </row>
    <row r="22" spans="1:28" ht="3.75" customHeight="1">
      <c r="B22" s="162"/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X22" s="21"/>
    </row>
    <row r="23" spans="1:28" ht="9.75" customHeight="1">
      <c r="B23" s="164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X23" s="21"/>
    </row>
    <row r="24" spans="1:28" ht="21">
      <c r="A24" s="307"/>
      <c r="B24" s="140" t="s">
        <v>42</v>
      </c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307"/>
      <c r="R24" s="307"/>
      <c r="S24" s="307"/>
      <c r="T24" s="307"/>
      <c r="U24" s="307"/>
      <c r="V24" s="307"/>
      <c r="W24" s="307"/>
      <c r="X24" s="141"/>
      <c r="Y24" s="307"/>
      <c r="Z24" s="307"/>
      <c r="AA24" s="307"/>
      <c r="AB24" s="307"/>
    </row>
    <row r="25" spans="1:28" ht="17.399999999999999">
      <c r="A25" s="307"/>
      <c r="B25" s="307"/>
      <c r="C25" s="307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307"/>
      <c r="R25" s="307"/>
      <c r="S25" s="307"/>
      <c r="T25" s="307"/>
      <c r="U25" s="307"/>
      <c r="V25" s="307"/>
      <c r="W25" s="307"/>
      <c r="X25" s="141"/>
      <c r="Y25" s="307"/>
      <c r="Z25" s="307"/>
      <c r="AA25" s="307"/>
      <c r="AB25" s="307"/>
    </row>
    <row r="26" spans="1:28" ht="18">
      <c r="A26" s="307"/>
      <c r="B26" s="14"/>
      <c r="C26" s="397" t="str">
        <f>Financials!B58</f>
        <v>(USD in millions)</v>
      </c>
      <c r="D26" s="146"/>
      <c r="E26" s="146"/>
      <c r="F26" s="146"/>
      <c r="G26" s="422" t="s">
        <v>32</v>
      </c>
      <c r="H26" s="421"/>
      <c r="I26" s="421"/>
      <c r="J26" s="421"/>
      <c r="K26" s="421"/>
      <c r="L26" s="421"/>
      <c r="M26" s="421"/>
      <c r="N26" s="421"/>
      <c r="O26" s="421"/>
      <c r="P26" s="421"/>
      <c r="Q26" s="307"/>
      <c r="R26" s="307"/>
      <c r="S26" s="307"/>
      <c r="T26" s="307"/>
      <c r="U26" s="307"/>
      <c r="V26" s="307"/>
      <c r="W26" s="307"/>
      <c r="X26" s="141"/>
      <c r="Y26" s="307"/>
      <c r="Z26" s="307"/>
      <c r="AA26" s="307"/>
      <c r="AB26" s="307"/>
    </row>
    <row r="27" spans="1:28" ht="9" customHeight="1">
      <c r="A27" s="307"/>
      <c r="B27" s="19"/>
      <c r="C27" s="19"/>
      <c r="D27" s="144"/>
      <c r="E27" s="144"/>
      <c r="F27" s="144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307"/>
      <c r="R27" s="307"/>
      <c r="S27" s="307"/>
      <c r="T27" s="307"/>
      <c r="U27" s="307"/>
      <c r="V27" s="307"/>
      <c r="W27" s="307"/>
      <c r="X27" s="141"/>
      <c r="Y27" s="307"/>
      <c r="Z27" s="307"/>
      <c r="AA27" s="307"/>
      <c r="AB27" s="307"/>
    </row>
    <row r="28" spans="1:28" ht="18">
      <c r="A28" s="307"/>
      <c r="B28" s="19"/>
      <c r="C28" s="166"/>
      <c r="D28" s="167"/>
      <c r="E28" s="167"/>
      <c r="F28" s="167"/>
      <c r="G28" s="61" t="str">
        <f t="shared" ref="G28:P28" si="5">G7</f>
        <v>Feb-2026</v>
      </c>
      <c r="H28" s="61" t="str">
        <f t="shared" si="5"/>
        <v>Feb-2027</v>
      </c>
      <c r="I28" s="61" t="str">
        <f t="shared" si="5"/>
        <v>Feb-2028</v>
      </c>
      <c r="J28" s="61" t="str">
        <f t="shared" si="5"/>
        <v>Feb-2029</v>
      </c>
      <c r="K28" s="61" t="str">
        <f t="shared" si="5"/>
        <v>Feb-2030</v>
      </c>
      <c r="L28" s="61" t="str">
        <f t="shared" si="5"/>
        <v>Feb-2031</v>
      </c>
      <c r="M28" s="61" t="str">
        <f t="shared" si="5"/>
        <v>Feb-2032</v>
      </c>
      <c r="N28" s="61" t="str">
        <f t="shared" si="5"/>
        <v>Feb-2033</v>
      </c>
      <c r="O28" s="61" t="str">
        <f t="shared" si="5"/>
        <v>Feb-2034</v>
      </c>
      <c r="P28" s="61" t="str">
        <f t="shared" si="5"/>
        <v>Feb-2035</v>
      </c>
      <c r="Q28" s="307"/>
      <c r="R28" s="307"/>
      <c r="S28" s="307"/>
      <c r="T28" s="307"/>
      <c r="U28" s="307"/>
      <c r="V28" s="307"/>
      <c r="W28" s="307"/>
      <c r="X28" s="141"/>
      <c r="Y28" s="307"/>
      <c r="Z28" s="307"/>
      <c r="AA28" s="307"/>
      <c r="AB28" s="307"/>
    </row>
    <row r="29" spans="1:28" ht="17.399999999999999">
      <c r="A29" s="307"/>
      <c r="B29" s="307"/>
      <c r="C29" s="307"/>
      <c r="D29" s="122"/>
      <c r="E29" s="122"/>
      <c r="F29" s="122"/>
      <c r="G29" s="307"/>
      <c r="H29" s="307"/>
      <c r="I29" s="307"/>
      <c r="J29" s="307"/>
      <c r="K29" s="307"/>
      <c r="L29" s="307"/>
      <c r="M29" s="307"/>
      <c r="N29" s="307"/>
      <c r="O29" s="307"/>
      <c r="P29" s="307"/>
      <c r="Q29" s="307"/>
      <c r="R29" s="307"/>
      <c r="S29" s="307"/>
      <c r="T29" s="307"/>
      <c r="U29" s="307"/>
      <c r="V29" s="307"/>
      <c r="W29" s="307"/>
      <c r="X29" s="141"/>
      <c r="Y29" s="307"/>
      <c r="Z29" s="307"/>
      <c r="AA29" s="307"/>
      <c r="AB29" s="307"/>
    </row>
    <row r="30" spans="1:28" ht="18">
      <c r="A30" s="307"/>
      <c r="B30" s="157"/>
      <c r="C30" s="67" t="s">
        <v>43</v>
      </c>
      <c r="D30" s="168"/>
      <c r="E30" s="168"/>
      <c r="F30" s="168"/>
      <c r="G30" s="63">
        <f>G31*'Rev &amp; Exp'!E7</f>
        <v>3304.5552176248425</v>
      </c>
      <c r="H30" s="63">
        <f>H31*'Rev &amp; Exp'!F7</f>
        <v>3370.6463219773391</v>
      </c>
      <c r="I30" s="63">
        <f>I31*'Rev &amp; Exp'!G7</f>
        <v>3457.2157548947898</v>
      </c>
      <c r="J30" s="63">
        <f>J31*'Rev &amp; Exp'!H7</f>
        <v>3590.4888293707463</v>
      </c>
      <c r="K30" s="63">
        <f>K31*'Rev &amp; Exp'!I7</f>
        <v>3753.5439480863438</v>
      </c>
      <c r="L30" s="63">
        <f>L31*'Rev &amp; Exp'!J7</f>
        <v>3828.6148270480708</v>
      </c>
      <c r="M30" s="63">
        <f>M31*'Rev &amp; Exp'!K7</f>
        <v>4029.7084128592651</v>
      </c>
      <c r="N30" s="63">
        <f>N31*'Rev &amp; Exp'!L7</f>
        <v>4153.284893995261</v>
      </c>
      <c r="O30" s="63">
        <f>O31*'Rev &amp; Exp'!M7</f>
        <v>4263.5992897853084</v>
      </c>
      <c r="P30" s="63">
        <f>P31*'Rev &amp; Exp'!N7</f>
        <v>4348.8712755810147</v>
      </c>
      <c r="Q30" s="307"/>
      <c r="R30" s="307"/>
      <c r="S30" s="307"/>
      <c r="T30" s="307"/>
      <c r="U30" s="307"/>
      <c r="V30" s="307"/>
      <c r="W30" s="307"/>
      <c r="X30" s="141"/>
      <c r="Y30" s="307"/>
      <c r="Z30" s="307"/>
      <c r="AA30" s="307"/>
      <c r="AB30" s="307"/>
    </row>
    <row r="31" spans="1:28" ht="18">
      <c r="A31" s="307"/>
      <c r="B31" s="14"/>
      <c r="C31" s="14" t="s">
        <v>44</v>
      </c>
      <c r="D31" s="126"/>
      <c r="E31" s="126"/>
      <c r="F31" s="126"/>
      <c r="G31" s="611">
        <f>E38</f>
        <v>1.9682590745643404E-2</v>
      </c>
      <c r="H31" s="611">
        <f>E38</f>
        <v>1.9682590745643404E-2</v>
      </c>
      <c r="I31" s="611">
        <f>E38</f>
        <v>1.9682590745643404E-2</v>
      </c>
      <c r="J31" s="611">
        <f>E38</f>
        <v>1.9682590745643404E-2</v>
      </c>
      <c r="K31" s="611">
        <f>E38</f>
        <v>1.9682590745643404E-2</v>
      </c>
      <c r="L31" s="133">
        <f>E38</f>
        <v>1.9682590745643404E-2</v>
      </c>
      <c r="M31" s="133">
        <f>E38</f>
        <v>1.9682590745643404E-2</v>
      </c>
      <c r="N31" s="133">
        <f>E38</f>
        <v>1.9682590745643404E-2</v>
      </c>
      <c r="O31" s="133">
        <f>E38</f>
        <v>1.9682590745643404E-2</v>
      </c>
      <c r="P31" s="133">
        <f>E38</f>
        <v>1.9682590745643404E-2</v>
      </c>
      <c r="Q31" s="307"/>
      <c r="R31" s="307"/>
      <c r="S31" s="307"/>
      <c r="T31" s="307"/>
      <c r="U31" s="307"/>
      <c r="V31" s="307"/>
      <c r="W31" s="307"/>
      <c r="X31" s="141"/>
      <c r="Y31" s="307"/>
      <c r="Z31" s="307"/>
      <c r="AA31" s="307"/>
      <c r="AB31" s="307"/>
    </row>
    <row r="32" spans="1:28" ht="24" customHeight="1">
      <c r="A32" s="307"/>
      <c r="B32" s="307"/>
      <c r="C32" s="307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307"/>
      <c r="R32" s="307"/>
      <c r="S32" s="307"/>
      <c r="T32" s="307"/>
      <c r="U32" s="307"/>
      <c r="V32" s="307"/>
      <c r="W32" s="307"/>
      <c r="X32" s="141"/>
      <c r="Y32" s="307"/>
      <c r="Z32" s="307"/>
      <c r="AA32" s="307"/>
      <c r="AB32" s="307"/>
    </row>
    <row r="33" spans="1:28" ht="18">
      <c r="A33" s="307"/>
      <c r="B33" s="14"/>
      <c r="C33" s="14"/>
      <c r="G33" s="422" t="s">
        <v>45</v>
      </c>
      <c r="H33" s="421"/>
      <c r="I33" s="421"/>
      <c r="J33" s="421"/>
      <c r="K33" s="421"/>
      <c r="Q33" s="307"/>
      <c r="R33" s="307"/>
      <c r="S33" s="307"/>
      <c r="T33" s="307"/>
      <c r="U33" s="307"/>
      <c r="V33" s="307"/>
      <c r="W33" s="307"/>
      <c r="X33" s="141"/>
      <c r="Y33" s="307"/>
      <c r="Z33" s="307"/>
      <c r="AA33" s="307"/>
      <c r="AB33" s="307"/>
    </row>
    <row r="34" spans="1:28" ht="9" customHeight="1">
      <c r="A34" s="307"/>
      <c r="B34" s="19"/>
      <c r="C34" s="19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307"/>
      <c r="R34" s="307"/>
      <c r="S34" s="307"/>
      <c r="T34" s="307"/>
      <c r="U34" s="307"/>
      <c r="V34" s="307"/>
      <c r="W34" s="307"/>
      <c r="X34" s="141"/>
      <c r="Y34" s="307"/>
      <c r="Z34" s="307"/>
      <c r="AA34" s="307"/>
      <c r="AB34" s="307"/>
    </row>
    <row r="35" spans="1:28" ht="17.399999999999999">
      <c r="A35" s="307"/>
      <c r="B35" s="19"/>
      <c r="C35" s="166"/>
      <c r="D35" s="56"/>
      <c r="E35" s="61" t="s">
        <v>46</v>
      </c>
      <c r="F35" s="169"/>
      <c r="G35" s="61" t="str">
        <f>_xlfn.CONCAT(LEFT(G7, SEARCH("-",G7,1)-1),"-",RIGHT(G7,4)-5)</f>
        <v>Feb-2021</v>
      </c>
      <c r="H35" s="61" t="str">
        <f>_xlfn.CONCAT(LEFT(H7, SEARCH("-",H7,1)-1),"-",RIGHT(H7,4)-5)</f>
        <v>Feb-2022</v>
      </c>
      <c r="I35" s="61" t="str">
        <f>_xlfn.CONCAT(LEFT(I7, SEARCH("-",I7,1)-1),"-",RIGHT(I7,4)-5)</f>
        <v>Feb-2023</v>
      </c>
      <c r="J35" s="61" t="str">
        <f>_xlfn.CONCAT(LEFT(J7, SEARCH("-",J7,1)-1),"-",RIGHT(J7,4)-5)</f>
        <v>Feb-2024</v>
      </c>
      <c r="K35" s="61" t="str">
        <f>_xlfn.CONCAT(LEFT(K7, SEARCH("-",K7,1)-1),"-",RIGHT(K7,4)-5)</f>
        <v>Feb-2025</v>
      </c>
      <c r="L35" s="17" t="s">
        <v>47</v>
      </c>
      <c r="M35" s="17" t="s">
        <v>47</v>
      </c>
      <c r="N35" s="17" t="s">
        <v>47</v>
      </c>
      <c r="O35" s="17" t="s">
        <v>47</v>
      </c>
      <c r="P35" s="17" t="s">
        <v>47</v>
      </c>
      <c r="Q35" s="307"/>
      <c r="R35" s="307"/>
      <c r="S35" s="307"/>
      <c r="T35" s="307"/>
      <c r="U35" s="307"/>
      <c r="V35" s="307"/>
      <c r="W35" s="307"/>
      <c r="X35" s="141"/>
      <c r="Y35" s="307"/>
      <c r="Z35" s="307"/>
      <c r="AA35" s="307"/>
      <c r="AB35" s="307"/>
    </row>
    <row r="36" spans="1:28" ht="17.399999999999999">
      <c r="A36" s="307"/>
      <c r="B36" s="307"/>
      <c r="C36" s="307"/>
      <c r="E36" s="122"/>
      <c r="F36" s="170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307"/>
      <c r="R36" s="307"/>
      <c r="S36" s="307"/>
      <c r="T36" s="307"/>
      <c r="U36" s="307"/>
      <c r="V36" s="307"/>
      <c r="W36" s="307"/>
      <c r="X36" s="141"/>
      <c r="Y36" s="307"/>
      <c r="Z36" s="307"/>
      <c r="AA36" s="307"/>
      <c r="AB36" s="307"/>
    </row>
    <row r="37" spans="1:28" ht="18">
      <c r="A37" s="307"/>
      <c r="B37" s="19"/>
      <c r="C37" s="19" t="s">
        <v>43</v>
      </c>
      <c r="E37" s="171">
        <f>AVERAGEIF(G37:K37,"&lt;&gt;0")</f>
        <v>2971.8</v>
      </c>
      <c r="F37" s="170"/>
      <c r="G37" s="171">
        <f>VLOOKUP(VALUE(RIGHT(G35,4)),Appendix!$B:$C,2)</f>
        <v>2463</v>
      </c>
      <c r="H37" s="171">
        <f>VLOOKUP(VALUE(RIGHT(H35,4)),Appendix!$B:$C,2)</f>
        <v>2566</v>
      </c>
      <c r="I37" s="171">
        <f>VLOOKUP(VALUE(RIGHT(I35,4)),Appendix!$B:$C,2)</f>
        <v>3119</v>
      </c>
      <c r="J37" s="171">
        <f>VLOOKUP(VALUE(RIGHT(J35,4)),Appendix!$B:$C,2)</f>
        <v>3226</v>
      </c>
      <c r="K37" s="171">
        <f>VLOOKUP(VALUE(RIGHT(K35,4)),Appendix!$B:$C,2)</f>
        <v>3485</v>
      </c>
      <c r="L37" s="171"/>
      <c r="M37" s="171"/>
      <c r="N37" s="171"/>
      <c r="O37" s="171"/>
      <c r="P37" s="171"/>
      <c r="Q37" s="307"/>
      <c r="R37" s="307"/>
      <c r="S37" s="307"/>
      <c r="T37" s="307"/>
      <c r="U37" s="307"/>
      <c r="V37" s="307"/>
      <c r="W37" s="307"/>
      <c r="X37" s="141"/>
      <c r="Y37" s="307"/>
      <c r="Z37" s="307"/>
      <c r="AA37" s="307"/>
      <c r="AB37" s="307"/>
    </row>
    <row r="38" spans="1:28" ht="18">
      <c r="A38" s="307"/>
      <c r="B38" s="14"/>
      <c r="C38" s="14" t="s">
        <v>44</v>
      </c>
      <c r="E38" s="132">
        <f>AVERAGEIF(G38:K38,"&lt;&gt;0")</f>
        <v>1.9682590745643404E-2</v>
      </c>
      <c r="F38" s="170"/>
      <c r="G38" s="132">
        <f>IFERROR(G37/Financials!C61,0)</f>
        <v>1.8643554613579593E-2</v>
      </c>
      <c r="H38" s="132">
        <f>IFERROR(H37/Financials!D61,0)</f>
        <v>1.6975727224012121E-2</v>
      </c>
      <c r="I38" s="132">
        <f>IFERROR(I37/Financials!E61,0)</f>
        <v>1.9815378360005846E-2</v>
      </c>
      <c r="J38" s="132">
        <f>IFERROR(J37/Financials!F61,0)</f>
        <v>2.113068140879943E-2</v>
      </c>
      <c r="K38" s="132">
        <f>IFERROR(K37/Financials!G61,0)</f>
        <v>2.1847612121820029E-2</v>
      </c>
      <c r="L38" s="132"/>
      <c r="M38" s="132"/>
      <c r="N38" s="132"/>
      <c r="O38" s="132"/>
      <c r="P38" s="132"/>
      <c r="Q38" s="307"/>
      <c r="R38" s="307"/>
      <c r="S38" s="307"/>
      <c r="T38" s="307"/>
      <c r="U38" s="307"/>
      <c r="V38" s="307"/>
      <c r="W38" s="307"/>
      <c r="X38" s="141"/>
      <c r="Y38" s="307"/>
      <c r="Z38" s="307"/>
      <c r="AA38" s="307"/>
      <c r="AB38" s="307"/>
    </row>
    <row r="39" spans="1:28" ht="17.399999999999999">
      <c r="A39" s="307"/>
      <c r="B39" s="307"/>
      <c r="C39" s="307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307"/>
      <c r="R39" s="307"/>
      <c r="S39" s="307"/>
      <c r="T39" s="307"/>
      <c r="U39" s="307"/>
      <c r="V39" s="307"/>
      <c r="W39" s="307"/>
      <c r="X39" s="141"/>
      <c r="Y39" s="307"/>
      <c r="Z39" s="307"/>
      <c r="AA39" s="307"/>
      <c r="AB39" s="307"/>
    </row>
    <row r="40" spans="1:28" ht="3.75" customHeight="1">
      <c r="B40" s="162"/>
      <c r="C40" s="163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X40" s="21"/>
    </row>
    <row r="41" spans="1:28" ht="7.5" customHeight="1">
      <c r="B41" s="172"/>
      <c r="C41" s="17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307"/>
      <c r="R41" s="307"/>
      <c r="S41" s="307"/>
      <c r="T41" s="307"/>
      <c r="U41" s="307"/>
      <c r="V41" s="307"/>
      <c r="W41" s="307"/>
      <c r="X41" s="141"/>
      <c r="Y41" s="307"/>
      <c r="Z41" s="307"/>
      <c r="AA41" s="307"/>
      <c r="AB41" s="307"/>
    </row>
    <row r="42" spans="1:28" ht="21">
      <c r="A42" s="307"/>
      <c r="B42" s="140" t="s">
        <v>48</v>
      </c>
      <c r="C42" s="101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307"/>
      <c r="R42" s="307"/>
      <c r="S42" s="307"/>
      <c r="T42" s="307"/>
      <c r="U42" s="307"/>
      <c r="V42" s="307"/>
      <c r="W42" s="307"/>
      <c r="X42" s="141"/>
      <c r="Y42" s="307"/>
      <c r="Z42" s="307"/>
      <c r="AA42" s="307"/>
      <c r="AB42" s="307"/>
    </row>
    <row r="43" spans="1:28" ht="17.399999999999999">
      <c r="B43" s="19"/>
      <c r="C43" s="19"/>
      <c r="D43" s="146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307"/>
      <c r="R43" s="307"/>
      <c r="S43" s="307"/>
      <c r="T43" s="307"/>
      <c r="U43" s="307"/>
      <c r="V43" s="307"/>
      <c r="W43" s="307"/>
      <c r="X43" s="141"/>
      <c r="Y43" s="307"/>
      <c r="Z43" s="307"/>
      <c r="AA43" s="307"/>
      <c r="AB43" s="307"/>
    </row>
    <row r="44" spans="1:28" ht="18">
      <c r="A44" s="307"/>
      <c r="B44" s="19"/>
      <c r="C44" s="19" t="s">
        <v>49</v>
      </c>
      <c r="E44" s="613">
        <v>5</v>
      </c>
      <c r="F44" s="122"/>
      <c r="G44" s="173"/>
      <c r="H44" s="122"/>
      <c r="I44" s="122"/>
      <c r="J44" s="122"/>
      <c r="K44" s="122"/>
      <c r="L44" s="122"/>
      <c r="M44" s="122"/>
      <c r="N44" s="122"/>
      <c r="O44" s="122"/>
      <c r="P44" s="122"/>
      <c r="Q44" s="307"/>
      <c r="R44" s="307"/>
      <c r="S44" s="307"/>
      <c r="T44" s="307"/>
      <c r="U44" s="307"/>
      <c r="V44" s="307"/>
      <c r="W44" s="307"/>
      <c r="X44" s="141"/>
      <c r="Y44" s="307"/>
      <c r="Z44" s="307"/>
      <c r="AA44" s="307"/>
      <c r="AB44" s="307"/>
    </row>
    <row r="45" spans="1:28" ht="17.399999999999999">
      <c r="B45" s="307"/>
      <c r="C45" s="307"/>
      <c r="D45" s="307"/>
      <c r="E45" s="307"/>
      <c r="F45" s="307"/>
      <c r="G45" s="307"/>
      <c r="H45" s="307"/>
      <c r="I45" s="122"/>
      <c r="J45" s="122"/>
      <c r="K45" s="122"/>
      <c r="L45" s="122"/>
      <c r="M45" s="122"/>
      <c r="N45" s="122"/>
      <c r="O45" s="122"/>
      <c r="P45" s="122"/>
      <c r="Q45" s="307"/>
      <c r="R45" s="307"/>
      <c r="S45" s="307"/>
      <c r="T45" s="307"/>
      <c r="U45" s="307"/>
      <c r="V45" s="307"/>
      <c r="W45" s="307"/>
      <c r="X45" s="141"/>
      <c r="Y45" s="307"/>
      <c r="Z45" s="307"/>
      <c r="AA45" s="307"/>
      <c r="AB45" s="307"/>
    </row>
    <row r="46" spans="1:28" ht="17.399999999999999">
      <c r="B46" s="307"/>
      <c r="C46" s="307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307"/>
      <c r="R46" s="307"/>
      <c r="S46" s="307"/>
      <c r="T46" s="307"/>
      <c r="U46" s="307"/>
      <c r="V46" s="307"/>
      <c r="W46" s="307"/>
      <c r="X46" s="141"/>
      <c r="Y46" s="307"/>
      <c r="Z46" s="307"/>
      <c r="AA46" s="307"/>
      <c r="AB46" s="307"/>
    </row>
    <row r="47" spans="1:28" ht="24" customHeight="1">
      <c r="A47" s="307"/>
      <c r="B47" s="14"/>
      <c r="C47" s="397" t="str">
        <f>C26</f>
        <v>(USD in millions)</v>
      </c>
      <c r="G47" s="422" t="s">
        <v>32</v>
      </c>
      <c r="H47" s="421"/>
      <c r="I47" s="421"/>
      <c r="J47" s="421"/>
      <c r="K47" s="421"/>
      <c r="L47" s="421"/>
      <c r="M47" s="421"/>
      <c r="N47" s="421"/>
      <c r="O47" s="421"/>
      <c r="P47" s="421"/>
      <c r="Q47" s="307"/>
      <c r="R47" s="307"/>
      <c r="S47" s="307"/>
      <c r="T47" s="307"/>
      <c r="U47" s="307"/>
      <c r="V47" s="307"/>
      <c r="W47" s="307"/>
      <c r="X47" s="141"/>
      <c r="Y47" s="307"/>
      <c r="Z47" s="307"/>
      <c r="AA47" s="307"/>
      <c r="AB47" s="307"/>
    </row>
    <row r="48" spans="1:28" ht="19.95" customHeight="1">
      <c r="A48" s="307"/>
      <c r="B48" s="19"/>
      <c r="C48" s="61"/>
      <c r="D48" s="61"/>
      <c r="E48" s="61"/>
      <c r="F48" s="61"/>
      <c r="G48" s="61">
        <f t="shared" ref="G48:P48" si="6">VALUE(RIGHT(G28,4))</f>
        <v>2026</v>
      </c>
      <c r="H48" s="61">
        <f t="shared" si="6"/>
        <v>2027</v>
      </c>
      <c r="I48" s="61">
        <f t="shared" si="6"/>
        <v>2028</v>
      </c>
      <c r="J48" s="61">
        <f t="shared" si="6"/>
        <v>2029</v>
      </c>
      <c r="K48" s="61">
        <f t="shared" si="6"/>
        <v>2030</v>
      </c>
      <c r="L48" s="61">
        <f t="shared" si="6"/>
        <v>2031</v>
      </c>
      <c r="M48" s="61">
        <f t="shared" si="6"/>
        <v>2032</v>
      </c>
      <c r="N48" s="61">
        <f t="shared" si="6"/>
        <v>2033</v>
      </c>
      <c r="O48" s="61">
        <f t="shared" si="6"/>
        <v>2034</v>
      </c>
      <c r="P48" s="61">
        <f t="shared" si="6"/>
        <v>2035</v>
      </c>
      <c r="Q48" s="307"/>
      <c r="R48" s="307"/>
      <c r="S48" s="307"/>
      <c r="T48" s="307"/>
      <c r="U48" s="307"/>
      <c r="V48" s="307"/>
      <c r="W48" s="307"/>
      <c r="X48" s="141"/>
      <c r="Y48" s="307"/>
      <c r="Z48" s="307"/>
      <c r="AA48" s="307"/>
      <c r="AB48" s="307"/>
    </row>
    <row r="49" spans="1:28" ht="19.95" customHeight="1">
      <c r="A49" s="307"/>
      <c r="B49" s="14"/>
      <c r="C49" s="14" t="s">
        <v>50</v>
      </c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307"/>
      <c r="R49" s="307"/>
      <c r="S49" s="307"/>
      <c r="T49" s="307"/>
      <c r="U49" s="307"/>
      <c r="V49" s="307"/>
      <c r="W49" s="307"/>
      <c r="X49" s="141"/>
      <c r="Y49" s="307"/>
      <c r="Z49" s="307"/>
      <c r="AA49" s="307"/>
      <c r="AB49" s="307"/>
    </row>
    <row r="50" spans="1:28" ht="19.95" hidden="1" customHeight="1">
      <c r="B50" s="89"/>
      <c r="C50" s="174">
        <f>RIGHT(Financials!G5,4)-8</f>
        <v>2017</v>
      </c>
      <c r="D50" s="175"/>
      <c r="E50" s="175"/>
      <c r="F50" s="175"/>
      <c r="G50" s="176">
        <f>IFERROR(IF(AND(G$48-$C50&lt;$E$44,G$48&gt;=$C50),IF($C50&lt;$G$48,VLOOKUP($C50,Appendix!$B:$C,2),HLOOKUP(LEFT($G$28,LEN($G$28)-4)&amp;$C50,$28:$30,3))/$E$44,0),0)</f>
        <v>0</v>
      </c>
      <c r="H50" s="176">
        <f>IFERROR(IF(AND(H$48-$C50&lt;$E$44,H$48&gt;=$C50),IF($C50&lt;$G$48,VLOOKUP($C50,Appendix!$B:$C,2),HLOOKUP(LEFT($G$28,LEN($G$28)-4)&amp;$C50,$28:$30,3))/$E$44,0),0)</f>
        <v>0</v>
      </c>
      <c r="I50" s="176">
        <f>IFERROR(IF(AND(I$48-$C50&lt;$E$44,I$48&gt;=$C50),IF($C50&lt;$G$48,VLOOKUP($C50,Appendix!$B:$C,2),HLOOKUP(LEFT($G$28,LEN($G$28)-4)&amp;$C50,$28:$30,3))/$E$44,0),0)</f>
        <v>0</v>
      </c>
      <c r="J50" s="176">
        <f>IFERROR(IF(AND(J$48-$C50&lt;$E$44,J$48&gt;=$C50),IF($C50&lt;$G$48,VLOOKUP($C50,Appendix!$B:$C,2),HLOOKUP(LEFT($G$28,LEN($G$28)-4)&amp;$C50,$28:$30,3))/$E$44,0),0)</f>
        <v>0</v>
      </c>
      <c r="K50" s="176">
        <f>IFERROR(IF(AND(K$48-$C50&lt;$E$44,K$48&gt;=$C50),IF($C50&lt;$G$48,VLOOKUP($C50,Appendix!$B:$C,2),HLOOKUP(LEFT($G$28,LEN($G$28)-4)&amp;$C50,$28:$30,3))/$E$44,0),0)</f>
        <v>0</v>
      </c>
      <c r="L50" s="176">
        <f>IFERROR(IF(AND(L$48-$C50&lt;$E$44,L$48&gt;=$C50),IF($C50&lt;$G$48,VLOOKUP($C50,Appendix!$B:$C,2),HLOOKUP(LEFT($G$28,LEN($G$28)-4)&amp;$C50,$28:$30,3))/$E$44,0),0)</f>
        <v>0</v>
      </c>
      <c r="M50" s="176">
        <f>IFERROR(IF(AND(M$48-$C50&lt;$E$44,M$48&gt;=$C50),IF($C50&lt;$G$48,VLOOKUP($C50,Appendix!$B:$C,2),HLOOKUP(LEFT($G$28,LEN($G$28)-4)&amp;$C50,$28:$30,3))/$E$44,0),0)</f>
        <v>0</v>
      </c>
      <c r="N50" s="176">
        <f>IFERROR(IF(AND(N$48-$C50&lt;$E$44,N$48&gt;=$C50),IF($C50&lt;$G$48,VLOOKUP($C50,Appendix!$B:$C,2),HLOOKUP(LEFT($G$28,LEN($G$28)-4)&amp;$C50,$28:$30,3))/$E$44,0),0)</f>
        <v>0</v>
      </c>
      <c r="O50" s="176">
        <f>IFERROR(IF(AND(O$48-$C50&lt;$E$44,O$48&gt;=$C50),IF($C50&lt;$G$48,VLOOKUP($C50,Appendix!$B:$C,2),HLOOKUP(LEFT($G$28,LEN($G$28)-4)&amp;$C50,$28:$30,3))/$E$44,0),0)</f>
        <v>0</v>
      </c>
      <c r="P50" s="176">
        <f>IFERROR(IF(AND(P$48-$C50&lt;$E$44,P$48&gt;=$C50),IF($C50&lt;$G$48,VLOOKUP($C50,Appendix!$B:$C,2),HLOOKUP(LEFT($G$28,LEN($G$28)-4)&amp;$C50,$28:$30,3))/$E$44,0),0)</f>
        <v>0</v>
      </c>
      <c r="Q50" s="177"/>
      <c r="R50" s="177"/>
      <c r="S50" s="177"/>
      <c r="T50" s="177"/>
      <c r="U50" s="177"/>
      <c r="V50" s="177"/>
      <c r="W50" s="177"/>
      <c r="X50" s="178">
        <f t="shared" ref="X50:X54" si="7">SUM(G50:P50)</f>
        <v>0</v>
      </c>
      <c r="Y50" s="177"/>
      <c r="Z50" s="177"/>
      <c r="AA50" s="177"/>
      <c r="AB50" s="177"/>
    </row>
    <row r="51" spans="1:28" ht="19.95" hidden="1" customHeight="1">
      <c r="B51" s="89"/>
      <c r="C51" s="179">
        <f t="shared" ref="C51:C78" si="8">C50+1</f>
        <v>2018</v>
      </c>
      <c r="D51" s="180"/>
      <c r="E51" s="180"/>
      <c r="F51" s="180"/>
      <c r="G51" s="176">
        <f>IFERROR(IF(AND(G$48-$C51&lt;$E$44,G$48&gt;=$C51),IF($C51&lt;$G$48,VLOOKUP($C51,Appendix!$B:$C,2),HLOOKUP(LEFT($G$28,LEN($G$28)-4)&amp;$C51,$28:$30,3))/$E$44,0),0)</f>
        <v>0</v>
      </c>
      <c r="H51" s="176">
        <f>IFERROR(IF(AND(H$48-$C51&lt;$E$44,H$48&gt;=$C51),IF($C51&lt;$G$48,VLOOKUP($C51,Appendix!$B:$C,2),HLOOKUP(LEFT($G$28,LEN($G$28)-4)&amp;$C51,$28:$30,3))/$E$44,0),0)</f>
        <v>0</v>
      </c>
      <c r="I51" s="176">
        <f>IFERROR(IF(AND(I$48-$C51&lt;$E$44,I$48&gt;=$C51),IF($C51&lt;$G$48,VLOOKUP($C51,Appendix!$B:$C,2),HLOOKUP(LEFT($G$28,LEN($G$28)-4)&amp;$C51,$28:$30,3))/$E$44,0),0)</f>
        <v>0</v>
      </c>
      <c r="J51" s="176">
        <f>IFERROR(IF(AND(J$48-$C51&lt;$E$44,J$48&gt;=$C51),IF($C51&lt;$G$48,VLOOKUP($C51,Appendix!$B:$C,2),HLOOKUP(LEFT($G$28,LEN($G$28)-4)&amp;$C51,$28:$30,3))/$E$44,0),0)</f>
        <v>0</v>
      </c>
      <c r="K51" s="176">
        <f>IFERROR(IF(AND(K$48-$C51&lt;$E$44,K$48&gt;=$C51),IF($C51&lt;$G$48,VLOOKUP($C51,Appendix!$B:$C,2),HLOOKUP(LEFT($G$28,LEN($G$28)-4)&amp;$C51,$28:$30,3))/$E$44,0),0)</f>
        <v>0</v>
      </c>
      <c r="L51" s="176">
        <f>IFERROR(IF(AND(L$48-$C51&lt;$E$44,L$48&gt;=$C51),IF($C51&lt;$G$48,VLOOKUP($C51,Appendix!$B:$C,2),HLOOKUP(LEFT($G$28,LEN($G$28)-4)&amp;$C51,$28:$30,3))/$E$44,0),0)</f>
        <v>0</v>
      </c>
      <c r="M51" s="176">
        <f>IFERROR(IF(AND(M$48-$C51&lt;$E$44,M$48&gt;=$C51),IF($C51&lt;$G$48,VLOOKUP($C51,Appendix!$B:$C,2),HLOOKUP(LEFT($G$28,LEN($G$28)-4)&amp;$C51,$28:$30,3))/$E$44,0),0)</f>
        <v>0</v>
      </c>
      <c r="N51" s="176">
        <f>IFERROR(IF(AND(N$48-$C51&lt;$E$44,N$48&gt;=$C51),IF($C51&lt;$G$48,VLOOKUP($C51,Appendix!$B:$C,2),HLOOKUP(LEFT($G$28,LEN($G$28)-4)&amp;$C51,$28:$30,3))/$E$44,0),0)</f>
        <v>0</v>
      </c>
      <c r="O51" s="176">
        <f>IFERROR(IF(AND(O$48-$C51&lt;$E$44,O$48&gt;=$C51),IF($C51&lt;$G$48,VLOOKUP($C51,Appendix!$B:$C,2),HLOOKUP(LEFT($G$28,LEN($G$28)-4)&amp;$C51,$28:$30,3))/$E$44,0),0)</f>
        <v>0</v>
      </c>
      <c r="P51" s="176">
        <f>IFERROR(IF(AND(P$48-$C51&lt;$E$44,P$48&gt;=$C51),IF($C51&lt;$G$48,VLOOKUP($C51,Appendix!$B:$C,2),HLOOKUP(LEFT($G$28,LEN($G$28)-4)&amp;$C51,$28:$30,3))/$E$44,0),0)</f>
        <v>0</v>
      </c>
      <c r="Q51" s="177"/>
      <c r="R51" s="177"/>
      <c r="S51" s="177"/>
      <c r="T51" s="177"/>
      <c r="U51" s="177"/>
      <c r="V51" s="177"/>
      <c r="W51" s="177"/>
      <c r="X51" s="178">
        <f t="shared" si="7"/>
        <v>0</v>
      </c>
      <c r="Y51" s="177"/>
      <c r="Z51" s="177"/>
      <c r="AA51" s="177"/>
      <c r="AB51" s="177"/>
    </row>
    <row r="52" spans="1:28" ht="19.95" hidden="1" customHeight="1">
      <c r="B52" s="89"/>
      <c r="C52" s="179">
        <f t="shared" si="8"/>
        <v>2019</v>
      </c>
      <c r="D52" s="180"/>
      <c r="E52" s="180"/>
      <c r="F52" s="180"/>
      <c r="G52" s="176">
        <f>IFERROR(IF(AND(G$48-$C52&lt;$E$44,G$48&gt;=$C52),IF($C52&lt;$G$48,VLOOKUP($C52,Appendix!$B:$C,2),HLOOKUP(LEFT($G$28,LEN($G$28)-4)&amp;$C52,$28:$30,3))/$E$44,0),0)</f>
        <v>0</v>
      </c>
      <c r="H52" s="176">
        <f>IFERROR(IF(AND(H$48-$C52&lt;$E$44,H$48&gt;=$C52),IF($C52&lt;$G$48,VLOOKUP($C52,Appendix!$B:$C,2),HLOOKUP(LEFT($G$28,LEN($G$28)-4)&amp;$C52,$28:$30,3))/$E$44,0),0)</f>
        <v>0</v>
      </c>
      <c r="I52" s="176">
        <f>IFERROR(IF(AND(I$48-$C52&lt;$E$44,I$48&gt;=$C52),IF($C52&lt;$G$48,VLOOKUP($C52,Appendix!$B:$C,2),HLOOKUP(LEFT($G$28,LEN($G$28)-4)&amp;$C52,$28:$30,3))/$E$44,0),0)</f>
        <v>0</v>
      </c>
      <c r="J52" s="176">
        <f>IFERROR(IF(AND(J$48-$C52&lt;$E$44,J$48&gt;=$C52),IF($C52&lt;$G$48,VLOOKUP($C52,Appendix!$B:$C,2),HLOOKUP(LEFT($G$28,LEN($G$28)-4)&amp;$C52,$28:$30,3))/$E$44,0),0)</f>
        <v>0</v>
      </c>
      <c r="K52" s="176">
        <f>IFERROR(IF(AND(K$48-$C52&lt;$E$44,K$48&gt;=$C52),IF($C52&lt;$G$48,VLOOKUP($C52,Appendix!$B:$C,2),HLOOKUP(LEFT($G$28,LEN($G$28)-4)&amp;$C52,$28:$30,3))/$E$44,0),0)</f>
        <v>0</v>
      </c>
      <c r="L52" s="176">
        <f>IFERROR(IF(AND(L$48-$C52&lt;$E$44,L$48&gt;=$C52),IF($C52&lt;$G$48,VLOOKUP($C52,Appendix!$B:$C,2),HLOOKUP(LEFT($G$28,LEN($G$28)-4)&amp;$C52,$28:$30,3))/$E$44,0),0)</f>
        <v>0</v>
      </c>
      <c r="M52" s="176">
        <f>IFERROR(IF(AND(M$48-$C52&lt;$E$44,M$48&gt;=$C52),IF($C52&lt;$G$48,VLOOKUP($C52,Appendix!$B:$C,2),HLOOKUP(LEFT($G$28,LEN($G$28)-4)&amp;$C52,$28:$30,3))/$E$44,0),0)</f>
        <v>0</v>
      </c>
      <c r="N52" s="176">
        <f>IFERROR(IF(AND(N$48-$C52&lt;$E$44,N$48&gt;=$C52),IF($C52&lt;$G$48,VLOOKUP($C52,Appendix!$B:$C,2),HLOOKUP(LEFT($G$28,LEN($G$28)-4)&amp;$C52,$28:$30,3))/$E$44,0),0)</f>
        <v>0</v>
      </c>
      <c r="O52" s="176">
        <f>IFERROR(IF(AND(O$48-$C52&lt;$E$44,O$48&gt;=$C52),IF($C52&lt;$G$48,VLOOKUP($C52,Appendix!$B:$C,2),HLOOKUP(LEFT($G$28,LEN($G$28)-4)&amp;$C52,$28:$30,3))/$E$44,0),0)</f>
        <v>0</v>
      </c>
      <c r="P52" s="176">
        <f>IFERROR(IF(AND(P$48-$C52&lt;$E$44,P$48&gt;=$C52),IF($C52&lt;$G$48,VLOOKUP($C52,Appendix!$B:$C,2),HLOOKUP(LEFT($G$28,LEN($G$28)-4)&amp;$C52,$28:$30,3))/$E$44,0),0)</f>
        <v>0</v>
      </c>
      <c r="Q52" s="177"/>
      <c r="R52" s="177"/>
      <c r="S52" s="177"/>
      <c r="T52" s="177"/>
      <c r="U52" s="177"/>
      <c r="V52" s="177"/>
      <c r="W52" s="177"/>
      <c r="X52" s="178">
        <f t="shared" si="7"/>
        <v>0</v>
      </c>
      <c r="Y52" s="177"/>
      <c r="Z52" s="177"/>
      <c r="AA52" s="177"/>
      <c r="AB52" s="177"/>
    </row>
    <row r="53" spans="1:28" ht="19.95" hidden="1" customHeight="1">
      <c r="B53" s="89"/>
      <c r="C53" s="179">
        <f t="shared" si="8"/>
        <v>2020</v>
      </c>
      <c r="D53" s="180"/>
      <c r="E53" s="180"/>
      <c r="F53" s="180"/>
      <c r="G53" s="176">
        <f>IFERROR(IF(AND(G$48-$C53&lt;$E$44,G$48&gt;=$C53),IF($C53&lt;$G$48,VLOOKUP($C53,Appendix!$B:$C,2),HLOOKUP(LEFT($G$28,LEN($G$28)-4)&amp;$C53,$28:$30,3))/$E$44,0),0)</f>
        <v>0</v>
      </c>
      <c r="H53" s="176">
        <f>IFERROR(IF(AND(H$48-$C53&lt;$E$44,H$48&gt;=$C53),IF($C53&lt;$G$48,VLOOKUP($C53,Appendix!$B:$C,2),HLOOKUP(LEFT($G$28,LEN($G$28)-4)&amp;$C53,$28:$30,3))/$E$44,0),0)</f>
        <v>0</v>
      </c>
      <c r="I53" s="176">
        <f>IFERROR(IF(AND(I$48-$C53&lt;$E$44,I$48&gt;=$C53),IF($C53&lt;$G$48,VLOOKUP($C53,Appendix!$B:$C,2),HLOOKUP(LEFT($G$28,LEN($G$28)-4)&amp;$C53,$28:$30,3))/$E$44,0),0)</f>
        <v>0</v>
      </c>
      <c r="J53" s="176">
        <f>IFERROR(IF(AND(J$48-$C53&lt;$E$44,J$48&gt;=$C53),IF($C53&lt;$G$48,VLOOKUP($C53,Appendix!$B:$C,2),HLOOKUP(LEFT($G$28,LEN($G$28)-4)&amp;$C53,$28:$30,3))/$E$44,0),0)</f>
        <v>0</v>
      </c>
      <c r="K53" s="176">
        <f>IFERROR(IF(AND(K$48-$C53&lt;$E$44,K$48&gt;=$C53),IF($C53&lt;$G$48,VLOOKUP($C53,Appendix!$B:$C,2),HLOOKUP(LEFT($G$28,LEN($G$28)-4)&amp;$C53,$28:$30,3))/$E$44,0),0)</f>
        <v>0</v>
      </c>
      <c r="L53" s="176">
        <f>IFERROR(IF(AND(L$48-$C53&lt;$E$44,L$48&gt;=$C53),IF($C53&lt;$G$48,VLOOKUP($C53,Appendix!$B:$C,2),HLOOKUP(LEFT($G$28,LEN($G$28)-4)&amp;$C53,$28:$30,3))/$E$44,0),0)</f>
        <v>0</v>
      </c>
      <c r="M53" s="176">
        <f>IFERROR(IF(AND(M$48-$C53&lt;$E$44,M$48&gt;=$C53),IF($C53&lt;$G$48,VLOOKUP($C53,Appendix!$B:$C,2),HLOOKUP(LEFT($G$28,LEN($G$28)-4)&amp;$C53,$28:$30,3))/$E$44,0),0)</f>
        <v>0</v>
      </c>
      <c r="N53" s="176">
        <f>IFERROR(IF(AND(N$48-$C53&lt;$E$44,N$48&gt;=$C53),IF($C53&lt;$G$48,VLOOKUP($C53,Appendix!$B:$C,2),HLOOKUP(LEFT($G$28,LEN($G$28)-4)&amp;$C53,$28:$30,3))/$E$44,0),0)</f>
        <v>0</v>
      </c>
      <c r="O53" s="176">
        <f>IFERROR(IF(AND(O$48-$C53&lt;$E$44,O$48&gt;=$C53),IF($C53&lt;$G$48,VLOOKUP($C53,Appendix!$B:$C,2),HLOOKUP(LEFT($G$28,LEN($G$28)-4)&amp;$C53,$28:$30,3))/$E$44,0),0)</f>
        <v>0</v>
      </c>
      <c r="P53" s="176">
        <f>IFERROR(IF(AND(P$48-$C53&lt;$E$44,P$48&gt;=$C53),IF($C53&lt;$G$48,VLOOKUP($C53,Appendix!$B:$C,2),HLOOKUP(LEFT($G$28,LEN($G$28)-4)&amp;$C53,$28:$30,3))/$E$44,0),0)</f>
        <v>0</v>
      </c>
      <c r="Q53" s="177"/>
      <c r="R53" s="177"/>
      <c r="S53" s="177"/>
      <c r="T53" s="177"/>
      <c r="U53" s="177"/>
      <c r="V53" s="177"/>
      <c r="W53" s="177"/>
      <c r="X53" s="178">
        <f t="shared" si="7"/>
        <v>0</v>
      </c>
      <c r="Y53" s="177"/>
      <c r="Z53" s="177"/>
      <c r="AA53" s="177"/>
      <c r="AB53" s="177"/>
    </row>
    <row r="54" spans="1:28" ht="19.95" hidden="1" customHeight="1">
      <c r="B54" s="89"/>
      <c r="C54" s="179">
        <f t="shared" si="8"/>
        <v>2021</v>
      </c>
      <c r="D54" s="180"/>
      <c r="E54" s="180"/>
      <c r="F54" s="180"/>
      <c r="G54" s="176">
        <f>IFERROR(IF(AND(G$48-$C54&lt;$E$44,G$48&gt;=$C54),IF($C54&lt;$G$48,VLOOKUP($C54,Appendix!$B:$C,2),HLOOKUP(LEFT($G$28,LEN($G$28)-4)&amp;$C54,$28:$30,3))/$E$44,0),0)</f>
        <v>0</v>
      </c>
      <c r="H54" s="176">
        <f>IFERROR(IF(AND(H$48-$C54&lt;$E$44,H$48&gt;=$C54),IF($C54&lt;$G$48,VLOOKUP($C54,Appendix!$B:$C,2),HLOOKUP(LEFT($G$28,LEN($G$28)-4)&amp;$C54,$28:$30,3))/$E$44,0),0)</f>
        <v>0</v>
      </c>
      <c r="I54" s="176">
        <f>IFERROR(IF(AND(I$48-$C54&lt;$E$44,I$48&gt;=$C54),IF($C54&lt;$G$48,VLOOKUP($C54,Appendix!$B:$C,2),HLOOKUP(LEFT($G$28,LEN($G$28)-4)&amp;$C54,$28:$30,3))/$E$44,0),0)</f>
        <v>0</v>
      </c>
      <c r="J54" s="176">
        <f>IFERROR(IF(AND(J$48-$C54&lt;$E$44,J$48&gt;=$C54),IF($C54&lt;$G$48,VLOOKUP($C54,Appendix!$B:$C,2),HLOOKUP(LEFT($G$28,LEN($G$28)-4)&amp;$C54,$28:$30,3))/$E$44,0),0)</f>
        <v>0</v>
      </c>
      <c r="K54" s="176">
        <f>IFERROR(IF(AND(K$48-$C54&lt;$E$44,K$48&gt;=$C54),IF($C54&lt;$G$48,VLOOKUP($C54,Appendix!$B:$C,2),HLOOKUP(LEFT($G$28,LEN($G$28)-4)&amp;$C54,$28:$30,3))/$E$44,0),0)</f>
        <v>0</v>
      </c>
      <c r="L54" s="176">
        <f>IFERROR(IF(AND(L$48-$C54&lt;$E$44,L$48&gt;=$C54),IF($C54&lt;$G$48,VLOOKUP($C54,Appendix!$B:$C,2),HLOOKUP(LEFT($G$28,LEN($G$28)-4)&amp;$C54,$28:$30,3))/$E$44,0),0)</f>
        <v>0</v>
      </c>
      <c r="M54" s="176">
        <f>IFERROR(IF(AND(M$48-$C54&lt;$E$44,M$48&gt;=$C54),IF($C54&lt;$G$48,VLOOKUP($C54,Appendix!$B:$C,2),HLOOKUP(LEFT($G$28,LEN($G$28)-4)&amp;$C54,$28:$30,3))/$E$44,0),0)</f>
        <v>0</v>
      </c>
      <c r="N54" s="176">
        <f>IFERROR(IF(AND(N$48-$C54&lt;$E$44,N$48&gt;=$C54),IF($C54&lt;$G$48,VLOOKUP($C54,Appendix!$B:$C,2),HLOOKUP(LEFT($G$28,LEN($G$28)-4)&amp;$C54,$28:$30,3))/$E$44,0),0)</f>
        <v>0</v>
      </c>
      <c r="O54" s="176">
        <f>IFERROR(IF(AND(O$48-$C54&lt;$E$44,O$48&gt;=$C54),IF($C54&lt;$G$48,VLOOKUP($C54,Appendix!$B:$C,2),HLOOKUP(LEFT($G$28,LEN($G$28)-4)&amp;$C54,$28:$30,3))/$E$44,0),0)</f>
        <v>0</v>
      </c>
      <c r="P54" s="176">
        <f>IFERROR(IF(AND(P$48-$C54&lt;$E$44,P$48&gt;=$C54),IF($C54&lt;$G$48,VLOOKUP($C54,Appendix!$B:$C,2),HLOOKUP(LEFT($G$28,LEN($G$28)-4)&amp;$C54,$28:$30,3))/$E$44,0),0)</f>
        <v>0</v>
      </c>
      <c r="Q54" s="177"/>
      <c r="R54" s="177"/>
      <c r="S54" s="177"/>
      <c r="T54" s="177"/>
      <c r="U54" s="177"/>
      <c r="V54" s="177"/>
      <c r="W54" s="177"/>
      <c r="X54" s="178">
        <f t="shared" si="7"/>
        <v>0</v>
      </c>
      <c r="Y54" s="177"/>
      <c r="Z54" s="177"/>
      <c r="AA54" s="177"/>
      <c r="AB54" s="177"/>
    </row>
    <row r="55" spans="1:28" ht="19.95" customHeight="1">
      <c r="B55" s="89"/>
      <c r="C55" s="179">
        <f t="shared" si="8"/>
        <v>2022</v>
      </c>
      <c r="D55" s="180"/>
      <c r="E55" s="180"/>
      <c r="F55" s="180"/>
      <c r="G55" s="176">
        <f>IFERROR(IF(AND(G$48-$C55&lt;$E$44,G$48&gt;=$C55),IF($C55&lt;$G$48,VLOOKUP($C55,Appendix!$B:$C,2),HLOOKUP(LEFT($G$28,LEN($G$28)-4)&amp;$C55,$28:$30,3))/$E$44,0),0)</f>
        <v>513.20000000000005</v>
      </c>
      <c r="H55" s="176">
        <f>IFERROR(IF(AND(H$48-$C55&lt;$E$44,H$48&gt;=$C55),IF($C55&lt;$G$48,VLOOKUP($C55,Appendix!$B:$C,2),HLOOKUP(LEFT($G$28,LEN($G$28)-4)&amp;$C55,$28:$30,3))/$E$44,0),0)</f>
        <v>0</v>
      </c>
      <c r="I55" s="176">
        <f>IFERROR(IF(AND(I$48-$C55&lt;$E$44,I$48&gt;=$C55),IF($C55&lt;$G$48,VLOOKUP($C55,Appendix!$B:$C,2),HLOOKUP(LEFT($G$28,LEN($G$28)-4)&amp;$C55,$28:$30,3))/$E$44,0),0)</f>
        <v>0</v>
      </c>
      <c r="J55" s="176">
        <f>IFERROR(IF(AND(J$48-$C55&lt;$E$44,J$48&gt;=$C55),IF($C55&lt;$G$48,VLOOKUP($C55,Appendix!$B:$C,2),HLOOKUP(LEFT($G$28,LEN($G$28)-4)&amp;$C55,$28:$30,3))/$E$44,0),0)</f>
        <v>0</v>
      </c>
      <c r="K55" s="176">
        <f>IFERROR(IF(AND(K$48-$C55&lt;$E$44,K$48&gt;=$C55),IF($C55&lt;$G$48,VLOOKUP($C55,Appendix!$B:$C,2),HLOOKUP(LEFT($G$28,LEN($G$28)-4)&amp;$C55,$28:$30,3))/$E$44,0),0)</f>
        <v>0</v>
      </c>
      <c r="L55" s="176">
        <f>IFERROR(IF(AND(L$48-$C55&lt;$E$44,L$48&gt;=$C55),IF($C55&lt;$G$48,VLOOKUP($C55,Appendix!$B:$C,2),HLOOKUP(LEFT($G$28,LEN($G$28)-4)&amp;$C55,$28:$30,3))/$E$44,0),0)</f>
        <v>0</v>
      </c>
      <c r="M55" s="176">
        <f>IFERROR(IF(AND(M$48-$C55&lt;$E$44,M$48&gt;=$C55),IF($C55&lt;$G$48,VLOOKUP($C55,Appendix!$B:$C,2),HLOOKUP(LEFT($G$28,LEN($G$28)-4)&amp;$C55,$28:$30,3))/$E$44,0),0)</f>
        <v>0</v>
      </c>
      <c r="N55" s="176">
        <f>IFERROR(IF(AND(N$48-$C55&lt;$E$44,N$48&gt;=$C55),IF($C55&lt;$G$48,VLOOKUP($C55,Appendix!$B:$C,2),HLOOKUP(LEFT($G$28,LEN($G$28)-4)&amp;$C55,$28:$30,3))/$E$44,0),0)</f>
        <v>0</v>
      </c>
      <c r="O55" s="176">
        <f>IFERROR(IF(AND(O$48-$C55&lt;$E$44,O$48&gt;=$C55),IF($C55&lt;$G$48,VLOOKUP($C55,Appendix!$B:$C,2),HLOOKUP(LEFT($G$28,LEN($G$28)-4)&amp;$C55,$28:$30,3))/$E$44,0),0)</f>
        <v>0</v>
      </c>
      <c r="P55" s="176">
        <f>IFERROR(IF(AND(P$48-$C55&lt;$E$44,P$48&gt;=$C55),IF($C55&lt;$G$48,VLOOKUP($C55,Appendix!$B:$C,2),HLOOKUP(LEFT($G$28,LEN($G$28)-4)&amp;$C55,$28:$30,3))/$E$44,0),0)</f>
        <v>0</v>
      </c>
      <c r="Q55" s="177"/>
      <c r="R55" s="177"/>
      <c r="S55" s="177"/>
      <c r="T55" s="177"/>
      <c r="U55" s="177"/>
      <c r="V55" s="177"/>
      <c r="W55" s="177"/>
      <c r="X55" s="178">
        <f>IF(C55&gt;=$G$48+LEFT(DCF!$D$2,LEN(DCF!$D$2)-1),0,SUM(G55:P55))</f>
        <v>513.20000000000005</v>
      </c>
      <c r="Y55" s="177"/>
      <c r="Z55" s="177"/>
      <c r="AA55" s="177"/>
      <c r="AB55" s="177"/>
    </row>
    <row r="56" spans="1:28" ht="19.95" customHeight="1">
      <c r="B56" s="89"/>
      <c r="C56" s="179">
        <f t="shared" si="8"/>
        <v>2023</v>
      </c>
      <c r="D56" s="180"/>
      <c r="E56" s="180"/>
      <c r="F56" s="180"/>
      <c r="G56" s="176">
        <f>IFERROR(IF(AND(G$48-$C56&lt;$E$44,G$48&gt;=$C56),IF($C56&lt;$G$48,VLOOKUP($C56,Appendix!$B:$C,2),HLOOKUP(LEFT($G$28,LEN($G$28)-4)&amp;$C56,$28:$30,3))/$E$44,0),0)</f>
        <v>623.79999999999995</v>
      </c>
      <c r="H56" s="176">
        <f>IFERROR(IF(AND(H$48-$C56&lt;$E$44,H$48&gt;=$C56),IF($C56&lt;$G$48,VLOOKUP($C56,Appendix!$B:$C,2),HLOOKUP(LEFT($G$28,LEN($G$28)-4)&amp;$C56,$28:$30,3))/$E$44,0),0)</f>
        <v>623.79999999999995</v>
      </c>
      <c r="I56" s="176">
        <f>IFERROR(IF(AND(I$48-$C56&lt;$E$44,I$48&gt;=$C56),IF($C56&lt;$G$48,VLOOKUP($C56,Appendix!$B:$C,2),HLOOKUP(LEFT($G$28,LEN($G$28)-4)&amp;$C56,$28:$30,3))/$E$44,0),0)</f>
        <v>0</v>
      </c>
      <c r="J56" s="176">
        <f>IFERROR(IF(AND(J$48-$C56&lt;$E$44,J$48&gt;=$C56),IF($C56&lt;$G$48,VLOOKUP($C56,Appendix!$B:$C,2),HLOOKUP(LEFT($G$28,LEN($G$28)-4)&amp;$C56,$28:$30,3))/$E$44,0),0)</f>
        <v>0</v>
      </c>
      <c r="K56" s="176">
        <f>IFERROR(IF(AND(K$48-$C56&lt;$E$44,K$48&gt;=$C56),IF($C56&lt;$G$48,VLOOKUP($C56,Appendix!$B:$C,2),HLOOKUP(LEFT($G$28,LEN($G$28)-4)&amp;$C56,$28:$30,3))/$E$44,0),0)</f>
        <v>0</v>
      </c>
      <c r="L56" s="176">
        <f>IFERROR(IF(AND(L$48-$C56&lt;$E$44,L$48&gt;=$C56),IF($C56&lt;$G$48,VLOOKUP($C56,Appendix!$B:$C,2),HLOOKUP(LEFT($G$28,LEN($G$28)-4)&amp;$C56,$28:$30,3))/$E$44,0),0)</f>
        <v>0</v>
      </c>
      <c r="M56" s="176">
        <f>IFERROR(IF(AND(M$48-$C56&lt;$E$44,M$48&gt;=$C56),IF($C56&lt;$G$48,VLOOKUP($C56,Appendix!$B:$C,2),HLOOKUP(LEFT($G$28,LEN($G$28)-4)&amp;$C56,$28:$30,3))/$E$44,0),0)</f>
        <v>0</v>
      </c>
      <c r="N56" s="176">
        <f>IFERROR(IF(AND(N$48-$C56&lt;$E$44,N$48&gt;=$C56),IF($C56&lt;$G$48,VLOOKUP($C56,Appendix!$B:$C,2),HLOOKUP(LEFT($G$28,LEN($G$28)-4)&amp;$C56,$28:$30,3))/$E$44,0),0)</f>
        <v>0</v>
      </c>
      <c r="O56" s="176">
        <f>IFERROR(IF(AND(O$48-$C56&lt;$E$44,O$48&gt;=$C56),IF($C56&lt;$G$48,VLOOKUP($C56,Appendix!$B:$C,2),HLOOKUP(LEFT($G$28,LEN($G$28)-4)&amp;$C56,$28:$30,3))/$E$44,0),0)</f>
        <v>0</v>
      </c>
      <c r="P56" s="176">
        <f>IFERROR(IF(AND(P$48-$C56&lt;$E$44,P$48&gt;=$C56),IF($C56&lt;$G$48,VLOOKUP($C56,Appendix!$B:$C,2),HLOOKUP(LEFT($G$28,LEN($G$28)-4)&amp;$C56,$28:$30,3))/$E$44,0),0)</f>
        <v>0</v>
      </c>
      <c r="Q56" s="177"/>
      <c r="R56" s="177"/>
      <c r="S56" s="177"/>
      <c r="T56" s="177"/>
      <c r="U56" s="177"/>
      <c r="V56" s="177"/>
      <c r="W56" s="177"/>
      <c r="X56" s="178">
        <f>IF(C56&gt;=$G$48+LEFT(DCF!$D$2,LEN(DCF!$D$2)-1),0,SUM(G56:P56))</f>
        <v>1247.5999999999999</v>
      </c>
      <c r="Y56" s="177"/>
      <c r="Z56" s="177"/>
      <c r="AA56" s="177"/>
      <c r="AB56" s="177"/>
    </row>
    <row r="57" spans="1:28" ht="19.95" customHeight="1">
      <c r="B57" s="89"/>
      <c r="C57" s="179">
        <f t="shared" si="8"/>
        <v>2024</v>
      </c>
      <c r="D57" s="180"/>
      <c r="E57" s="180"/>
      <c r="F57" s="180"/>
      <c r="G57" s="176">
        <f>IFERROR(IF(AND(G$48-$C57&lt;$E$44,G$48&gt;=$C57),IF($C57&lt;$G$48,VLOOKUP($C57,Appendix!$B:$C,2),HLOOKUP(LEFT($G$28,LEN($G$28)-4)&amp;$C57,$28:$30,3))/$E$44,0),0)</f>
        <v>645.20000000000005</v>
      </c>
      <c r="H57" s="176">
        <f>IFERROR(IF(AND(H$48-$C57&lt;$E$44,H$48&gt;=$C57),IF($C57&lt;$G$48,VLOOKUP($C57,Appendix!$B:$C,2),HLOOKUP(LEFT($G$28,LEN($G$28)-4)&amp;$C57,$28:$30,3))/$E$44,0),0)</f>
        <v>645.20000000000005</v>
      </c>
      <c r="I57" s="176">
        <f>IFERROR(IF(AND(I$48-$C57&lt;$E$44,I$48&gt;=$C57),IF($C57&lt;$G$48,VLOOKUP($C57,Appendix!$B:$C,2),HLOOKUP(LEFT($G$28,LEN($G$28)-4)&amp;$C57,$28:$30,3))/$E$44,0),0)</f>
        <v>645.20000000000005</v>
      </c>
      <c r="J57" s="176">
        <f>IFERROR(IF(AND(J$48-$C57&lt;$E$44,J$48&gt;=$C57),IF($C57&lt;$G$48,VLOOKUP($C57,Appendix!$B:$C,2),HLOOKUP(LEFT($G$28,LEN($G$28)-4)&amp;$C57,$28:$30,3))/$E$44,0),0)</f>
        <v>0</v>
      </c>
      <c r="K57" s="176">
        <f>IFERROR(IF(AND(K$48-$C57&lt;$E$44,K$48&gt;=$C57),IF($C57&lt;$G$48,VLOOKUP($C57,Appendix!$B:$C,2),HLOOKUP(LEFT($G$28,LEN($G$28)-4)&amp;$C57,$28:$30,3))/$E$44,0),0)</f>
        <v>0</v>
      </c>
      <c r="L57" s="176">
        <f>IFERROR(IF(AND(L$48-$C57&lt;$E$44,L$48&gt;=$C57),IF($C57&lt;$G$48,VLOOKUP($C57,Appendix!$B:$C,2),HLOOKUP(LEFT($G$28,LEN($G$28)-4)&amp;$C57,$28:$30,3))/$E$44,0),0)</f>
        <v>0</v>
      </c>
      <c r="M57" s="176">
        <f>IFERROR(IF(AND(M$48-$C57&lt;$E$44,M$48&gt;=$C57),IF($C57&lt;$G$48,VLOOKUP($C57,Appendix!$B:$C,2),HLOOKUP(LEFT($G$28,LEN($G$28)-4)&amp;$C57,$28:$30,3))/$E$44,0),0)</f>
        <v>0</v>
      </c>
      <c r="N57" s="176">
        <f>IFERROR(IF(AND(N$48-$C57&lt;$E$44,N$48&gt;=$C57),IF($C57&lt;$G$48,VLOOKUP($C57,Appendix!$B:$C,2),HLOOKUP(LEFT($G$28,LEN($G$28)-4)&amp;$C57,$28:$30,3))/$E$44,0),0)</f>
        <v>0</v>
      </c>
      <c r="O57" s="176">
        <f>IFERROR(IF(AND(O$48-$C57&lt;$E$44,O$48&gt;=$C57),IF($C57&lt;$G$48,VLOOKUP($C57,Appendix!$B:$C,2),HLOOKUP(LEFT($G$28,LEN($G$28)-4)&amp;$C57,$28:$30,3))/$E$44,0),0)</f>
        <v>0</v>
      </c>
      <c r="P57" s="176">
        <f>IFERROR(IF(AND(P$48-$C57&lt;$E$44,P$48&gt;=$C57),IF($C57&lt;$G$48,VLOOKUP($C57,Appendix!$B:$C,2),HLOOKUP(LEFT($G$28,LEN($G$28)-4)&amp;$C57,$28:$30,3))/$E$44,0),0)</f>
        <v>0</v>
      </c>
      <c r="Q57" s="177"/>
      <c r="R57" s="177"/>
      <c r="S57" s="177"/>
      <c r="T57" s="177"/>
      <c r="U57" s="177"/>
      <c r="V57" s="177"/>
      <c r="W57" s="177"/>
      <c r="X57" s="178">
        <f>IF(C57&gt;=$G$48+LEFT(DCF!$D$2,LEN(DCF!$D$2)-1),0,SUM(G57:P57))</f>
        <v>1935.6000000000001</v>
      </c>
      <c r="Y57" s="177"/>
      <c r="Z57" s="177"/>
      <c r="AA57" s="177"/>
      <c r="AB57" s="177"/>
    </row>
    <row r="58" spans="1:28" ht="19.95" customHeight="1">
      <c r="B58" s="89"/>
      <c r="C58" s="179">
        <f t="shared" si="8"/>
        <v>2025</v>
      </c>
      <c r="D58" s="180"/>
      <c r="E58" s="180"/>
      <c r="F58" s="180"/>
      <c r="G58" s="176">
        <f>IFERROR(IF(AND(G$48-$C58&lt;$E$44,G$48&gt;=$C58),IF($C58&lt;$G$48,VLOOKUP($C58,Appendix!$B:$C,2),HLOOKUP(LEFT($G$28,LEN($G$28)-4)&amp;$C58,$28:$30,3))/$E$44,0),0)</f>
        <v>697</v>
      </c>
      <c r="H58" s="176">
        <f>IFERROR(IF(AND(H$48-$C58&lt;$E$44,H$48&gt;=$C58),IF($C58&lt;$G$48,VLOOKUP($C58,Appendix!$B:$C,2),HLOOKUP(LEFT($G$28,LEN($G$28)-4)&amp;$C58,$28:$30,3))/$E$44,0),0)</f>
        <v>697</v>
      </c>
      <c r="I58" s="176">
        <f>IFERROR(IF(AND(I$48-$C58&lt;$E$44,I$48&gt;=$C58),IF($C58&lt;$G$48,VLOOKUP($C58,Appendix!$B:$C,2),HLOOKUP(LEFT($G$28,LEN($G$28)-4)&amp;$C58,$28:$30,3))/$E$44,0),0)</f>
        <v>697</v>
      </c>
      <c r="J58" s="176">
        <f>IFERROR(IF(AND(J$48-$C58&lt;$E$44,J$48&gt;=$C58),IF($C58&lt;$G$48,VLOOKUP($C58,Appendix!$B:$C,2),HLOOKUP(LEFT($G$28,LEN($G$28)-4)&amp;$C58,$28:$30,3))/$E$44,0),0)</f>
        <v>697</v>
      </c>
      <c r="K58" s="176">
        <f>IFERROR(IF(AND(K$48-$C58&lt;$E$44,K$48&gt;=$C58),IF($C58&lt;$G$48,VLOOKUP($C58,Appendix!$B:$C,2),HLOOKUP(LEFT($G$28,LEN($G$28)-4)&amp;$C58,$28:$30,3))/$E$44,0),0)</f>
        <v>0</v>
      </c>
      <c r="L58" s="176">
        <f>IFERROR(IF(AND(L$48-$C58&lt;$E$44,L$48&gt;=$C58),IF($C58&lt;$G$48,VLOOKUP($C58,Appendix!$B:$C,2),HLOOKUP(LEFT($G$28,LEN($G$28)-4)&amp;$C58,$28:$30,3))/$E$44,0),0)</f>
        <v>0</v>
      </c>
      <c r="M58" s="176">
        <f>IFERROR(IF(AND(M$48-$C58&lt;$E$44,M$48&gt;=$C58),IF($C58&lt;$G$48,VLOOKUP($C58,Appendix!$B:$C,2),HLOOKUP(LEFT($G$28,LEN($G$28)-4)&amp;$C58,$28:$30,3))/$E$44,0),0)</f>
        <v>0</v>
      </c>
      <c r="N58" s="176">
        <f>IFERROR(IF(AND(N$48-$C58&lt;$E$44,N$48&gt;=$C58),IF($C58&lt;$G$48,VLOOKUP($C58,Appendix!$B:$C,2),HLOOKUP(LEFT($G$28,LEN($G$28)-4)&amp;$C58,$28:$30,3))/$E$44,0),0)</f>
        <v>0</v>
      </c>
      <c r="O58" s="176">
        <f>IFERROR(IF(AND(O$48-$C58&lt;$E$44,O$48&gt;=$C58),IF($C58&lt;$G$48,VLOOKUP($C58,Appendix!$B:$C,2),HLOOKUP(LEFT($G$28,LEN($G$28)-4)&amp;$C58,$28:$30,3))/$E$44,0),0)</f>
        <v>0</v>
      </c>
      <c r="P58" s="176">
        <f>IFERROR(IF(AND(P$48-$C58&lt;$E$44,P$48&gt;=$C58),IF($C58&lt;$G$48,VLOOKUP($C58,Appendix!$B:$C,2),HLOOKUP(LEFT($G$28,LEN($G$28)-4)&amp;$C58,$28:$30,3))/$E$44,0),0)</f>
        <v>0</v>
      </c>
      <c r="Q58" s="177"/>
      <c r="R58" s="177"/>
      <c r="S58" s="177"/>
      <c r="T58" s="177"/>
      <c r="U58" s="177"/>
      <c r="V58" s="177"/>
      <c r="W58" s="177"/>
      <c r="X58" s="178">
        <f>IF(C58&gt;=$G$48+LEFT(DCF!$D$2,LEN(DCF!$D$2)-1),0,SUM(G58:P58))</f>
        <v>2788</v>
      </c>
      <c r="Y58" s="177"/>
      <c r="Z58" s="177"/>
      <c r="AA58" s="177"/>
      <c r="AB58" s="177"/>
    </row>
    <row r="59" spans="1:28" ht="19.95" customHeight="1">
      <c r="B59" s="181"/>
      <c r="C59" s="179">
        <f t="shared" si="8"/>
        <v>2026</v>
      </c>
      <c r="D59" s="180"/>
      <c r="E59" s="180"/>
      <c r="F59" s="180"/>
      <c r="G59" s="176">
        <f>IFERROR(IF(AND(G$48-$C59&lt;$E$44,G$48&gt;=$C59),IF($C59&lt;$G$48,VLOOKUP($C59,Appendix!$B:$C,2),HLOOKUP(LEFT($G$28,LEN($G$28)-4)&amp;$C59,$28:$30,3))/$E$44,0),0)</f>
        <v>660.91104352496848</v>
      </c>
      <c r="H59" s="176">
        <f>IFERROR(IF(AND(H$48-$C59&lt;$E$44,H$48&gt;=$C59),IF($C59&lt;$G$48,VLOOKUP($C59,Appendix!$B:$C,2),HLOOKUP(LEFT($G$28,LEN($G$28)-4)&amp;$C59,$28:$30,3))/$E$44,0),0)</f>
        <v>660.91104352496848</v>
      </c>
      <c r="I59" s="176">
        <f>IFERROR(IF(AND(I$48-$C59&lt;$E$44,I$48&gt;=$C59),IF($C59&lt;$G$48,VLOOKUP($C59,Appendix!$B:$C,2),HLOOKUP(LEFT($G$28,LEN($G$28)-4)&amp;$C59,$28:$30,3))/$E$44,0),0)</f>
        <v>660.91104352496848</v>
      </c>
      <c r="J59" s="176">
        <f>IFERROR(IF(AND(J$48-$C59&lt;$E$44,J$48&gt;=$C59),IF($C59&lt;$G$48,VLOOKUP($C59,Appendix!$B:$C,2),HLOOKUP(LEFT($G$28,LEN($G$28)-4)&amp;$C59,$28:$30,3))/$E$44,0),0)</f>
        <v>660.91104352496848</v>
      </c>
      <c r="K59" s="176">
        <f>IFERROR(IF(AND(K$48-$C59&lt;$E$44,K$48&gt;=$C59),IF($C59&lt;$G$48,VLOOKUP($C59,Appendix!$B:$C,2),HLOOKUP(LEFT($G$28,LEN($G$28)-4)&amp;$C59,$28:$30,3))/$E$44,0),0)</f>
        <v>660.91104352496848</v>
      </c>
      <c r="L59" s="176">
        <f>IFERROR(IF(AND(L$48-$C59&lt;$E$44,L$48&gt;=$C59),IF($C59&lt;$G$48,VLOOKUP($C59,Appendix!$B:$C,2),HLOOKUP(LEFT($G$28,LEN($G$28)-4)&amp;$C59,$28:$30,3))/$E$44,0),0)</f>
        <v>0</v>
      </c>
      <c r="M59" s="176">
        <f>IFERROR(IF(AND(M$48-$C59&lt;$E$44,M$48&gt;=$C59),IF($C59&lt;$G$48,VLOOKUP($C59,Appendix!$B:$C,2),HLOOKUP(LEFT($G$28,LEN($G$28)-4)&amp;$C59,$28:$30,3))/$E$44,0),0)</f>
        <v>0</v>
      </c>
      <c r="N59" s="176">
        <f>IFERROR(IF(AND(N$48-$C59&lt;$E$44,N$48&gt;=$C59),IF($C59&lt;$G$48,VLOOKUP($C59,Appendix!$B:$C,2),HLOOKUP(LEFT($G$28,LEN($G$28)-4)&amp;$C59,$28:$30,3))/$E$44,0),0)</f>
        <v>0</v>
      </c>
      <c r="O59" s="176">
        <f>IFERROR(IF(AND(O$48-$C59&lt;$E$44,O$48&gt;=$C59),IF($C59&lt;$G$48,VLOOKUP($C59,Appendix!$B:$C,2),HLOOKUP(LEFT($G$28,LEN($G$28)-4)&amp;$C59,$28:$30,3))/$E$44,0),0)</f>
        <v>0</v>
      </c>
      <c r="P59" s="176">
        <f>IFERROR(IF(AND(P$48-$C59&lt;$E$44,P$48&gt;=$C59),IF($C59&lt;$G$48,VLOOKUP($C59,Appendix!$B:$C,2),HLOOKUP(LEFT($G$28,LEN($G$28)-4)&amp;$C59,$28:$30,3))/$E$44,0),0)</f>
        <v>0</v>
      </c>
      <c r="Q59" s="177"/>
      <c r="R59" s="177"/>
      <c r="S59" s="177"/>
      <c r="T59" s="177"/>
      <c r="U59" s="177"/>
      <c r="V59" s="177"/>
      <c r="W59" s="177"/>
      <c r="X59" s="178">
        <f>IF(C59&gt;=$G$48+LEFT(DCF!$D$2,LEN(DCF!$D$2)-1),0,SUM(G59:P59))</f>
        <v>3304.5552176248425</v>
      </c>
      <c r="Y59" s="177"/>
      <c r="Z59" s="177"/>
      <c r="AA59" s="177"/>
      <c r="AB59" s="177"/>
    </row>
    <row r="60" spans="1:28" ht="19.95" customHeight="1">
      <c r="B60" s="181"/>
      <c r="C60" s="179">
        <f t="shared" si="8"/>
        <v>2027</v>
      </c>
      <c r="D60" s="180"/>
      <c r="E60" s="180"/>
      <c r="F60" s="180"/>
      <c r="G60" s="176">
        <f>IFERROR(IF(AND(G$48-$C60&lt;$E$44,G$48&gt;=$C60),IF($C60&lt;$G$48,VLOOKUP($C60,Appendix!$B:$C,2),HLOOKUP(LEFT($G$28,LEN($G$28)-4)&amp;$C60,$28:$30,3))/$E$44,0),0)</f>
        <v>0</v>
      </c>
      <c r="H60" s="176">
        <f>IFERROR(IF(AND(H$48-$C60&lt;$E$44,H$48&gt;=$C60),IF($C60&lt;$G$48,VLOOKUP($C60,Appendix!$B:$C,2),HLOOKUP(LEFT($G$28,LEN($G$28)-4)&amp;$C60,$28:$30,3))/$E$44,0),0)</f>
        <v>674.12926439546777</v>
      </c>
      <c r="I60" s="176">
        <f>IFERROR(IF(AND(I$48-$C60&lt;$E$44,I$48&gt;=$C60),IF($C60&lt;$G$48,VLOOKUP($C60,Appendix!$B:$C,2),HLOOKUP(LEFT($G$28,LEN($G$28)-4)&amp;$C60,$28:$30,3))/$E$44,0),0)</f>
        <v>674.12926439546777</v>
      </c>
      <c r="J60" s="176">
        <f>IFERROR(IF(AND(J$48-$C60&lt;$E$44,J$48&gt;=$C60),IF($C60&lt;$G$48,VLOOKUP($C60,Appendix!$B:$C,2),HLOOKUP(LEFT($G$28,LEN($G$28)-4)&amp;$C60,$28:$30,3))/$E$44,0),0)</f>
        <v>674.12926439546777</v>
      </c>
      <c r="K60" s="176">
        <f>IFERROR(IF(AND(K$48-$C60&lt;$E$44,K$48&gt;=$C60),IF($C60&lt;$G$48,VLOOKUP($C60,Appendix!$B:$C,2),HLOOKUP(LEFT($G$28,LEN($G$28)-4)&amp;$C60,$28:$30,3))/$E$44,0),0)</f>
        <v>674.12926439546777</v>
      </c>
      <c r="L60" s="176">
        <f>IFERROR(IF(AND(L$48-$C60&lt;$E$44,L$48&gt;=$C60),IF($C60&lt;$G$48,VLOOKUP($C60,Appendix!$B:$C,2),HLOOKUP(LEFT($G$28,LEN($G$28)-4)&amp;$C60,$28:$30,3))/$E$44,0),0)</f>
        <v>674.12926439546777</v>
      </c>
      <c r="M60" s="176">
        <f>IFERROR(IF(AND(M$48-$C60&lt;$E$44,M$48&gt;=$C60),IF($C60&lt;$G$48,VLOOKUP($C60,Appendix!$B:$C,2),HLOOKUP(LEFT($G$28,LEN($G$28)-4)&amp;$C60,$28:$30,3))/$E$44,0),0)</f>
        <v>0</v>
      </c>
      <c r="N60" s="176">
        <f>IFERROR(IF(AND(N$48-$C60&lt;$E$44,N$48&gt;=$C60),IF($C60&lt;$G$48,VLOOKUP($C60,Appendix!$B:$C,2),HLOOKUP(LEFT($G$28,LEN($G$28)-4)&amp;$C60,$28:$30,3))/$E$44,0),0)</f>
        <v>0</v>
      </c>
      <c r="O60" s="176">
        <f>IFERROR(IF(AND(O$48-$C60&lt;$E$44,O$48&gt;=$C60),IF($C60&lt;$G$48,VLOOKUP($C60,Appendix!$B:$C,2),HLOOKUP(LEFT($G$28,LEN($G$28)-4)&amp;$C60,$28:$30,3))/$E$44,0),0)</f>
        <v>0</v>
      </c>
      <c r="P60" s="176">
        <f>IFERROR(IF(AND(P$48-$C60&lt;$E$44,P$48&gt;=$C60),IF($C60&lt;$G$48,VLOOKUP($C60,Appendix!$B:$C,2),HLOOKUP(LEFT($G$28,LEN($G$28)-4)&amp;$C60,$28:$30,3))/$E$44,0),0)</f>
        <v>0</v>
      </c>
      <c r="Q60" s="177"/>
      <c r="R60" s="177"/>
      <c r="S60" s="177"/>
      <c r="T60" s="177"/>
      <c r="U60" s="177"/>
      <c r="V60" s="177"/>
      <c r="W60" s="177"/>
      <c r="X60" s="178">
        <f>IF(C60&gt;=$G$48+LEFT(DCF!$D$2,LEN(DCF!$D$2)-1),0,SUM(G60:P60))</f>
        <v>3370.6463219773386</v>
      </c>
      <c r="Y60" s="177"/>
      <c r="Z60" s="177"/>
      <c r="AA60" s="177"/>
      <c r="AB60" s="177"/>
    </row>
    <row r="61" spans="1:28" ht="19.95" customHeight="1">
      <c r="B61" s="181"/>
      <c r="C61" s="179">
        <f t="shared" si="8"/>
        <v>2028</v>
      </c>
      <c r="D61" s="180"/>
      <c r="E61" s="180"/>
      <c r="F61" s="180"/>
      <c r="G61" s="176">
        <f>IFERROR(IF(AND(G$48-$C61&lt;$E$44,G$48&gt;=$C61),IF($C61&lt;$G$48,VLOOKUP($C61,Appendix!$B:$C,2),HLOOKUP(LEFT($G$28,LEN($G$28)-4)&amp;$C61,$28:$30,3))/$E$44,0),0)</f>
        <v>0</v>
      </c>
      <c r="H61" s="176">
        <f>IFERROR(IF(AND(H$48-$C61&lt;$E$44,H$48&gt;=$C61),IF($C61&lt;$G$48,VLOOKUP($C61,Appendix!$B:$C,2),HLOOKUP(LEFT($G$28,LEN($G$28)-4)&amp;$C61,$28:$30,3))/$E$44,0),0)</f>
        <v>0</v>
      </c>
      <c r="I61" s="176">
        <f>IFERROR(IF(AND(I$48-$C61&lt;$E$44,I$48&gt;=$C61),IF($C61&lt;$G$48,VLOOKUP($C61,Appendix!$B:$C,2),HLOOKUP(LEFT($G$28,LEN($G$28)-4)&amp;$C61,$28:$30,3))/$E$44,0),0)</f>
        <v>691.44315097895799</v>
      </c>
      <c r="J61" s="176">
        <f>IFERROR(IF(AND(J$48-$C61&lt;$E$44,J$48&gt;=$C61),IF($C61&lt;$G$48,VLOOKUP($C61,Appendix!$B:$C,2),HLOOKUP(LEFT($G$28,LEN($G$28)-4)&amp;$C61,$28:$30,3))/$E$44,0),0)</f>
        <v>691.44315097895799</v>
      </c>
      <c r="K61" s="176">
        <f>IFERROR(IF(AND(K$48-$C61&lt;$E$44,K$48&gt;=$C61),IF($C61&lt;$G$48,VLOOKUP($C61,Appendix!$B:$C,2),HLOOKUP(LEFT($G$28,LEN($G$28)-4)&amp;$C61,$28:$30,3))/$E$44,0),0)</f>
        <v>691.44315097895799</v>
      </c>
      <c r="L61" s="176">
        <f>IFERROR(IF(AND(L$48-$C61&lt;$E$44,L$48&gt;=$C61),IF($C61&lt;$G$48,VLOOKUP($C61,Appendix!$B:$C,2),HLOOKUP(LEFT($G$28,LEN($G$28)-4)&amp;$C61,$28:$30,3))/$E$44,0),0)</f>
        <v>691.44315097895799</v>
      </c>
      <c r="M61" s="176">
        <f>IFERROR(IF(AND(M$48-$C61&lt;$E$44,M$48&gt;=$C61),IF($C61&lt;$G$48,VLOOKUP($C61,Appendix!$B:$C,2),HLOOKUP(LEFT($G$28,LEN($G$28)-4)&amp;$C61,$28:$30,3))/$E$44,0),0)</f>
        <v>691.44315097895799</v>
      </c>
      <c r="N61" s="176">
        <f>IFERROR(IF(AND(N$48-$C61&lt;$E$44,N$48&gt;=$C61),IF($C61&lt;$G$48,VLOOKUP($C61,Appendix!$B:$C,2),HLOOKUP(LEFT($G$28,LEN($G$28)-4)&amp;$C61,$28:$30,3))/$E$44,0),0)</f>
        <v>0</v>
      </c>
      <c r="O61" s="176">
        <f>IFERROR(IF(AND(O$48-$C61&lt;$E$44,O$48&gt;=$C61),IF($C61&lt;$G$48,VLOOKUP($C61,Appendix!$B:$C,2),HLOOKUP(LEFT($G$28,LEN($G$28)-4)&amp;$C61,$28:$30,3))/$E$44,0),0)</f>
        <v>0</v>
      </c>
      <c r="P61" s="176">
        <f>IFERROR(IF(AND(P$48-$C61&lt;$E$44,P$48&gt;=$C61),IF($C61&lt;$G$48,VLOOKUP($C61,Appendix!$B:$C,2),HLOOKUP(LEFT($G$28,LEN($G$28)-4)&amp;$C61,$28:$30,3))/$E$44,0),0)</f>
        <v>0</v>
      </c>
      <c r="Q61" s="177"/>
      <c r="R61" s="177"/>
      <c r="S61" s="177"/>
      <c r="T61" s="177"/>
      <c r="U61" s="177"/>
      <c r="V61" s="177"/>
      <c r="W61" s="177"/>
      <c r="X61" s="178">
        <f>IF(C61&gt;=$G$48+LEFT(DCF!$D$2,LEN(DCF!$D$2)-1),0,SUM(G61:P61))</f>
        <v>3457.2157548947898</v>
      </c>
      <c r="Y61" s="177"/>
      <c r="Z61" s="177"/>
      <c r="AA61" s="177"/>
      <c r="AB61" s="177"/>
    </row>
    <row r="62" spans="1:28" ht="19.95" customHeight="1">
      <c r="B62" s="181"/>
      <c r="C62" s="179">
        <f t="shared" si="8"/>
        <v>2029</v>
      </c>
      <c r="D62" s="180"/>
      <c r="E62" s="180"/>
      <c r="F62" s="180"/>
      <c r="G62" s="176">
        <f>IFERROR(IF(AND(G$48-$C62&lt;$E$44,G$48&gt;=$C62),IF($C62&lt;$G$48,VLOOKUP($C62,Appendix!$B:$C,2),HLOOKUP(LEFT($G$28,LEN($G$28)-4)&amp;$C62,$28:$30,3))/$E$44,0),0)</f>
        <v>0</v>
      </c>
      <c r="H62" s="176">
        <f>IFERROR(IF(AND(H$48-$C62&lt;$E$44,H$48&gt;=$C62),IF($C62&lt;$G$48,VLOOKUP($C62,Appendix!$B:$C,2),HLOOKUP(LEFT($G$28,LEN($G$28)-4)&amp;$C62,$28:$30,3))/$E$44,0),0)</f>
        <v>0</v>
      </c>
      <c r="I62" s="176">
        <f>IFERROR(IF(AND(I$48-$C62&lt;$E$44,I$48&gt;=$C62),IF($C62&lt;$G$48,VLOOKUP($C62,Appendix!$B:$C,2),HLOOKUP(LEFT($G$28,LEN($G$28)-4)&amp;$C62,$28:$30,3))/$E$44,0),0)</f>
        <v>0</v>
      </c>
      <c r="J62" s="176">
        <f>IFERROR(IF(AND(J$48-$C62&lt;$E$44,J$48&gt;=$C62),IF($C62&lt;$G$48,VLOOKUP($C62,Appendix!$B:$C,2),HLOOKUP(LEFT($G$28,LEN($G$28)-4)&amp;$C62,$28:$30,3))/$E$44,0),0)</f>
        <v>718.09776587414922</v>
      </c>
      <c r="K62" s="176">
        <f>IFERROR(IF(AND(K$48-$C62&lt;$E$44,K$48&gt;=$C62),IF($C62&lt;$G$48,VLOOKUP($C62,Appendix!$B:$C,2),HLOOKUP(LEFT($G$28,LEN($G$28)-4)&amp;$C62,$28:$30,3))/$E$44,0),0)</f>
        <v>718.09776587414922</v>
      </c>
      <c r="L62" s="176">
        <f>IFERROR(IF(AND(L$48-$C62&lt;$E$44,L$48&gt;=$C62),IF($C62&lt;$G$48,VLOOKUP($C62,Appendix!$B:$C,2),HLOOKUP(LEFT($G$28,LEN($G$28)-4)&amp;$C62,$28:$30,3))/$E$44,0),0)</f>
        <v>718.09776587414922</v>
      </c>
      <c r="M62" s="176">
        <f>IFERROR(IF(AND(M$48-$C62&lt;$E$44,M$48&gt;=$C62),IF($C62&lt;$G$48,VLOOKUP($C62,Appendix!$B:$C,2),HLOOKUP(LEFT($G$28,LEN($G$28)-4)&amp;$C62,$28:$30,3))/$E$44,0),0)</f>
        <v>718.09776587414922</v>
      </c>
      <c r="N62" s="176">
        <f>IFERROR(IF(AND(N$48-$C62&lt;$E$44,N$48&gt;=$C62),IF($C62&lt;$G$48,VLOOKUP($C62,Appendix!$B:$C,2),HLOOKUP(LEFT($G$28,LEN($G$28)-4)&amp;$C62,$28:$30,3))/$E$44,0),0)</f>
        <v>718.09776587414922</v>
      </c>
      <c r="O62" s="176">
        <f>IFERROR(IF(AND(O$48-$C62&lt;$E$44,O$48&gt;=$C62),IF($C62&lt;$G$48,VLOOKUP($C62,Appendix!$B:$C,2),HLOOKUP(LEFT($G$28,LEN($G$28)-4)&amp;$C62,$28:$30,3))/$E$44,0),0)</f>
        <v>0</v>
      </c>
      <c r="P62" s="176">
        <f>IFERROR(IF(AND(P$48-$C62&lt;$E$44,P$48&gt;=$C62),IF($C62&lt;$G$48,VLOOKUP($C62,Appendix!$B:$C,2),HLOOKUP(LEFT($G$28,LEN($G$28)-4)&amp;$C62,$28:$30,3))/$E$44,0),0)</f>
        <v>0</v>
      </c>
      <c r="Q62" s="177"/>
      <c r="R62" s="177"/>
      <c r="S62" s="177"/>
      <c r="T62" s="177"/>
      <c r="U62" s="177"/>
      <c r="V62" s="177"/>
      <c r="W62" s="177"/>
      <c r="X62" s="178">
        <f>IF(C62&gt;=$G$48+LEFT(DCF!$D$2,LEN(DCF!$D$2)-1),0,SUM(G62:P62))</f>
        <v>3590.4888293707463</v>
      </c>
      <c r="Y62" s="177"/>
      <c r="Z62" s="177"/>
      <c r="AA62" s="177"/>
      <c r="AB62" s="177"/>
    </row>
    <row r="63" spans="1:28" ht="19.95" customHeight="1">
      <c r="B63" s="181"/>
      <c r="C63" s="179">
        <f t="shared" si="8"/>
        <v>2030</v>
      </c>
      <c r="D63" s="180"/>
      <c r="E63" s="180"/>
      <c r="F63" s="180"/>
      <c r="G63" s="176">
        <f>IFERROR(IF(AND(G$48-$C63&lt;$E$44,G$48&gt;=$C63),IF($C63&lt;$G$48,VLOOKUP($C63,Appendix!$B:$C,2),HLOOKUP(LEFT($G$28,LEN($G$28)-4)&amp;$C63,$28:$30,3))/$E$44,0),0)</f>
        <v>0</v>
      </c>
      <c r="H63" s="176">
        <f>IFERROR(IF(AND(H$48-$C63&lt;$E$44,H$48&gt;=$C63),IF($C63&lt;$G$48,VLOOKUP($C63,Appendix!$B:$C,2),HLOOKUP(LEFT($G$28,LEN($G$28)-4)&amp;$C63,$28:$30,3))/$E$44,0),0)</f>
        <v>0</v>
      </c>
      <c r="I63" s="176">
        <f>IFERROR(IF(AND(I$48-$C63&lt;$E$44,I$48&gt;=$C63),IF($C63&lt;$G$48,VLOOKUP($C63,Appendix!$B:$C,2),HLOOKUP(LEFT($G$28,LEN($G$28)-4)&amp;$C63,$28:$30,3))/$E$44,0),0)</f>
        <v>0</v>
      </c>
      <c r="J63" s="176">
        <f>IFERROR(IF(AND(J$48-$C63&lt;$E$44,J$48&gt;=$C63),IF($C63&lt;$G$48,VLOOKUP($C63,Appendix!$B:$C,2),HLOOKUP(LEFT($G$28,LEN($G$28)-4)&amp;$C63,$28:$30,3))/$E$44,0),0)</f>
        <v>0</v>
      </c>
      <c r="K63" s="176">
        <f>IFERROR(IF(AND(K$48-$C63&lt;$E$44,K$48&gt;=$C63),IF($C63&lt;$G$48,VLOOKUP($C63,Appendix!$B:$C,2),HLOOKUP(LEFT($G$28,LEN($G$28)-4)&amp;$C63,$28:$30,3))/$E$44,0),0)</f>
        <v>750.70878961726874</v>
      </c>
      <c r="L63" s="176">
        <f>IFERROR(IF(AND(L$48-$C63&lt;$E$44,L$48&gt;=$C63),IF($C63&lt;$G$48,VLOOKUP($C63,Appendix!$B:$C,2),HLOOKUP(LEFT($G$28,LEN($G$28)-4)&amp;$C63,$28:$30,3))/$E$44,0),0)</f>
        <v>750.70878961726874</v>
      </c>
      <c r="M63" s="176">
        <f>IFERROR(IF(AND(M$48-$C63&lt;$E$44,M$48&gt;=$C63),IF($C63&lt;$G$48,VLOOKUP($C63,Appendix!$B:$C,2),HLOOKUP(LEFT($G$28,LEN($G$28)-4)&amp;$C63,$28:$30,3))/$E$44,0),0)</f>
        <v>750.70878961726874</v>
      </c>
      <c r="N63" s="176">
        <f>IFERROR(IF(AND(N$48-$C63&lt;$E$44,N$48&gt;=$C63),IF($C63&lt;$G$48,VLOOKUP($C63,Appendix!$B:$C,2),HLOOKUP(LEFT($G$28,LEN($G$28)-4)&amp;$C63,$28:$30,3))/$E$44,0),0)</f>
        <v>750.70878961726874</v>
      </c>
      <c r="O63" s="176">
        <f>IFERROR(IF(AND(O$48-$C63&lt;$E$44,O$48&gt;=$C63),IF($C63&lt;$G$48,VLOOKUP($C63,Appendix!$B:$C,2),HLOOKUP(LEFT($G$28,LEN($G$28)-4)&amp;$C63,$28:$30,3))/$E$44,0),0)</f>
        <v>750.70878961726874</v>
      </c>
      <c r="P63" s="176">
        <f>IFERROR(IF(AND(P$48-$C63&lt;$E$44,P$48&gt;=$C63),IF($C63&lt;$G$48,VLOOKUP($C63,Appendix!$B:$C,2),HLOOKUP(LEFT($G$28,LEN($G$28)-4)&amp;$C63,$28:$30,3))/$E$44,0),0)</f>
        <v>0</v>
      </c>
      <c r="Q63" s="177"/>
      <c r="R63" s="177"/>
      <c r="S63" s="177"/>
      <c r="T63" s="177"/>
      <c r="U63" s="177"/>
      <c r="V63" s="177"/>
      <c r="W63" s="177"/>
      <c r="X63" s="178">
        <f>IF(C63&gt;=$G$48+LEFT(DCF!$D$2,LEN(DCF!$D$2)-1),0,SUM(G63:P63))</f>
        <v>3753.5439480863438</v>
      </c>
      <c r="Y63" s="177"/>
      <c r="Z63" s="177"/>
      <c r="AA63" s="177"/>
      <c r="AB63" s="177"/>
    </row>
    <row r="64" spans="1:28" ht="19.95" hidden="1" customHeight="1">
      <c r="B64" s="181"/>
      <c r="C64" s="179">
        <f t="shared" si="8"/>
        <v>2031</v>
      </c>
      <c r="D64" s="180"/>
      <c r="E64" s="180"/>
      <c r="F64" s="180"/>
      <c r="G64" s="176">
        <f>IFERROR(IF(AND(G$48-$C64&lt;$E$44,G$48&gt;=$C64),IF($C64&lt;$G$48,VLOOKUP($C64,Appendix!$B:$C,2),HLOOKUP(LEFT($G$28,LEN($G$28)-4)&amp;$C64,$28:$30,3))/$E$44,0),0)</f>
        <v>0</v>
      </c>
      <c r="H64" s="176">
        <f>IFERROR(IF(AND(H$48-$C64&lt;$E$44,H$48&gt;=$C64),IF($C64&lt;$G$48,VLOOKUP($C64,Appendix!$B:$C,2),HLOOKUP(LEFT($G$28,LEN($G$28)-4)&amp;$C64,$28:$30,3))/$E$44,0),0)</f>
        <v>0</v>
      </c>
      <c r="I64" s="176">
        <f>IFERROR(IF(AND(I$48-$C64&lt;$E$44,I$48&gt;=$C64),IF($C64&lt;$G$48,VLOOKUP($C64,Appendix!$B:$C,2),HLOOKUP(LEFT($G$28,LEN($G$28)-4)&amp;$C64,$28:$30,3))/$E$44,0),0)</f>
        <v>0</v>
      </c>
      <c r="J64" s="176">
        <f>IFERROR(IF(AND(J$48-$C64&lt;$E$44,J$48&gt;=$C64),IF($C64&lt;$G$48,VLOOKUP($C64,Appendix!$B:$C,2),HLOOKUP(LEFT($G$28,LEN($G$28)-4)&amp;$C64,$28:$30,3))/$E$44,0),0)</f>
        <v>0</v>
      </c>
      <c r="K64" s="176">
        <f>IFERROR(IF(AND(K$48-$C64&lt;$E$44,K$48&gt;=$C64),IF($C64&lt;$G$48,VLOOKUP($C64,Appendix!$B:$C,2),HLOOKUP(LEFT($G$28,LEN($G$28)-4)&amp;$C64,$28:$30,3))/$E$44,0),0)</f>
        <v>0</v>
      </c>
      <c r="L64" s="176">
        <f>IFERROR(IF(AND(L$48-$C64&lt;$E$44,L$48&gt;=$C64),IF($C64&lt;$G$48,VLOOKUP($C64,Appendix!$B:$C,2),HLOOKUP(LEFT($G$28,LEN($G$28)-4)&amp;$C64,$28:$30,3))/$E$44,0),0)</f>
        <v>765.72296540961418</v>
      </c>
      <c r="M64" s="176">
        <f>IFERROR(IF(AND(M$48-$C64&lt;$E$44,M$48&gt;=$C64),IF($C64&lt;$G$48,VLOOKUP($C64,Appendix!$B:$C,2),HLOOKUP(LEFT($G$28,LEN($G$28)-4)&amp;$C64,$28:$30,3))/$E$44,0),0)</f>
        <v>765.72296540961418</v>
      </c>
      <c r="N64" s="176">
        <f>IFERROR(IF(AND(N$48-$C64&lt;$E$44,N$48&gt;=$C64),IF($C64&lt;$G$48,VLOOKUP($C64,Appendix!$B:$C,2),HLOOKUP(LEFT($G$28,LEN($G$28)-4)&amp;$C64,$28:$30,3))/$E$44,0),0)</f>
        <v>765.72296540961418</v>
      </c>
      <c r="O64" s="176">
        <f>IFERROR(IF(AND(O$48-$C64&lt;$E$44,O$48&gt;=$C64),IF($C64&lt;$G$48,VLOOKUP($C64,Appendix!$B:$C,2),HLOOKUP(LEFT($G$28,LEN($G$28)-4)&amp;$C64,$28:$30,3))/$E$44,0),0)</f>
        <v>765.72296540961418</v>
      </c>
      <c r="P64" s="176">
        <f>IFERROR(IF(AND(P$48-$C64&lt;$E$44,P$48&gt;=$C64),IF($C64&lt;$G$48,VLOOKUP($C64,Appendix!$B:$C,2),HLOOKUP(LEFT($G$28,LEN($G$28)-4)&amp;$C64,$28:$30,3))/$E$44,0),0)</f>
        <v>765.72296540961418</v>
      </c>
      <c r="Q64" s="177"/>
      <c r="R64" s="177"/>
      <c r="S64" s="177"/>
      <c r="T64" s="177"/>
      <c r="U64" s="177"/>
      <c r="V64" s="177"/>
      <c r="W64" s="177"/>
      <c r="X64" s="178">
        <f>IF(C64&gt;=$G$48+LEFT(DCF!$D$2,LEN(DCF!$D$2)-1),0,SUM(G64:P64))</f>
        <v>0</v>
      </c>
      <c r="Y64" s="177"/>
      <c r="Z64" s="177"/>
      <c r="AA64" s="177"/>
      <c r="AB64" s="177"/>
    </row>
    <row r="65" spans="2:28" ht="19.95" hidden="1" customHeight="1">
      <c r="B65" s="181"/>
      <c r="C65" s="179">
        <f t="shared" si="8"/>
        <v>2032</v>
      </c>
      <c r="D65" s="180"/>
      <c r="E65" s="180"/>
      <c r="F65" s="180"/>
      <c r="G65" s="176">
        <f>IFERROR(IF(AND(G$48-$C65&lt;$E$44,G$48&gt;=$C65),IF($C65&lt;$G$48,VLOOKUP($C65,Appendix!$B:$C,2),HLOOKUP(LEFT($G$28,LEN($G$28)-4)&amp;$C65,$28:$30,3))/$E$44,0),0)</f>
        <v>0</v>
      </c>
      <c r="H65" s="176">
        <f>IFERROR(IF(AND(H$48-$C65&lt;$E$44,H$48&gt;=$C65),IF($C65&lt;$G$48,VLOOKUP($C65,Appendix!$B:$C,2),HLOOKUP(LEFT($G$28,LEN($G$28)-4)&amp;$C65,$28:$30,3))/$E$44,0),0)</f>
        <v>0</v>
      </c>
      <c r="I65" s="176">
        <f>IFERROR(IF(AND(I$48-$C65&lt;$E$44,I$48&gt;=$C65),IF($C65&lt;$G$48,VLOOKUP($C65,Appendix!$B:$C,2),HLOOKUP(LEFT($G$28,LEN($G$28)-4)&amp;$C65,$28:$30,3))/$E$44,0),0)</f>
        <v>0</v>
      </c>
      <c r="J65" s="176">
        <f>IFERROR(IF(AND(J$48-$C65&lt;$E$44,J$48&gt;=$C65),IF($C65&lt;$G$48,VLOOKUP($C65,Appendix!$B:$C,2),HLOOKUP(LEFT($G$28,LEN($G$28)-4)&amp;$C65,$28:$30,3))/$E$44,0),0)</f>
        <v>0</v>
      </c>
      <c r="K65" s="176">
        <f>IFERROR(IF(AND(K$48-$C65&lt;$E$44,K$48&gt;=$C65),IF($C65&lt;$G$48,VLOOKUP($C65,Appendix!$B:$C,2),HLOOKUP(LEFT($G$28,LEN($G$28)-4)&amp;$C65,$28:$30,3))/$E$44,0),0)</f>
        <v>0</v>
      </c>
      <c r="L65" s="176">
        <f>IFERROR(IF(AND(L$48-$C65&lt;$E$44,L$48&gt;=$C65),IF($C65&lt;$G$48,VLOOKUP($C65,Appendix!$B:$C,2),HLOOKUP(LEFT($G$28,LEN($G$28)-4)&amp;$C65,$28:$30,3))/$E$44,0),0)</f>
        <v>0</v>
      </c>
      <c r="M65" s="176">
        <f>IFERROR(IF(AND(M$48-$C65&lt;$E$44,M$48&gt;=$C65),IF($C65&lt;$G$48,VLOOKUP($C65,Appendix!$B:$C,2),HLOOKUP(LEFT($G$28,LEN($G$28)-4)&amp;$C65,$28:$30,3))/$E$44,0),0)</f>
        <v>805.94168257185299</v>
      </c>
      <c r="N65" s="176">
        <f>IFERROR(IF(AND(N$48-$C65&lt;$E$44,N$48&gt;=$C65),IF($C65&lt;$G$48,VLOOKUP($C65,Appendix!$B:$C,2),HLOOKUP(LEFT($G$28,LEN($G$28)-4)&amp;$C65,$28:$30,3))/$E$44,0),0)</f>
        <v>805.94168257185299</v>
      </c>
      <c r="O65" s="176">
        <f>IFERROR(IF(AND(O$48-$C65&lt;$E$44,O$48&gt;=$C65),IF($C65&lt;$G$48,VLOOKUP($C65,Appendix!$B:$C,2),HLOOKUP(LEFT($G$28,LEN($G$28)-4)&amp;$C65,$28:$30,3))/$E$44,0),0)</f>
        <v>805.94168257185299</v>
      </c>
      <c r="P65" s="176">
        <f>IFERROR(IF(AND(P$48-$C65&lt;$E$44,P$48&gt;=$C65),IF($C65&lt;$G$48,VLOOKUP($C65,Appendix!$B:$C,2),HLOOKUP(LEFT($G$28,LEN($G$28)-4)&amp;$C65,$28:$30,3))/$E$44,0),0)</f>
        <v>805.94168257185299</v>
      </c>
      <c r="Q65" s="177"/>
      <c r="R65" s="177"/>
      <c r="S65" s="177"/>
      <c r="T65" s="177"/>
      <c r="U65" s="177"/>
      <c r="V65" s="177"/>
      <c r="W65" s="177"/>
      <c r="X65" s="178">
        <f>IF(C65&gt;=$G$48+LEFT(DCF!$D$2,LEN(DCF!$D$2)-1),0,SUM(G65:P65))</f>
        <v>0</v>
      </c>
      <c r="Y65" s="177"/>
      <c r="Z65" s="177"/>
      <c r="AA65" s="177"/>
      <c r="AB65" s="177"/>
    </row>
    <row r="66" spans="2:28" ht="19.95" hidden="1" customHeight="1">
      <c r="B66" s="181"/>
      <c r="C66" s="179">
        <f t="shared" si="8"/>
        <v>2033</v>
      </c>
      <c r="D66" s="180"/>
      <c r="E66" s="180"/>
      <c r="F66" s="180"/>
      <c r="G66" s="176">
        <f>IFERROR(IF(AND(G$48-$C66&lt;$E$44,G$48&gt;=$C66),IF($C66&lt;$G$48,VLOOKUP($C66,Appendix!$B:$C,2),HLOOKUP(LEFT($G$28,LEN($G$28)-4)&amp;$C66,$28:$30,3))/$E$44,0),0)</f>
        <v>0</v>
      </c>
      <c r="H66" s="176">
        <f>IFERROR(IF(AND(H$48-$C66&lt;$E$44,H$48&gt;=$C66),IF($C66&lt;$G$48,VLOOKUP($C66,Appendix!$B:$C,2),HLOOKUP(LEFT($G$28,LEN($G$28)-4)&amp;$C66,$28:$30,3))/$E$44,0),0)</f>
        <v>0</v>
      </c>
      <c r="I66" s="176">
        <f>IFERROR(IF(AND(I$48-$C66&lt;$E$44,I$48&gt;=$C66),IF($C66&lt;$G$48,VLOOKUP($C66,Appendix!$B:$C,2),HLOOKUP(LEFT($G$28,LEN($G$28)-4)&amp;$C66,$28:$30,3))/$E$44,0),0)</f>
        <v>0</v>
      </c>
      <c r="J66" s="176">
        <f>IFERROR(IF(AND(J$48-$C66&lt;$E$44,J$48&gt;=$C66),IF($C66&lt;$G$48,VLOOKUP($C66,Appendix!$B:$C,2),HLOOKUP(LEFT($G$28,LEN($G$28)-4)&amp;$C66,$28:$30,3))/$E$44,0),0)</f>
        <v>0</v>
      </c>
      <c r="K66" s="176">
        <f>IFERROR(IF(AND(K$48-$C66&lt;$E$44,K$48&gt;=$C66),IF($C66&lt;$G$48,VLOOKUP($C66,Appendix!$B:$C,2),HLOOKUP(LEFT($G$28,LEN($G$28)-4)&amp;$C66,$28:$30,3))/$E$44,0),0)</f>
        <v>0</v>
      </c>
      <c r="L66" s="176">
        <f>IFERROR(IF(AND(L$48-$C66&lt;$E$44,L$48&gt;=$C66),IF($C66&lt;$G$48,VLOOKUP($C66,Appendix!$B:$C,2),HLOOKUP(LEFT($G$28,LEN($G$28)-4)&amp;$C66,$28:$30,3))/$E$44,0),0)</f>
        <v>0</v>
      </c>
      <c r="M66" s="176">
        <f>IFERROR(IF(AND(M$48-$C66&lt;$E$44,M$48&gt;=$C66),IF($C66&lt;$G$48,VLOOKUP($C66,Appendix!$B:$C,2),HLOOKUP(LEFT($G$28,LEN($G$28)-4)&amp;$C66,$28:$30,3))/$E$44,0),0)</f>
        <v>0</v>
      </c>
      <c r="N66" s="176">
        <f>IFERROR(IF(AND(N$48-$C66&lt;$E$44,N$48&gt;=$C66),IF($C66&lt;$G$48,VLOOKUP($C66,Appendix!$B:$C,2),HLOOKUP(LEFT($G$28,LEN($G$28)-4)&amp;$C66,$28:$30,3))/$E$44,0),0)</f>
        <v>830.65697879905224</v>
      </c>
      <c r="O66" s="176">
        <f>IFERROR(IF(AND(O$48-$C66&lt;$E$44,O$48&gt;=$C66),IF($C66&lt;$G$48,VLOOKUP($C66,Appendix!$B:$C,2),HLOOKUP(LEFT($G$28,LEN($G$28)-4)&amp;$C66,$28:$30,3))/$E$44,0),0)</f>
        <v>830.65697879905224</v>
      </c>
      <c r="P66" s="176">
        <f>IFERROR(IF(AND(P$48-$C66&lt;$E$44,P$48&gt;=$C66),IF($C66&lt;$G$48,VLOOKUP($C66,Appendix!$B:$C,2),HLOOKUP(LEFT($G$28,LEN($G$28)-4)&amp;$C66,$28:$30,3))/$E$44,0),0)</f>
        <v>830.65697879905224</v>
      </c>
      <c r="Q66" s="177"/>
      <c r="R66" s="177"/>
      <c r="S66" s="177"/>
      <c r="T66" s="177"/>
      <c r="U66" s="177"/>
      <c r="V66" s="177"/>
      <c r="W66" s="177"/>
      <c r="X66" s="178">
        <f>IF(C66&gt;=$G$48+LEFT(DCF!$D$2,LEN(DCF!$D$2)-1),0,SUM(G66:P66))</f>
        <v>0</v>
      </c>
      <c r="Y66" s="177"/>
      <c r="Z66" s="177"/>
      <c r="AA66" s="177"/>
      <c r="AB66" s="177"/>
    </row>
    <row r="67" spans="2:28" ht="19.95" hidden="1" customHeight="1">
      <c r="B67" s="181"/>
      <c r="C67" s="179">
        <f t="shared" si="8"/>
        <v>2034</v>
      </c>
      <c r="D67" s="180"/>
      <c r="E67" s="180"/>
      <c r="F67" s="180"/>
      <c r="G67" s="176">
        <f>IFERROR(IF(AND(G$48-$C67&lt;$E$44,G$48&gt;=$C67),IF($C67&lt;$G$48,VLOOKUP($C67,Appendix!$B:$C,2),HLOOKUP(LEFT($G$28,LEN($G$28)-4)&amp;$C67,$28:$30,3))/$E$44,0),0)</f>
        <v>0</v>
      </c>
      <c r="H67" s="176">
        <f>IFERROR(IF(AND(H$48-$C67&lt;$E$44,H$48&gt;=$C67),IF($C67&lt;$G$48,VLOOKUP($C67,Appendix!$B:$C,2),HLOOKUP(LEFT($G$28,LEN($G$28)-4)&amp;$C67,$28:$30,3))/$E$44,0),0)</f>
        <v>0</v>
      </c>
      <c r="I67" s="176">
        <f>IFERROR(IF(AND(I$48-$C67&lt;$E$44,I$48&gt;=$C67),IF($C67&lt;$G$48,VLOOKUP($C67,Appendix!$B:$C,2),HLOOKUP(LEFT($G$28,LEN($G$28)-4)&amp;$C67,$28:$30,3))/$E$44,0),0)</f>
        <v>0</v>
      </c>
      <c r="J67" s="176">
        <f>IFERROR(IF(AND(J$48-$C67&lt;$E$44,J$48&gt;=$C67),IF($C67&lt;$G$48,VLOOKUP($C67,Appendix!$B:$C,2),HLOOKUP(LEFT($G$28,LEN($G$28)-4)&amp;$C67,$28:$30,3))/$E$44,0),0)</f>
        <v>0</v>
      </c>
      <c r="K67" s="176">
        <f>IFERROR(IF(AND(K$48-$C67&lt;$E$44,K$48&gt;=$C67),IF($C67&lt;$G$48,VLOOKUP($C67,Appendix!$B:$C,2),HLOOKUP(LEFT($G$28,LEN($G$28)-4)&amp;$C67,$28:$30,3))/$E$44,0),0)</f>
        <v>0</v>
      </c>
      <c r="L67" s="176">
        <f>IFERROR(IF(AND(L$48-$C67&lt;$E$44,L$48&gt;=$C67),IF($C67&lt;$G$48,VLOOKUP($C67,Appendix!$B:$C,2),HLOOKUP(LEFT($G$28,LEN($G$28)-4)&amp;$C67,$28:$30,3))/$E$44,0),0)</f>
        <v>0</v>
      </c>
      <c r="M67" s="176">
        <f>IFERROR(IF(AND(M$48-$C67&lt;$E$44,M$48&gt;=$C67),IF($C67&lt;$G$48,VLOOKUP($C67,Appendix!$B:$C,2),HLOOKUP(LEFT($G$28,LEN($G$28)-4)&amp;$C67,$28:$30,3))/$E$44,0),0)</f>
        <v>0</v>
      </c>
      <c r="N67" s="176">
        <f>IFERROR(IF(AND(N$48-$C67&lt;$E$44,N$48&gt;=$C67),IF($C67&lt;$G$48,VLOOKUP($C67,Appendix!$B:$C,2),HLOOKUP(LEFT($G$28,LEN($G$28)-4)&amp;$C67,$28:$30,3))/$E$44,0),0)</f>
        <v>0</v>
      </c>
      <c r="O67" s="176">
        <f>IFERROR(IF(AND(O$48-$C67&lt;$E$44,O$48&gt;=$C67),IF($C67&lt;$G$48,VLOOKUP($C67,Appendix!$B:$C,2),HLOOKUP(LEFT($G$28,LEN($G$28)-4)&amp;$C67,$28:$30,3))/$E$44,0),0)</f>
        <v>852.71985795706166</v>
      </c>
      <c r="P67" s="176">
        <f>IFERROR(IF(AND(P$48-$C67&lt;$E$44,P$48&gt;=$C67),IF($C67&lt;$G$48,VLOOKUP($C67,Appendix!$B:$C,2),HLOOKUP(LEFT($G$28,LEN($G$28)-4)&amp;$C67,$28:$30,3))/$E$44,0),0)</f>
        <v>852.71985795706166</v>
      </c>
      <c r="Q67" s="177"/>
      <c r="R67" s="177"/>
      <c r="S67" s="177"/>
      <c r="T67" s="177"/>
      <c r="U67" s="177"/>
      <c r="V67" s="177"/>
      <c r="W67" s="177"/>
      <c r="X67" s="178">
        <f>IF(C67&gt;=$G$48+LEFT(DCF!$D$2,LEN(DCF!$D$2)-1),0,SUM(G67:P67))</f>
        <v>0</v>
      </c>
      <c r="Y67" s="177"/>
      <c r="Z67" s="177"/>
      <c r="AA67" s="177"/>
      <c r="AB67" s="177"/>
    </row>
    <row r="68" spans="2:28" ht="19.95" hidden="1" customHeight="1">
      <c r="B68" s="181"/>
      <c r="C68" s="182">
        <f t="shared" si="8"/>
        <v>2035</v>
      </c>
      <c r="D68" s="180"/>
      <c r="E68" s="180"/>
      <c r="F68" s="180"/>
      <c r="G68" s="176">
        <f>IFERROR(IF(AND(G$48-$C68&lt;$E$44,G$48&gt;=$C68),IF($C68&lt;$G$48,VLOOKUP($C68,Appendix!$B:$C,2),HLOOKUP(LEFT($G$28,LEN($G$28)-4)&amp;$C68,$28:$30,3))/$E$44,0),0)</f>
        <v>0</v>
      </c>
      <c r="H68" s="176">
        <f>IFERROR(IF(AND(H$48-$C68&lt;$E$44,H$48&gt;=$C68),IF($C68&lt;$G$48,VLOOKUP($C68,Appendix!$B:$C,2),HLOOKUP(LEFT($G$28,LEN($G$28)-4)&amp;$C68,$28:$30,3))/$E$44,0),0)</f>
        <v>0</v>
      </c>
      <c r="I68" s="176">
        <f>IFERROR(IF(AND(I$48-$C68&lt;$E$44,I$48&gt;=$C68),IF($C68&lt;$G$48,VLOOKUP($C68,Appendix!$B:$C,2),HLOOKUP(LEFT($G$28,LEN($G$28)-4)&amp;$C68,$28:$30,3))/$E$44,0),0)</f>
        <v>0</v>
      </c>
      <c r="J68" s="176">
        <f>IFERROR(IF(AND(J$48-$C68&lt;$E$44,J$48&gt;=$C68),IF($C68&lt;$G$48,VLOOKUP($C68,Appendix!$B:$C,2),HLOOKUP(LEFT($G$28,LEN($G$28)-4)&amp;$C68,$28:$30,3))/$E$44,0),0)</f>
        <v>0</v>
      </c>
      <c r="K68" s="176">
        <f>IFERROR(IF(AND(K$48-$C68&lt;$E$44,K$48&gt;=$C68),IF($C68&lt;$G$48,VLOOKUP($C68,Appendix!$B:$C,2),HLOOKUP(LEFT($G$28,LEN($G$28)-4)&amp;$C68,$28:$30,3))/$E$44,0),0)</f>
        <v>0</v>
      </c>
      <c r="L68" s="176">
        <f>IFERROR(IF(AND(L$48-$C68&lt;$E$44,L$48&gt;=$C68),IF($C68&lt;$G$48,VLOOKUP($C68,Appendix!$B:$C,2),HLOOKUP(LEFT($G$28,LEN($G$28)-4)&amp;$C68,$28:$30,3))/$E$44,0),0)</f>
        <v>0</v>
      </c>
      <c r="M68" s="176">
        <f>IFERROR(IF(AND(M$48-$C68&lt;$E$44,M$48&gt;=$C68),IF($C68&lt;$G$48,VLOOKUP($C68,Appendix!$B:$C,2),HLOOKUP(LEFT($G$28,LEN($G$28)-4)&amp;$C68,$28:$30,3))/$E$44,0),0)</f>
        <v>0</v>
      </c>
      <c r="N68" s="176">
        <f>IFERROR(IF(AND(N$48-$C68&lt;$E$44,N$48&gt;=$C68),IF($C68&lt;$G$48,VLOOKUP($C68,Appendix!$B:$C,2),HLOOKUP(LEFT($G$28,LEN($G$28)-4)&amp;$C68,$28:$30,3))/$E$44,0),0)</f>
        <v>0</v>
      </c>
      <c r="O68" s="176">
        <f>IFERROR(IF(AND(O$48-$C68&lt;$E$44,O$48&gt;=$C68),IF($C68&lt;$G$48,VLOOKUP($C68,Appendix!$B:$C,2),HLOOKUP(LEFT($G$28,LEN($G$28)-4)&amp;$C68,$28:$30,3))/$E$44,0),0)</f>
        <v>0</v>
      </c>
      <c r="P68" s="176">
        <f>IFERROR(IF(AND(P$48-$C68&lt;$E$44,P$48&gt;=$C68),IF($C68&lt;$G$48,VLOOKUP($C68,Appendix!$B:$C,2),HLOOKUP(LEFT($G$28,LEN($G$28)-4)&amp;$C68,$28:$30,3))/$E$44,0),0)</f>
        <v>869.77425511620299</v>
      </c>
      <c r="Q68" s="177"/>
      <c r="R68" s="177"/>
      <c r="S68" s="177"/>
      <c r="T68" s="177"/>
      <c r="U68" s="177"/>
      <c r="V68" s="177"/>
      <c r="W68" s="177"/>
      <c r="X68" s="178">
        <f>IF(C68&gt;=$G$48+LEFT(DCF!$D$2,LEN(DCF!$D$2)-1),0,SUM(G68:P68))</f>
        <v>0</v>
      </c>
      <c r="Y68" s="177"/>
      <c r="Z68" s="177"/>
      <c r="AA68" s="177"/>
      <c r="AB68" s="177"/>
    </row>
    <row r="69" spans="2:28" ht="19.95" hidden="1" customHeight="1">
      <c r="B69" s="181"/>
      <c r="C69" s="179">
        <f t="shared" si="8"/>
        <v>2036</v>
      </c>
      <c r="D69" s="180"/>
      <c r="E69" s="180"/>
      <c r="F69" s="180"/>
      <c r="G69" s="176">
        <f>IFERROR(IF(AND(G$48-$C69&lt;$E$44,G$48&gt;=$C69),IF($C69&lt;$G$48,VLOOKUP($C69,Appendix!$B:$C,2),HLOOKUP(LEFT($G$28,LEN($G$28)-4)&amp;$C69,$28:$30,3))/$E$44,0),0)</f>
        <v>0</v>
      </c>
      <c r="H69" s="176">
        <f>IFERROR(IF(AND(H$48-$C69&lt;$E$44,H$48&gt;=$C69),IF($C69&lt;$G$48,VLOOKUP($C69,Appendix!$B:$C,2),HLOOKUP(LEFT($G$28,LEN($G$28)-4)&amp;$C69,$28:$30,3))/$E$44,0),0)</f>
        <v>0</v>
      </c>
      <c r="I69" s="176">
        <f>IFERROR(IF(AND(I$48-$C69&lt;$E$44,I$48&gt;=$C69),IF($C69&lt;$G$48,VLOOKUP($C69,Appendix!$B:$C,2),HLOOKUP(LEFT($G$28,LEN($G$28)-4)&amp;$C69,$28:$30,3))/$E$44,0),0)</f>
        <v>0</v>
      </c>
      <c r="J69" s="176">
        <f>IFERROR(IF(AND(J$48-$C69&lt;$E$44,J$48&gt;=$C69),IF($C69&lt;$G$48,VLOOKUP($C69,Appendix!$B:$C,2),HLOOKUP(LEFT($G$28,LEN($G$28)-4)&amp;$C69,$28:$30,3))/$E$44,0),0)</f>
        <v>0</v>
      </c>
      <c r="K69" s="176">
        <f>IFERROR(IF(AND(K$48-$C69&lt;$E$44,K$48&gt;=$C69),IF($C69&lt;$G$48,VLOOKUP($C69,Appendix!$B:$C,2),HLOOKUP(LEFT($G$28,LEN($G$28)-4)&amp;$C69,$28:$30,3))/$E$44,0),0)</f>
        <v>0</v>
      </c>
      <c r="L69" s="176">
        <f>IFERROR(IF(AND(L$48-$C69&lt;$E$44,L$48&gt;=$C69),IF($C69&lt;$G$48,VLOOKUP($C69,Appendix!$B:$C,2),HLOOKUP(LEFT($G$28,LEN($G$28)-4)&amp;$C69,$28:$30,3))/$E$44,0),0)</f>
        <v>0</v>
      </c>
      <c r="M69" s="176">
        <f>IFERROR(IF(AND(M$48-$C69&lt;$E$44,M$48&gt;=$C69),IF($C69&lt;$G$48,VLOOKUP($C69,Appendix!$B:$C,2),HLOOKUP(LEFT($G$28,LEN($G$28)-4)&amp;$C69,$28:$30,3))/$E$44,0),0)</f>
        <v>0</v>
      </c>
      <c r="N69" s="176">
        <f>IFERROR(IF(AND(N$48-$C69&lt;$E$44,N$48&gt;=$C69),IF($C69&lt;$G$48,VLOOKUP($C69,Appendix!$B:$C,2),HLOOKUP(LEFT($G$28,LEN($G$28)-4)&amp;$C69,$28:$30,3))/$E$44,0),0)</f>
        <v>0</v>
      </c>
      <c r="O69" s="176">
        <f>IFERROR(IF(AND(O$48-$C69&lt;$E$44,O$48&gt;=$C69),IF($C69&lt;$G$48,VLOOKUP($C69,Appendix!$B:$C,2),HLOOKUP(LEFT($G$28,LEN($G$28)-4)&amp;$C69,$28:$30,3))/$E$44,0),0)</f>
        <v>0</v>
      </c>
      <c r="P69" s="176">
        <f>IFERROR(IF(AND(P$48-$C69&lt;$E$44,P$48&gt;=$C69),IF($C69&lt;$G$48,VLOOKUP($C69,Appendix!$B:$C,2),HLOOKUP(LEFT($G$28,LEN($G$28)-4)&amp;$C69,$28:$30,3))/$E$44,0),0)</f>
        <v>0</v>
      </c>
      <c r="Q69" s="177"/>
      <c r="R69" s="177"/>
      <c r="S69" s="177"/>
      <c r="T69" s="177"/>
      <c r="U69" s="177"/>
      <c r="V69" s="177"/>
      <c r="W69" s="177"/>
      <c r="X69" s="178">
        <f>IF(C69&gt;=$G$48+LEFT(DCF!$D$2,LEN(DCF!$D$2)-1),0,SUM(G69:P69))</f>
        <v>0</v>
      </c>
      <c r="Y69" s="177"/>
      <c r="Z69" s="177"/>
      <c r="AA69" s="177"/>
      <c r="AB69" s="177"/>
    </row>
    <row r="70" spans="2:28" ht="19.95" hidden="1" customHeight="1">
      <c r="B70" s="83"/>
      <c r="C70" s="83">
        <f t="shared" si="8"/>
        <v>2037</v>
      </c>
      <c r="D70" s="180"/>
      <c r="E70" s="180"/>
      <c r="F70" s="180"/>
      <c r="G70" s="176">
        <f>IFERROR(IF(AND(G$48-$C70&lt;$E$44,G$48&gt;=$C70),IF($C70&lt;$G$48,VLOOKUP($C70,Appendix!$B:$C,2),HLOOKUP(LEFT($G$28,LEN($G$28)-4)&amp;$C70,$28:$30,3))/$E$44,0),0)</f>
        <v>0</v>
      </c>
      <c r="H70" s="176">
        <f>IFERROR(IF(AND(H$48-$C70&lt;$E$44,H$48&gt;=$C70),IF($C70&lt;$G$48,VLOOKUP($C70,Appendix!$B:$C,2),HLOOKUP(LEFT($G$28,LEN($G$28)-4)&amp;$C70,$28:$30,3))/$E$44,0),0)</f>
        <v>0</v>
      </c>
      <c r="I70" s="176">
        <f>IFERROR(IF(AND(I$48-$C70&lt;$E$44,I$48&gt;=$C70),IF($C70&lt;$G$48,VLOOKUP($C70,Appendix!$B:$C,2),HLOOKUP(LEFT($G$28,LEN($G$28)-4)&amp;$C70,$28:$30,3))/$E$44,0),0)</f>
        <v>0</v>
      </c>
      <c r="J70" s="176">
        <f>IFERROR(IF(AND(J$48-$C70&lt;$E$44,J$48&gt;=$C70),IF($C70&lt;$G$48,VLOOKUP($C70,Appendix!$B:$C,2),HLOOKUP(LEFT($G$28,LEN($G$28)-4)&amp;$C70,$28:$30,3))/$E$44,0),0)</f>
        <v>0</v>
      </c>
      <c r="K70" s="176">
        <f>IFERROR(IF(AND(K$48-$C70&lt;$E$44,K$48&gt;=$C70),IF($C70&lt;$G$48,VLOOKUP($C70,Appendix!$B:$C,2),HLOOKUP(LEFT($G$28,LEN($G$28)-4)&amp;$C70,$28:$30,3))/$E$44,0),0)</f>
        <v>0</v>
      </c>
      <c r="L70" s="176">
        <f>IFERROR(IF(AND(L$48-$C70&lt;$E$44,L$48&gt;=$C70),IF($C70&lt;$G$48,VLOOKUP($C70,Appendix!$B:$C,2),HLOOKUP(LEFT($G$28,LEN($G$28)-4)&amp;$C70,$28:$30,3))/$E$44,0),0)</f>
        <v>0</v>
      </c>
      <c r="M70" s="176">
        <f>IFERROR(IF(AND(M$48-$C70&lt;$E$44,M$48&gt;=$C70),IF($C70&lt;$G$48,VLOOKUP($C70,Appendix!$B:$C,2),HLOOKUP(LEFT($G$28,LEN($G$28)-4)&amp;$C70,$28:$30,3))/$E$44,0),0)</f>
        <v>0</v>
      </c>
      <c r="N70" s="176">
        <f>IFERROR(IF(AND(N$48-$C70&lt;$E$44,N$48&gt;=$C70),IF($C70&lt;$G$48,VLOOKUP($C70,Appendix!$B:$C,2),HLOOKUP(LEFT($G$28,LEN($G$28)-4)&amp;$C70,$28:$30,3))/$E$44,0),0)</f>
        <v>0</v>
      </c>
      <c r="O70" s="176">
        <f>IFERROR(IF(AND(O$48-$C70&lt;$E$44,O$48&gt;=$C70),IF($C70&lt;$G$48,VLOOKUP($C70,Appendix!$B:$C,2),HLOOKUP(LEFT($G$28,LEN($G$28)-4)&amp;$C70,$28:$30,3))/$E$44,0),0)</f>
        <v>0</v>
      </c>
      <c r="P70" s="176">
        <f>IFERROR(IF(AND(P$48-$C70&lt;$E$44,P$48&gt;=$C70),IF($C70&lt;$G$48,VLOOKUP($C70,Appendix!$B:$C,2),HLOOKUP(LEFT($G$28,LEN($G$28)-4)&amp;$C70,$28:$30,3))/$E$44,0),0)</f>
        <v>0</v>
      </c>
      <c r="Q70" s="177"/>
      <c r="R70" s="177"/>
      <c r="S70" s="177"/>
      <c r="T70" s="177"/>
      <c r="U70" s="177"/>
      <c r="V70" s="177"/>
      <c r="W70" s="177"/>
      <c r="X70" s="178">
        <f>IF(C70&gt;=$G$48+LEFT(DCF!$D$2,LEN(DCF!$D$2)-1),0,SUM(G70:P70))</f>
        <v>0</v>
      </c>
      <c r="Y70" s="177"/>
      <c r="Z70" s="177"/>
      <c r="AA70" s="177"/>
      <c r="AB70" s="177"/>
    </row>
    <row r="71" spans="2:28" ht="19.95" hidden="1" customHeight="1">
      <c r="C71" s="179">
        <f t="shared" si="8"/>
        <v>2038</v>
      </c>
      <c r="D71" s="183"/>
      <c r="E71" s="183"/>
      <c r="F71" s="183"/>
      <c r="G71" s="176">
        <f>IFERROR(IF(AND(G$48-$C71&lt;$E$44,G$48&gt;=$C71),IF($C71&lt;$G$48,VLOOKUP($C71,Appendix!$B:$C,2),HLOOKUP(LEFT($G$28,LEN($G$28)-4)&amp;$C71,$28:$30,3))/$E$44,0),0)</f>
        <v>0</v>
      </c>
      <c r="H71" s="176">
        <f>IFERROR(IF(AND(H$48-$C71&lt;$E$44,H$48&gt;=$C71),IF($C71&lt;$G$48,VLOOKUP($C71,Appendix!$B:$C,2),HLOOKUP(LEFT($G$28,LEN($G$28)-4)&amp;$C71,$28:$30,3))/$E$44,0),0)</f>
        <v>0</v>
      </c>
      <c r="I71" s="176">
        <f>IFERROR(IF(AND(I$48-$C71&lt;$E$44,I$48&gt;=$C71),IF($C71&lt;$G$48,VLOOKUP($C71,Appendix!$B:$C,2),HLOOKUP(LEFT($G$28,LEN($G$28)-4)&amp;$C71,$28:$30,3))/$E$44,0),0)</f>
        <v>0</v>
      </c>
      <c r="J71" s="176">
        <f>IFERROR(IF(AND(J$48-$C71&lt;$E$44,J$48&gt;=$C71),IF($C71&lt;$G$48,VLOOKUP($C71,Appendix!$B:$C,2),HLOOKUP(LEFT($G$28,LEN($G$28)-4)&amp;$C71,$28:$30,3))/$E$44,0),0)</f>
        <v>0</v>
      </c>
      <c r="K71" s="176">
        <f>IFERROR(IF(AND(K$48-$C71&lt;$E$44,K$48&gt;=$C71),IF($C71&lt;$G$48,VLOOKUP($C71,Appendix!$B:$C,2),HLOOKUP(LEFT($G$28,LEN($G$28)-4)&amp;$C71,$28:$30,3))/$E$44,0),0)</f>
        <v>0</v>
      </c>
      <c r="L71" s="176">
        <f>IFERROR(IF(AND(L$48-$C71&lt;$E$44,L$48&gt;=$C71),IF($C71&lt;$G$48,VLOOKUP($C71,Appendix!$B:$C,2),HLOOKUP(LEFT($G$28,LEN($G$28)-4)&amp;$C71,$28:$30,3))/$E$44,0),0)</f>
        <v>0</v>
      </c>
      <c r="M71" s="176">
        <f>IFERROR(IF(AND(M$48-$C71&lt;$E$44,M$48&gt;=$C71),IF($C71&lt;$G$48,VLOOKUP($C71,Appendix!$B:$C,2),HLOOKUP(LEFT($G$28,LEN($G$28)-4)&amp;$C71,$28:$30,3))/$E$44,0),0)</f>
        <v>0</v>
      </c>
      <c r="N71" s="176">
        <f>IFERROR(IF(AND(N$48-$C71&lt;$E$44,N$48&gt;=$C71),IF($C71&lt;$G$48,VLOOKUP($C71,Appendix!$B:$C,2),HLOOKUP(LEFT($G$28,LEN($G$28)-4)&amp;$C71,$28:$30,3))/$E$44,0),0)</f>
        <v>0</v>
      </c>
      <c r="O71" s="176">
        <f>IFERROR(IF(AND(O$48-$C71&lt;$E$44,O$48&gt;=$C71),IF($C71&lt;$G$48,VLOOKUP($C71,Appendix!$B:$C,2),HLOOKUP(LEFT($G$28,LEN($G$28)-4)&amp;$C71,$28:$30,3))/$E$44,0),0)</f>
        <v>0</v>
      </c>
      <c r="P71" s="176">
        <f>IFERROR(IF(AND(P$48-$C71&lt;$E$44,P$48&gt;=$C71),IF($C71&lt;$G$48,VLOOKUP($C71,Appendix!$B:$C,2),HLOOKUP(LEFT($G$28,LEN($G$28)-4)&amp;$C71,$28:$30,3))/$E$44,0),0)</f>
        <v>0</v>
      </c>
      <c r="Q71" s="177"/>
      <c r="R71" s="177"/>
      <c r="S71" s="177"/>
      <c r="T71" s="177"/>
      <c r="U71" s="177"/>
      <c r="V71" s="177"/>
      <c r="W71" s="177"/>
      <c r="X71" s="178">
        <f>IF(C71&gt;=$G$48+LEFT(DCF!$D$2,LEN(DCF!$D$2)-1),0,SUM(G71:P71))</f>
        <v>0</v>
      </c>
      <c r="Y71" s="177"/>
      <c r="Z71" s="177"/>
      <c r="AA71" s="177"/>
      <c r="AB71" s="177"/>
    </row>
    <row r="72" spans="2:28" ht="19.95" hidden="1" customHeight="1">
      <c r="C72" s="83">
        <f t="shared" si="8"/>
        <v>2039</v>
      </c>
      <c r="D72" s="183"/>
      <c r="E72" s="183"/>
      <c r="F72" s="183"/>
      <c r="G72" s="176">
        <f>IFERROR(IF(AND(G$48-$C72&lt;$E$44,G$48&gt;=$C72),IF($C72&lt;$G$48,VLOOKUP($C72,Appendix!$B:$C,2),HLOOKUP(LEFT($G$28,LEN($G$28)-4)&amp;$C72,$28:$30,3))/$E$44,0),0)</f>
        <v>0</v>
      </c>
      <c r="H72" s="176">
        <f>IFERROR(IF(AND(H$48-$C72&lt;$E$44,H$48&gt;=$C72),IF($C72&lt;$G$48,VLOOKUP($C72,Appendix!$B:$C,2),HLOOKUP(LEFT($G$28,LEN($G$28)-4)&amp;$C72,$28:$30,3))/$E$44,0),0)</f>
        <v>0</v>
      </c>
      <c r="I72" s="176">
        <f>IFERROR(IF(AND(I$48-$C72&lt;$E$44,I$48&gt;=$C72),IF($C72&lt;$G$48,VLOOKUP($C72,Appendix!$B:$C,2),HLOOKUP(LEFT($G$28,LEN($G$28)-4)&amp;$C72,$28:$30,3))/$E$44,0),0)</f>
        <v>0</v>
      </c>
      <c r="J72" s="176">
        <f>IFERROR(IF(AND(J$48-$C72&lt;$E$44,J$48&gt;=$C72),IF($C72&lt;$G$48,VLOOKUP($C72,Appendix!$B:$C,2),HLOOKUP(LEFT($G$28,LEN($G$28)-4)&amp;$C72,$28:$30,3))/$E$44,0),0)</f>
        <v>0</v>
      </c>
      <c r="K72" s="176">
        <f>IFERROR(IF(AND(K$48-$C72&lt;$E$44,K$48&gt;=$C72),IF($C72&lt;$G$48,VLOOKUP($C72,Appendix!$B:$C,2),HLOOKUP(LEFT($G$28,LEN($G$28)-4)&amp;$C72,$28:$30,3))/$E$44,0),0)</f>
        <v>0</v>
      </c>
      <c r="L72" s="176">
        <f>IFERROR(IF(AND(L$48-$C72&lt;$E$44,L$48&gt;=$C72),IF($C72&lt;$G$48,VLOOKUP($C72,Appendix!$B:$C,2),HLOOKUP(LEFT($G$28,LEN($G$28)-4)&amp;$C72,$28:$30,3))/$E$44,0),0)</f>
        <v>0</v>
      </c>
      <c r="M72" s="176">
        <f>IFERROR(IF(AND(M$48-$C72&lt;$E$44,M$48&gt;=$C72),IF($C72&lt;$G$48,VLOOKUP($C72,Appendix!$B:$C,2),HLOOKUP(LEFT($G$28,LEN($G$28)-4)&amp;$C72,$28:$30,3))/$E$44,0),0)</f>
        <v>0</v>
      </c>
      <c r="N72" s="176">
        <f>IFERROR(IF(AND(N$48-$C72&lt;$E$44,N$48&gt;=$C72),IF($C72&lt;$G$48,VLOOKUP($C72,Appendix!$B:$C,2),HLOOKUP(LEFT($G$28,LEN($G$28)-4)&amp;$C72,$28:$30,3))/$E$44,0),0)</f>
        <v>0</v>
      </c>
      <c r="O72" s="176">
        <f>IFERROR(IF(AND(O$48-$C72&lt;$E$44,O$48&gt;=$C72),IF($C72&lt;$G$48,VLOOKUP($C72,Appendix!$B:$C,2),HLOOKUP(LEFT($G$28,LEN($G$28)-4)&amp;$C72,$28:$30,3))/$E$44,0),0)</f>
        <v>0</v>
      </c>
      <c r="P72" s="176">
        <f>IFERROR(IF(AND(P$48-$C72&lt;$E$44,P$48&gt;=$C72),IF($C72&lt;$G$48,VLOOKUP($C72,Appendix!$B:$C,2),HLOOKUP(LEFT($G$28,LEN($G$28)-4)&amp;$C72,$28:$30,3))/$E$44,0),0)</f>
        <v>0</v>
      </c>
      <c r="Q72" s="177"/>
      <c r="R72" s="177"/>
      <c r="S72" s="177"/>
      <c r="T72" s="177"/>
      <c r="U72" s="177"/>
      <c r="V72" s="177"/>
      <c r="W72" s="177"/>
      <c r="X72" s="178">
        <f>IF(C72&gt;=$G$48+LEFT(DCF!$D$2,LEN(DCF!$D$2)-1),0,SUM(G72:P72))</f>
        <v>0</v>
      </c>
      <c r="Y72" s="177"/>
      <c r="Z72" s="177"/>
      <c r="AA72" s="177"/>
      <c r="AB72" s="177"/>
    </row>
    <row r="73" spans="2:28" ht="19.95" hidden="1" customHeight="1">
      <c r="C73" s="179">
        <f t="shared" si="8"/>
        <v>2040</v>
      </c>
      <c r="D73" s="184"/>
      <c r="E73" s="184"/>
      <c r="F73" s="184"/>
      <c r="G73" s="176">
        <f>IFERROR(IF(AND(G$48-$C73&lt;$E$44,G$48&gt;=$C73),IF($C73&lt;$G$48,VLOOKUP($C73,Appendix!$B:$C,2),HLOOKUP(LEFT($G$28,LEN($G$28)-4)&amp;$C73,$28:$30,3))/$E$44,0),0)</f>
        <v>0</v>
      </c>
      <c r="H73" s="176">
        <f>IFERROR(IF(AND(H$48-$C73&lt;$E$44,H$48&gt;=$C73),IF($C73&lt;$G$48,VLOOKUP($C73,Appendix!$B:$C,2),HLOOKUP(LEFT($G$28,LEN($G$28)-4)&amp;$C73,$28:$30,3))/$E$44,0),0)</f>
        <v>0</v>
      </c>
      <c r="I73" s="176">
        <f>IFERROR(IF(AND(I$48-$C73&lt;$E$44,I$48&gt;=$C73),IF($C73&lt;$G$48,VLOOKUP($C73,Appendix!$B:$C,2),HLOOKUP(LEFT($G$28,LEN($G$28)-4)&amp;$C73,$28:$30,3))/$E$44,0),0)</f>
        <v>0</v>
      </c>
      <c r="J73" s="176">
        <f>IFERROR(IF(AND(J$48-$C73&lt;$E$44,J$48&gt;=$C73),IF($C73&lt;$G$48,VLOOKUP($C73,Appendix!$B:$C,2),HLOOKUP(LEFT($G$28,LEN($G$28)-4)&amp;$C73,$28:$30,3))/$E$44,0),0)</f>
        <v>0</v>
      </c>
      <c r="K73" s="176">
        <f>IFERROR(IF(AND(K$48-$C73&lt;$E$44,K$48&gt;=$C73),IF($C73&lt;$G$48,VLOOKUP($C73,Appendix!$B:$C,2),HLOOKUP(LEFT($G$28,LEN($G$28)-4)&amp;$C73,$28:$30,3))/$E$44,0),0)</f>
        <v>0</v>
      </c>
      <c r="L73" s="176">
        <f>IFERROR(IF(AND(L$48-$C73&lt;$E$44,L$48&gt;=$C73),IF($C73&lt;$G$48,VLOOKUP($C73,Appendix!$B:$C,2),HLOOKUP(LEFT($G$28,LEN($G$28)-4)&amp;$C73,$28:$30,3))/$E$44,0),0)</f>
        <v>0</v>
      </c>
      <c r="M73" s="176">
        <f>IFERROR(IF(AND(M$48-$C73&lt;$E$44,M$48&gt;=$C73),IF($C73&lt;$G$48,VLOOKUP($C73,Appendix!$B:$C,2),HLOOKUP(LEFT($G$28,LEN($G$28)-4)&amp;$C73,$28:$30,3))/$E$44,0),0)</f>
        <v>0</v>
      </c>
      <c r="N73" s="176">
        <f>IFERROR(IF(AND(N$48-$C73&lt;$E$44,N$48&gt;=$C73),IF($C73&lt;$G$48,VLOOKUP($C73,Appendix!$B:$C,2),HLOOKUP(LEFT($G$28,LEN($G$28)-4)&amp;$C73,$28:$30,3))/$E$44,0),0)</f>
        <v>0</v>
      </c>
      <c r="O73" s="176">
        <f>IFERROR(IF(AND(O$48-$C73&lt;$E$44,O$48&gt;=$C73),IF($C73&lt;$G$48,VLOOKUP($C73,Appendix!$B:$C,2),HLOOKUP(LEFT($G$28,LEN($G$28)-4)&amp;$C73,$28:$30,3))/$E$44,0),0)</f>
        <v>0</v>
      </c>
      <c r="P73" s="176">
        <f>IFERROR(IF(AND(P$48-$C73&lt;$E$44,P$48&gt;=$C73),IF($C73&lt;$G$48,VLOOKUP($C73,Appendix!$B:$C,2),HLOOKUP(LEFT($G$28,LEN($G$28)-4)&amp;$C73,$28:$30,3))/$E$44,0),0)</f>
        <v>0</v>
      </c>
      <c r="Q73" s="177"/>
      <c r="R73" s="177"/>
      <c r="S73" s="177"/>
      <c r="T73" s="177"/>
      <c r="U73" s="177"/>
      <c r="V73" s="177"/>
      <c r="W73" s="177"/>
      <c r="X73" s="178">
        <f>IF(C73&gt;=$G$48+LEFT(DCF!$D$2,LEN(DCF!$D$2)-1),0,SUM(G73:P73))</f>
        <v>0</v>
      </c>
      <c r="Y73" s="177"/>
      <c r="Z73" s="177"/>
      <c r="AA73" s="177"/>
      <c r="AB73" s="177"/>
    </row>
    <row r="74" spans="2:28" ht="19.95" hidden="1" customHeight="1">
      <c r="C74" s="83">
        <f t="shared" si="8"/>
        <v>2041</v>
      </c>
      <c r="D74" s="184"/>
      <c r="E74" s="184"/>
      <c r="F74" s="184"/>
      <c r="G74" s="176">
        <f>IFERROR(IF(AND(G$48-$C74&lt;$E$44,G$48&gt;=$C74),IF($C74&lt;$G$48,VLOOKUP($C74,Appendix!$B:$C,2),HLOOKUP(LEFT($G$28,LEN($G$28)-4)&amp;$C74,$28:$30,3))/$E$44,0),0)</f>
        <v>0</v>
      </c>
      <c r="H74" s="176">
        <f>IFERROR(IF(AND(H$48-$C74&lt;$E$44,H$48&gt;=$C74),IF($C74&lt;$G$48,VLOOKUP($C74,Appendix!$B:$C,2),HLOOKUP(LEFT($G$28,LEN($G$28)-4)&amp;$C74,$28:$30,3))/$E$44,0),0)</f>
        <v>0</v>
      </c>
      <c r="I74" s="176">
        <f>IFERROR(IF(AND(I$48-$C74&lt;$E$44,I$48&gt;=$C74),IF($C74&lt;$G$48,VLOOKUP($C74,Appendix!$B:$C,2),HLOOKUP(LEFT($G$28,LEN($G$28)-4)&amp;$C74,$28:$30,3))/$E$44,0),0)</f>
        <v>0</v>
      </c>
      <c r="J74" s="176">
        <f>IFERROR(IF(AND(J$48-$C74&lt;$E$44,J$48&gt;=$C74),IF($C74&lt;$G$48,VLOOKUP($C74,Appendix!$B:$C,2),HLOOKUP(LEFT($G$28,LEN($G$28)-4)&amp;$C74,$28:$30,3))/$E$44,0),0)</f>
        <v>0</v>
      </c>
      <c r="K74" s="176">
        <f>IFERROR(IF(AND(K$48-$C74&lt;$E$44,K$48&gt;=$C74),IF($C74&lt;$G$48,VLOOKUP($C74,Appendix!$B:$C,2),HLOOKUP(LEFT($G$28,LEN($G$28)-4)&amp;$C74,$28:$30,3))/$E$44,0),0)</f>
        <v>0</v>
      </c>
      <c r="L74" s="176">
        <f>IFERROR(IF(AND(L$48-$C74&lt;$E$44,L$48&gt;=$C74),IF($C74&lt;$G$48,VLOOKUP($C74,Appendix!$B:$C,2),HLOOKUP(LEFT($G$28,LEN($G$28)-4)&amp;$C74,$28:$30,3))/$E$44,0),0)</f>
        <v>0</v>
      </c>
      <c r="M74" s="176">
        <f>IFERROR(IF(AND(M$48-$C74&lt;$E$44,M$48&gt;=$C74),IF($C74&lt;$G$48,VLOOKUP($C74,Appendix!$B:$C,2),HLOOKUP(LEFT($G$28,LEN($G$28)-4)&amp;$C74,$28:$30,3))/$E$44,0),0)</f>
        <v>0</v>
      </c>
      <c r="N74" s="176">
        <f>IFERROR(IF(AND(N$48-$C74&lt;$E$44,N$48&gt;=$C74),IF($C74&lt;$G$48,VLOOKUP($C74,Appendix!$B:$C,2),HLOOKUP(LEFT($G$28,LEN($G$28)-4)&amp;$C74,$28:$30,3))/$E$44,0),0)</f>
        <v>0</v>
      </c>
      <c r="O74" s="176">
        <f>IFERROR(IF(AND(O$48-$C74&lt;$E$44,O$48&gt;=$C74),IF($C74&lt;$G$48,VLOOKUP($C74,Appendix!$B:$C,2),HLOOKUP(LEFT($G$28,LEN($G$28)-4)&amp;$C74,$28:$30,3))/$E$44,0),0)</f>
        <v>0</v>
      </c>
      <c r="P74" s="176">
        <f>IFERROR(IF(AND(P$48-$C74&lt;$E$44,P$48&gt;=$C74),IF($C74&lt;$G$48,VLOOKUP($C74,Appendix!$B:$C,2),HLOOKUP(LEFT($G$28,LEN($G$28)-4)&amp;$C74,$28:$30,3))/$E$44,0),0)</f>
        <v>0</v>
      </c>
      <c r="Q74" s="177"/>
      <c r="R74" s="177"/>
      <c r="S74" s="177"/>
      <c r="T74" s="177"/>
      <c r="U74" s="177"/>
      <c r="V74" s="177"/>
      <c r="W74" s="177"/>
      <c r="X74" s="178">
        <f>IF(C74&gt;=$G$48+LEFT(DCF!$D$2,LEN(DCF!$D$2)-1),0,SUM(G74:P74))</f>
        <v>0</v>
      </c>
      <c r="Y74" s="177"/>
      <c r="Z74" s="177"/>
      <c r="AA74" s="177"/>
      <c r="AB74" s="177"/>
    </row>
    <row r="75" spans="2:28" ht="19.95" hidden="1" customHeight="1">
      <c r="C75" s="179">
        <f t="shared" si="8"/>
        <v>2042</v>
      </c>
      <c r="D75" s="184"/>
      <c r="E75" s="184"/>
      <c r="F75" s="184"/>
      <c r="G75" s="176">
        <f>IFERROR(IF(AND(G$48-$C75&lt;$E$44,G$48&gt;=$C75),IF($C75&lt;$G$48,VLOOKUP($C75,Appendix!$B:$C,2),HLOOKUP(LEFT($G$28,LEN($G$28)-4)&amp;$C75,$28:$30,3))/$E$44,0),0)</f>
        <v>0</v>
      </c>
      <c r="H75" s="176">
        <f>IFERROR(IF(AND(H$48-$C75&lt;$E$44,H$48&gt;=$C75),IF($C75&lt;$G$48,VLOOKUP($C75,Appendix!$B:$C,2),HLOOKUP(LEFT($G$28,LEN($G$28)-4)&amp;$C75,$28:$30,3))/$E$44,0),0)</f>
        <v>0</v>
      </c>
      <c r="I75" s="176">
        <f>IFERROR(IF(AND(I$48-$C75&lt;$E$44,I$48&gt;=$C75),IF($C75&lt;$G$48,VLOOKUP($C75,Appendix!$B:$C,2),HLOOKUP(LEFT($G$28,LEN($G$28)-4)&amp;$C75,$28:$30,3))/$E$44,0),0)</f>
        <v>0</v>
      </c>
      <c r="J75" s="176">
        <f>IFERROR(IF(AND(J$48-$C75&lt;$E$44,J$48&gt;=$C75),IF($C75&lt;$G$48,VLOOKUP($C75,Appendix!$B:$C,2),HLOOKUP(LEFT($G$28,LEN($G$28)-4)&amp;$C75,$28:$30,3))/$E$44,0),0)</f>
        <v>0</v>
      </c>
      <c r="K75" s="176">
        <f>IFERROR(IF(AND(K$48-$C75&lt;$E$44,K$48&gt;=$C75),IF($C75&lt;$G$48,VLOOKUP($C75,Appendix!$B:$C,2),HLOOKUP(LEFT($G$28,LEN($G$28)-4)&amp;$C75,$28:$30,3))/$E$44,0),0)</f>
        <v>0</v>
      </c>
      <c r="L75" s="176">
        <f>IFERROR(IF(AND(L$48-$C75&lt;$E$44,L$48&gt;=$C75),IF($C75&lt;$G$48,VLOOKUP($C75,Appendix!$B:$C,2),HLOOKUP(LEFT($G$28,LEN($G$28)-4)&amp;$C75,$28:$30,3))/$E$44,0),0)</f>
        <v>0</v>
      </c>
      <c r="M75" s="176">
        <f>IFERROR(IF(AND(M$48-$C75&lt;$E$44,M$48&gt;=$C75),IF($C75&lt;$G$48,VLOOKUP($C75,Appendix!$B:$C,2),HLOOKUP(LEFT($G$28,LEN($G$28)-4)&amp;$C75,$28:$30,3))/$E$44,0),0)</f>
        <v>0</v>
      </c>
      <c r="N75" s="176">
        <f>IFERROR(IF(AND(N$48-$C75&lt;$E$44,N$48&gt;=$C75),IF($C75&lt;$G$48,VLOOKUP($C75,Appendix!$B:$C,2),HLOOKUP(LEFT($G$28,LEN($G$28)-4)&amp;$C75,$28:$30,3))/$E$44,0),0)</f>
        <v>0</v>
      </c>
      <c r="O75" s="176">
        <f>IFERROR(IF(AND(O$48-$C75&lt;$E$44,O$48&gt;=$C75),IF($C75&lt;$G$48,VLOOKUP($C75,Appendix!$B:$C,2),HLOOKUP(LEFT($G$28,LEN($G$28)-4)&amp;$C75,$28:$30,3))/$E$44,0),0)</f>
        <v>0</v>
      </c>
      <c r="P75" s="176">
        <f>IFERROR(IF(AND(P$48-$C75&lt;$E$44,P$48&gt;=$C75),IF($C75&lt;$G$48,VLOOKUP($C75,Appendix!$B:$C,2),HLOOKUP(LEFT($G$28,LEN($G$28)-4)&amp;$C75,$28:$30,3))/$E$44,0),0)</f>
        <v>0</v>
      </c>
      <c r="Q75" s="177"/>
      <c r="R75" s="177"/>
      <c r="S75" s="177"/>
      <c r="T75" s="177"/>
      <c r="U75" s="177"/>
      <c r="V75" s="177"/>
      <c r="W75" s="177"/>
      <c r="X75" s="178">
        <f>IF(C75&gt;=$G$48+LEFT(DCF!$D$2,LEN(DCF!$D$2)-1),0,SUM(G75:P75))</f>
        <v>0</v>
      </c>
      <c r="Y75" s="177"/>
      <c r="Z75" s="177"/>
      <c r="AA75" s="177"/>
      <c r="AB75" s="177"/>
    </row>
    <row r="76" spans="2:28" ht="19.95" hidden="1" customHeight="1">
      <c r="C76" s="83">
        <f t="shared" si="8"/>
        <v>2043</v>
      </c>
      <c r="D76" s="184"/>
      <c r="E76" s="184"/>
      <c r="F76" s="184"/>
      <c r="G76" s="176">
        <f>IFERROR(IF(AND(G$48-$C76&lt;$E$44,G$48&gt;=$C76),IF($C76&lt;$G$48,VLOOKUP($C76,Appendix!$B:$C,2),HLOOKUP(LEFT($G$28,LEN($G$28)-4)&amp;$C76,$28:$30,3))/$E$44,0),0)</f>
        <v>0</v>
      </c>
      <c r="H76" s="176">
        <f>IFERROR(IF(AND(H$48-$C76&lt;$E$44,H$48&gt;=$C76),IF($C76&lt;$G$48,VLOOKUP($C76,Appendix!$B:$C,2),HLOOKUP(LEFT($G$28,LEN($G$28)-4)&amp;$C76,$28:$30,3))/$E$44,0),0)</f>
        <v>0</v>
      </c>
      <c r="I76" s="176">
        <f>IFERROR(IF(AND(I$48-$C76&lt;$E$44,I$48&gt;=$C76),IF($C76&lt;$G$48,VLOOKUP($C76,Appendix!$B:$C,2),HLOOKUP(LEFT($G$28,LEN($G$28)-4)&amp;$C76,$28:$30,3))/$E$44,0),0)</f>
        <v>0</v>
      </c>
      <c r="J76" s="176">
        <f>IFERROR(IF(AND(J$48-$C76&lt;$E$44,J$48&gt;=$C76),IF($C76&lt;$G$48,VLOOKUP($C76,Appendix!$B:$C,2),HLOOKUP(LEFT($G$28,LEN($G$28)-4)&amp;$C76,$28:$30,3))/$E$44,0),0)</f>
        <v>0</v>
      </c>
      <c r="K76" s="176">
        <f>IFERROR(IF(AND(K$48-$C76&lt;$E$44,K$48&gt;=$C76),IF($C76&lt;$G$48,VLOOKUP($C76,Appendix!$B:$C,2),HLOOKUP(LEFT($G$28,LEN($G$28)-4)&amp;$C76,$28:$30,3))/$E$44,0),0)</f>
        <v>0</v>
      </c>
      <c r="L76" s="176">
        <f>IFERROR(IF(AND(L$48-$C76&lt;$E$44,L$48&gt;=$C76),IF($C76&lt;$G$48,VLOOKUP($C76,Appendix!$B:$C,2),HLOOKUP(LEFT($G$28,LEN($G$28)-4)&amp;$C76,$28:$30,3))/$E$44,0),0)</f>
        <v>0</v>
      </c>
      <c r="M76" s="176">
        <f>IFERROR(IF(AND(M$48-$C76&lt;$E$44,M$48&gt;=$C76),IF($C76&lt;$G$48,VLOOKUP($C76,Appendix!$B:$C,2),HLOOKUP(LEFT($G$28,LEN($G$28)-4)&amp;$C76,$28:$30,3))/$E$44,0),0)</f>
        <v>0</v>
      </c>
      <c r="N76" s="176">
        <f>IFERROR(IF(AND(N$48-$C76&lt;$E$44,N$48&gt;=$C76),IF($C76&lt;$G$48,VLOOKUP($C76,Appendix!$B:$C,2),HLOOKUP(LEFT($G$28,LEN($G$28)-4)&amp;$C76,$28:$30,3))/$E$44,0),0)</f>
        <v>0</v>
      </c>
      <c r="O76" s="176">
        <f>IFERROR(IF(AND(O$48-$C76&lt;$E$44,O$48&gt;=$C76),IF($C76&lt;$G$48,VLOOKUP($C76,Appendix!$B:$C,2),HLOOKUP(LEFT($G$28,LEN($G$28)-4)&amp;$C76,$28:$30,3))/$E$44,0),0)</f>
        <v>0</v>
      </c>
      <c r="P76" s="176">
        <f>IFERROR(IF(AND(P$48-$C76&lt;$E$44,P$48&gt;=$C76),IF($C76&lt;$G$48,VLOOKUP($C76,Appendix!$B:$C,2),HLOOKUP(LEFT($G$28,LEN($G$28)-4)&amp;$C76,$28:$30,3))/$E$44,0),0)</f>
        <v>0</v>
      </c>
      <c r="Q76" s="177"/>
      <c r="R76" s="177"/>
      <c r="S76" s="177"/>
      <c r="T76" s="177"/>
      <c r="U76" s="177"/>
      <c r="V76" s="177"/>
      <c r="W76" s="177"/>
      <c r="X76" s="178">
        <f>IF(C76&gt;=$G$48+LEFT(DCF!$D$2,LEN(DCF!$D$2)-1),0,SUM(G76:P76))</f>
        <v>0</v>
      </c>
      <c r="Y76" s="177"/>
      <c r="Z76" s="177"/>
      <c r="AA76" s="177"/>
      <c r="AB76" s="177"/>
    </row>
    <row r="77" spans="2:28" ht="19.95" hidden="1" customHeight="1">
      <c r="C77" s="179">
        <f t="shared" si="8"/>
        <v>2044</v>
      </c>
      <c r="D77" s="184"/>
      <c r="E77" s="184"/>
      <c r="F77" s="184"/>
      <c r="G77" s="176">
        <f>IFERROR(IF(AND(G$48-$C77&lt;$E$44,G$48&gt;=$C77),IF($C77&lt;$G$48,VLOOKUP($C77,Appendix!$B:$C,2),HLOOKUP(LEFT($G$28,LEN($G$28)-4)&amp;$C77,$28:$30,3))/$E$44,0),0)</f>
        <v>0</v>
      </c>
      <c r="H77" s="176">
        <f>IFERROR(IF(AND(H$48-$C77&lt;$E$44,H$48&gt;=$C77),IF($C77&lt;$G$48,VLOOKUP($C77,Appendix!$B:$C,2),HLOOKUP(LEFT($G$28,LEN($G$28)-4)&amp;$C77,$28:$30,3))/$E$44,0),0)</f>
        <v>0</v>
      </c>
      <c r="I77" s="176">
        <f>IFERROR(IF(AND(I$48-$C77&lt;$E$44,I$48&gt;=$C77),IF($C77&lt;$G$48,VLOOKUP($C77,Appendix!$B:$C,2),HLOOKUP(LEFT($G$28,LEN($G$28)-4)&amp;$C77,$28:$30,3))/$E$44,0),0)</f>
        <v>0</v>
      </c>
      <c r="J77" s="176">
        <f>IFERROR(IF(AND(J$48-$C77&lt;$E$44,J$48&gt;=$C77),IF($C77&lt;$G$48,VLOOKUP($C77,Appendix!$B:$C,2),HLOOKUP(LEFT($G$28,LEN($G$28)-4)&amp;$C77,$28:$30,3))/$E$44,0),0)</f>
        <v>0</v>
      </c>
      <c r="K77" s="176">
        <f>IFERROR(IF(AND(K$48-$C77&lt;$E$44,K$48&gt;=$C77),IF($C77&lt;$G$48,VLOOKUP($C77,Appendix!$B:$C,2),HLOOKUP(LEFT($G$28,LEN($G$28)-4)&amp;$C77,$28:$30,3))/$E$44,0),0)</f>
        <v>0</v>
      </c>
      <c r="L77" s="176">
        <f>IFERROR(IF(AND(L$48-$C77&lt;$E$44,L$48&gt;=$C77),IF($C77&lt;$G$48,VLOOKUP($C77,Appendix!$B:$C,2),HLOOKUP(LEFT($G$28,LEN($G$28)-4)&amp;$C77,$28:$30,3))/$E$44,0),0)</f>
        <v>0</v>
      </c>
      <c r="M77" s="176">
        <f>IFERROR(IF(AND(M$48-$C77&lt;$E$44,M$48&gt;=$C77),IF($C77&lt;$G$48,VLOOKUP($C77,Appendix!$B:$C,2),HLOOKUP(LEFT($G$28,LEN($G$28)-4)&amp;$C77,$28:$30,3))/$E$44,0),0)</f>
        <v>0</v>
      </c>
      <c r="N77" s="176">
        <f>IFERROR(IF(AND(N$48-$C77&lt;$E$44,N$48&gt;=$C77),IF($C77&lt;$G$48,VLOOKUP($C77,Appendix!$B:$C,2),HLOOKUP(LEFT($G$28,LEN($G$28)-4)&amp;$C77,$28:$30,3))/$E$44,0),0)</f>
        <v>0</v>
      </c>
      <c r="O77" s="176">
        <f>IFERROR(IF(AND(O$48-$C77&lt;$E$44,O$48&gt;=$C77),IF($C77&lt;$G$48,VLOOKUP($C77,Appendix!$B:$C,2),HLOOKUP(LEFT($G$28,LEN($G$28)-4)&amp;$C77,$28:$30,3))/$E$44,0),0)</f>
        <v>0</v>
      </c>
      <c r="P77" s="176">
        <f>IFERROR(IF(AND(P$48-$C77&lt;$E$44,P$48&gt;=$C77),IF($C77&lt;$G$48,VLOOKUP($C77,Appendix!$B:$C,2),HLOOKUP(LEFT($G$28,LEN($G$28)-4)&amp;$C77,$28:$30,3))/$E$44,0),0)</f>
        <v>0</v>
      </c>
      <c r="Q77" s="177"/>
      <c r="R77" s="177"/>
      <c r="S77" s="177"/>
      <c r="T77" s="177"/>
      <c r="U77" s="177"/>
      <c r="V77" s="177"/>
      <c r="W77" s="177"/>
      <c r="X77" s="178">
        <f>IF(C77&gt;=$G$48+LEFT(DCF!$D$2,LEN(DCF!$D$2)-1),0,SUM(G77:P77))</f>
        <v>0</v>
      </c>
      <c r="Y77" s="177"/>
      <c r="Z77" s="177"/>
      <c r="AA77" s="177"/>
      <c r="AB77" s="177"/>
    </row>
    <row r="78" spans="2:28" ht="19.95" hidden="1" customHeight="1">
      <c r="C78" s="83">
        <f t="shared" si="8"/>
        <v>2045</v>
      </c>
      <c r="D78" s="7"/>
      <c r="E78" s="7"/>
      <c r="F78" s="7"/>
      <c r="G78" s="185">
        <f>IFERROR(IF(AND(G$48-$C78&lt;$E$44,G$48&gt;=$C78),IF($C78&lt;$G$48,VLOOKUP($C78,Appendix!$B:$C,2),HLOOKUP(LEFT($G$28,LEN($G$28)-4)&amp;$C78,$28:$30,3))/$E$44,0),0)</f>
        <v>0</v>
      </c>
      <c r="H78" s="185">
        <f>IFERROR(IF(AND(H$48-$C78&lt;$E$44,H$48&gt;=$C78),IF($C78&lt;$G$48,VLOOKUP($C78,Appendix!$B:$C,2),HLOOKUP(LEFT($G$28,LEN($G$28)-4)&amp;$C78,$28:$30,3))/$E$44,0),0)</f>
        <v>0</v>
      </c>
      <c r="I78" s="185">
        <f>IFERROR(IF(AND(I$48-$C78&lt;$E$44,I$48&gt;=$C78),IF($C78&lt;$G$48,VLOOKUP($C78,Appendix!$B:$C,2),HLOOKUP(LEFT($G$28,LEN($G$28)-4)&amp;$C78,$28:$30,3))/$E$44,0),0)</f>
        <v>0</v>
      </c>
      <c r="J78" s="185">
        <f>IFERROR(IF(AND(J$48-$C78&lt;$E$44,J$48&gt;=$C78),IF($C78&lt;$G$48,VLOOKUP($C78,Appendix!$B:$C,2),HLOOKUP(LEFT($G$28,LEN($G$28)-4)&amp;$C78,$28:$30,3))/$E$44,0),0)</f>
        <v>0</v>
      </c>
      <c r="K78" s="185">
        <f>IFERROR(IF(AND(K$48-$C78&lt;$E$44,K$48&gt;=$C78),IF($C78&lt;$G$48,VLOOKUP($C78,Appendix!$B:$C,2),HLOOKUP(LEFT($G$28,LEN($G$28)-4)&amp;$C78,$28:$30,3))/$E$44,0),0)</f>
        <v>0</v>
      </c>
      <c r="L78" s="185">
        <f>IFERROR(IF(AND(L$48-$C78&lt;$E$44,L$48&gt;=$C78),IF($C78&lt;$G$48,VLOOKUP($C78,Appendix!$B:$C,2),HLOOKUP(LEFT($G$28,LEN($G$28)-4)&amp;$C78,$28:$30,3))/$E$44,0),0)</f>
        <v>0</v>
      </c>
      <c r="M78" s="185">
        <f>IFERROR(IF(AND(M$48-$C78&lt;$E$44,M$48&gt;=$C78),IF($C78&lt;$G$48,VLOOKUP($C78,Appendix!$B:$C,2),HLOOKUP(LEFT($G$28,LEN($G$28)-4)&amp;$C78,$28:$30,3))/$E$44,0),0)</f>
        <v>0</v>
      </c>
      <c r="N78" s="185">
        <f>IFERROR(IF(AND(N$48-$C78&lt;$E$44,N$48&gt;=$C78),IF($C78&lt;$G$48,VLOOKUP($C78,Appendix!$B:$C,2),HLOOKUP(LEFT($G$28,LEN($G$28)-4)&amp;$C78,$28:$30,3))/$E$44,0),0)</f>
        <v>0</v>
      </c>
      <c r="O78" s="185">
        <f>IFERROR(IF(AND(O$48-$C78&lt;$E$44,O$48&gt;=$C78),IF($C78&lt;$G$48,VLOOKUP($C78,Appendix!$B:$C,2),HLOOKUP(LEFT($G$28,LEN($G$28)-4)&amp;$C78,$28:$30,3))/$E$44,0),0)</f>
        <v>0</v>
      </c>
      <c r="P78" s="185">
        <f>IFERROR(IF(AND(P$48-$C78&lt;$E$44,P$48&gt;=$C78),IF($C78&lt;$G$48,VLOOKUP($C78,Appendix!$B:$C,2),HLOOKUP(LEFT($G$28,LEN($G$28)-4)&amp;$C78,$28:$30,3))/$E$44,0),0)</f>
        <v>0</v>
      </c>
      <c r="Q78" s="177"/>
      <c r="R78" s="177"/>
      <c r="S78" s="177"/>
      <c r="T78" s="177"/>
      <c r="U78" s="177"/>
      <c r="V78" s="177"/>
      <c r="W78" s="177"/>
      <c r="X78" s="178">
        <f>IF(C78&gt;=$G$48+LEFT(DCF!$D$2,LEN(DCF!$D$2)-1),0,SUM(G78:P78))</f>
        <v>0</v>
      </c>
      <c r="Y78" s="177"/>
      <c r="Z78" s="177"/>
      <c r="AA78" s="177"/>
      <c r="AB78" s="177"/>
    </row>
    <row r="79" spans="2:28" ht="19.95" customHeight="1"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307"/>
      <c r="R79" s="307"/>
      <c r="S79" s="307"/>
      <c r="T79" s="307"/>
      <c r="U79" s="307"/>
      <c r="V79" s="307"/>
      <c r="W79" s="307"/>
      <c r="X79" s="141"/>
      <c r="Y79" s="307"/>
      <c r="Z79" s="307"/>
      <c r="AA79" s="307"/>
      <c r="AB79" s="307"/>
    </row>
    <row r="80" spans="2:28" ht="19.95" customHeight="1">
      <c r="C80" s="39" t="s">
        <v>51</v>
      </c>
      <c r="D80" s="186"/>
      <c r="E80" s="186"/>
      <c r="F80" s="186"/>
      <c r="G80" s="187">
        <f t="shared" ref="G80:P80" si="9">SUM(G50:G78)</f>
        <v>3140.1110435249684</v>
      </c>
      <c r="H80" s="187">
        <f t="shared" si="9"/>
        <v>3301.0403079204361</v>
      </c>
      <c r="I80" s="187">
        <f t="shared" si="9"/>
        <v>3368.6834588993938</v>
      </c>
      <c r="J80" s="187">
        <f t="shared" si="9"/>
        <v>3441.5812247735439</v>
      </c>
      <c r="K80" s="187">
        <f t="shared" si="9"/>
        <v>3495.2900143908118</v>
      </c>
      <c r="L80" s="187">
        <f t="shared" si="9"/>
        <v>3600.1019362754582</v>
      </c>
      <c r="M80" s="187">
        <f t="shared" si="9"/>
        <v>3731.9143544518433</v>
      </c>
      <c r="N80" s="187">
        <f t="shared" si="9"/>
        <v>3871.1281822719375</v>
      </c>
      <c r="O80" s="187">
        <f t="shared" si="9"/>
        <v>4005.7502743548498</v>
      </c>
      <c r="P80" s="187">
        <f t="shared" si="9"/>
        <v>4124.8157398537842</v>
      </c>
      <c r="Q80" s="307"/>
      <c r="R80" s="307"/>
      <c r="S80" s="307"/>
      <c r="T80" s="307"/>
      <c r="U80" s="307"/>
      <c r="V80" s="307"/>
      <c r="W80" s="307"/>
      <c r="X80" s="141"/>
      <c r="Y80" s="307"/>
      <c r="Z80" s="307"/>
      <c r="AA80" s="307"/>
      <c r="AB80" s="307"/>
    </row>
    <row r="81" spans="1:28" ht="19.95" customHeight="1"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307"/>
      <c r="R81" s="307"/>
      <c r="S81" s="307"/>
      <c r="T81" s="307"/>
      <c r="U81" s="307"/>
      <c r="V81" s="307"/>
      <c r="W81" s="307"/>
      <c r="X81" s="141"/>
      <c r="Y81" s="307"/>
      <c r="Z81" s="307"/>
      <c r="AA81" s="307"/>
      <c r="AB81" s="307"/>
    </row>
    <row r="82" spans="1:28" ht="17.399999999999999"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307"/>
      <c r="R82" s="307"/>
      <c r="S82" s="307"/>
      <c r="T82" s="307"/>
      <c r="U82" s="307"/>
      <c r="V82" s="307"/>
      <c r="W82" s="307"/>
      <c r="X82" s="141"/>
      <c r="Y82" s="307"/>
      <c r="Z82" s="307"/>
      <c r="AA82" s="307"/>
      <c r="AB82" s="307"/>
    </row>
    <row r="83" spans="1:28" ht="17.399999999999999"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307"/>
      <c r="R83" s="307"/>
      <c r="S83" s="307"/>
      <c r="T83" s="307"/>
      <c r="U83" s="307"/>
      <c r="V83" s="307"/>
      <c r="W83" s="307"/>
      <c r="X83" s="141"/>
      <c r="Y83" s="307"/>
      <c r="Z83" s="307"/>
      <c r="AA83" s="307"/>
      <c r="AB83" s="307"/>
    </row>
    <row r="84" spans="1:28" ht="17.399999999999999"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307"/>
      <c r="R84" s="307"/>
      <c r="S84" s="307"/>
      <c r="T84" s="307"/>
      <c r="U84" s="307"/>
      <c r="V84" s="307"/>
      <c r="W84" s="307"/>
      <c r="X84" s="141"/>
      <c r="Y84" s="307"/>
      <c r="Z84" s="307"/>
      <c r="AA84" s="307"/>
      <c r="AB84" s="307"/>
    </row>
    <row r="85" spans="1:28" ht="17.399999999999999"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307"/>
      <c r="R85" s="307"/>
      <c r="S85" s="307"/>
      <c r="T85" s="307"/>
      <c r="U85" s="307"/>
      <c r="V85" s="307"/>
      <c r="W85" s="307"/>
      <c r="X85" s="141"/>
      <c r="Y85" s="307"/>
      <c r="Z85" s="307"/>
      <c r="AA85" s="307"/>
      <c r="AB85" s="307"/>
    </row>
    <row r="86" spans="1:28" ht="17.399999999999999"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307"/>
      <c r="R86" s="307"/>
      <c r="S86" s="307"/>
      <c r="T86" s="307"/>
      <c r="U86" s="307"/>
      <c r="V86" s="307"/>
      <c r="W86" s="307"/>
      <c r="X86" s="141"/>
      <c r="Y86" s="307"/>
      <c r="Z86" s="307"/>
      <c r="AA86" s="307"/>
      <c r="AB86" s="307"/>
    </row>
    <row r="87" spans="1:28" ht="17.399999999999999"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307"/>
      <c r="R87" s="307"/>
      <c r="S87" s="307"/>
      <c r="T87" s="307"/>
      <c r="U87" s="307"/>
      <c r="V87" s="307"/>
      <c r="W87" s="307"/>
      <c r="X87" s="141"/>
      <c r="Y87" s="307"/>
      <c r="Z87" s="307"/>
      <c r="AA87" s="307"/>
      <c r="AB87" s="307"/>
    </row>
    <row r="88" spans="1:28" ht="17.399999999999999"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307"/>
      <c r="R88" s="307"/>
      <c r="S88" s="307"/>
      <c r="T88" s="307"/>
      <c r="U88" s="307"/>
      <c r="V88" s="307"/>
      <c r="W88" s="307"/>
      <c r="X88" s="141"/>
      <c r="Y88" s="307"/>
      <c r="Z88" s="307"/>
      <c r="AA88" s="307"/>
      <c r="AB88" s="307"/>
    </row>
    <row r="89" spans="1:28" ht="17.399999999999999"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307"/>
      <c r="R89" s="307"/>
      <c r="S89" s="307"/>
      <c r="T89" s="307"/>
      <c r="U89" s="307"/>
      <c r="V89" s="307"/>
      <c r="W89" s="307"/>
      <c r="X89" s="141"/>
      <c r="Y89" s="307"/>
      <c r="Z89" s="307"/>
      <c r="AA89" s="307"/>
      <c r="AB89" s="307"/>
    </row>
    <row r="90" spans="1:28" ht="17.399999999999999"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307"/>
      <c r="R90" s="307"/>
      <c r="S90" s="307"/>
      <c r="T90" s="307"/>
      <c r="U90" s="307"/>
      <c r="V90" s="307"/>
      <c r="W90" s="307"/>
      <c r="X90" s="141"/>
      <c r="Y90" s="307"/>
      <c r="Z90" s="307"/>
      <c r="AA90" s="307"/>
      <c r="AB90" s="307"/>
    </row>
    <row r="91" spans="1:28" ht="17.399999999999999">
      <c r="A91" s="307"/>
      <c r="B91" s="307"/>
      <c r="C91" s="307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307"/>
      <c r="R91" s="307"/>
      <c r="S91" s="307"/>
      <c r="T91" s="307"/>
      <c r="U91" s="307"/>
      <c r="V91" s="307"/>
      <c r="W91" s="307"/>
      <c r="X91" s="141"/>
      <c r="Y91" s="307"/>
      <c r="Z91" s="307"/>
      <c r="AA91" s="307"/>
      <c r="AB91" s="307"/>
    </row>
    <row r="92" spans="1:28" ht="17.399999999999999">
      <c r="A92" s="307"/>
      <c r="B92" s="307"/>
      <c r="C92" s="307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307"/>
      <c r="R92" s="307"/>
      <c r="S92" s="307"/>
      <c r="T92" s="307"/>
      <c r="U92" s="307"/>
      <c r="V92" s="307"/>
      <c r="W92" s="307"/>
      <c r="X92" s="141"/>
      <c r="Y92" s="307"/>
      <c r="Z92" s="307"/>
      <c r="AA92" s="307"/>
      <c r="AB92" s="307"/>
    </row>
    <row r="93" spans="1:28" ht="17.399999999999999">
      <c r="A93" s="307"/>
      <c r="B93" s="307"/>
      <c r="C93" s="307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307"/>
      <c r="R93" s="307"/>
      <c r="S93" s="307"/>
      <c r="T93" s="307"/>
      <c r="U93" s="307"/>
      <c r="V93" s="307"/>
      <c r="W93" s="307"/>
      <c r="X93" s="141"/>
      <c r="Y93" s="307"/>
      <c r="Z93" s="307"/>
      <c r="AA93" s="307"/>
      <c r="AB93" s="307"/>
    </row>
    <row r="94" spans="1:28" ht="17.399999999999999">
      <c r="A94" s="307"/>
      <c r="B94" s="307"/>
      <c r="C94" s="307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307"/>
      <c r="R94" s="307"/>
      <c r="S94" s="307"/>
      <c r="T94" s="307"/>
      <c r="U94" s="307"/>
      <c r="V94" s="307"/>
      <c r="W94" s="307"/>
      <c r="X94" s="141"/>
      <c r="Y94" s="307"/>
      <c r="Z94" s="307"/>
      <c r="AA94" s="307"/>
      <c r="AB94" s="307"/>
    </row>
    <row r="95" spans="1:28" ht="17.399999999999999">
      <c r="A95" s="307"/>
      <c r="B95" s="307"/>
      <c r="C95" s="307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307"/>
      <c r="R95" s="307"/>
      <c r="S95" s="307"/>
      <c r="T95" s="307"/>
      <c r="U95" s="307"/>
      <c r="V95" s="307"/>
      <c r="W95" s="307"/>
      <c r="X95" s="141"/>
      <c r="Y95" s="307"/>
      <c r="Z95" s="307"/>
      <c r="AA95" s="307"/>
      <c r="AB95" s="307"/>
    </row>
    <row r="96" spans="1:28" ht="17.399999999999999">
      <c r="A96" s="307"/>
      <c r="B96" s="307"/>
      <c r="C96" s="307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307"/>
      <c r="R96" s="307"/>
      <c r="S96" s="307"/>
      <c r="T96" s="307"/>
      <c r="U96" s="307"/>
      <c r="V96" s="307"/>
      <c r="W96" s="307"/>
      <c r="X96" s="141"/>
      <c r="Y96" s="307"/>
      <c r="Z96" s="307"/>
      <c r="AA96" s="307"/>
      <c r="AB96" s="307"/>
    </row>
    <row r="97" spans="1:28" ht="17.399999999999999">
      <c r="A97" s="307"/>
      <c r="B97" s="307"/>
      <c r="C97" s="307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307"/>
      <c r="R97" s="307"/>
      <c r="S97" s="307"/>
      <c r="T97" s="307"/>
      <c r="U97" s="307"/>
      <c r="V97" s="307"/>
      <c r="W97" s="307"/>
      <c r="X97" s="141"/>
      <c r="Y97" s="307"/>
      <c r="Z97" s="307"/>
      <c r="AA97" s="307"/>
      <c r="AB97" s="307"/>
    </row>
    <row r="98" spans="1:28" ht="17.399999999999999">
      <c r="A98" s="307"/>
      <c r="B98" s="307"/>
      <c r="C98" s="307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307"/>
      <c r="R98" s="307"/>
      <c r="S98" s="307"/>
      <c r="T98" s="307"/>
      <c r="U98" s="307"/>
      <c r="V98" s="307"/>
      <c r="W98" s="307"/>
      <c r="X98" s="141"/>
      <c r="Y98" s="307"/>
      <c r="Z98" s="307"/>
      <c r="AA98" s="307"/>
      <c r="AB98" s="307"/>
    </row>
    <row r="99" spans="1:28" ht="17.399999999999999">
      <c r="A99" s="307"/>
      <c r="B99" s="307"/>
      <c r="C99" s="307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307"/>
      <c r="R99" s="307"/>
      <c r="S99" s="307"/>
      <c r="T99" s="307"/>
      <c r="U99" s="307"/>
      <c r="V99" s="307"/>
      <c r="W99" s="307"/>
      <c r="X99" s="141"/>
      <c r="Y99" s="307"/>
      <c r="Z99" s="307"/>
      <c r="AA99" s="307"/>
      <c r="AB99" s="307"/>
    </row>
    <row r="100" spans="1:28" ht="17.399999999999999">
      <c r="A100" s="307"/>
      <c r="B100" s="307"/>
      <c r="C100" s="307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307"/>
      <c r="R100" s="307"/>
      <c r="S100" s="307"/>
      <c r="T100" s="307"/>
      <c r="U100" s="307"/>
      <c r="V100" s="307"/>
      <c r="W100" s="307"/>
      <c r="X100" s="141"/>
      <c r="Y100" s="307"/>
      <c r="Z100" s="307"/>
      <c r="AA100" s="307"/>
      <c r="AB100" s="307"/>
    </row>
    <row r="101" spans="1:28" ht="17.399999999999999">
      <c r="A101" s="307"/>
      <c r="B101" s="307"/>
      <c r="C101" s="307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307"/>
      <c r="R101" s="307"/>
      <c r="S101" s="307"/>
      <c r="T101" s="307"/>
      <c r="U101" s="307"/>
      <c r="V101" s="307"/>
      <c r="W101" s="307"/>
      <c r="X101" s="141"/>
      <c r="Y101" s="307"/>
      <c r="Z101" s="307"/>
      <c r="AA101" s="307"/>
      <c r="AB101" s="307"/>
    </row>
    <row r="102" spans="1:28" ht="17.399999999999999">
      <c r="A102" s="307"/>
      <c r="B102" s="307"/>
      <c r="C102" s="307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307"/>
      <c r="R102" s="307"/>
      <c r="S102" s="307"/>
      <c r="T102" s="307"/>
      <c r="U102" s="307"/>
      <c r="V102" s="307"/>
      <c r="W102" s="307"/>
      <c r="X102" s="141"/>
      <c r="Y102" s="307"/>
      <c r="Z102" s="307"/>
      <c r="AA102" s="307"/>
      <c r="AB102" s="307"/>
    </row>
    <row r="103" spans="1:28" ht="17.399999999999999">
      <c r="A103" s="307"/>
      <c r="B103" s="307"/>
      <c r="C103" s="307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307"/>
      <c r="R103" s="307"/>
      <c r="S103" s="307"/>
      <c r="T103" s="307"/>
      <c r="U103" s="307"/>
      <c r="V103" s="307"/>
      <c r="W103" s="307"/>
      <c r="X103" s="141"/>
      <c r="Y103" s="307"/>
      <c r="Z103" s="307"/>
      <c r="AA103" s="307"/>
      <c r="AB103" s="307"/>
    </row>
    <row r="104" spans="1:28" ht="17.399999999999999">
      <c r="A104" s="307"/>
      <c r="B104" s="307"/>
      <c r="C104" s="307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307"/>
      <c r="R104" s="307"/>
      <c r="S104" s="307"/>
      <c r="T104" s="307"/>
      <c r="U104" s="307"/>
      <c r="V104" s="307"/>
      <c r="W104" s="307"/>
      <c r="X104" s="141"/>
      <c r="Y104" s="307"/>
      <c r="Z104" s="307"/>
      <c r="AA104" s="307"/>
      <c r="AB104" s="307"/>
    </row>
    <row r="105" spans="1:28" ht="17.399999999999999">
      <c r="A105" s="307"/>
      <c r="B105" s="307"/>
      <c r="C105" s="307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307"/>
      <c r="R105" s="307"/>
      <c r="S105" s="307"/>
      <c r="T105" s="307"/>
      <c r="U105" s="307"/>
      <c r="V105" s="307"/>
      <c r="W105" s="307"/>
      <c r="X105" s="141"/>
      <c r="Y105" s="307"/>
      <c r="Z105" s="307"/>
      <c r="AA105" s="307"/>
      <c r="AB105" s="307"/>
    </row>
    <row r="106" spans="1:28" ht="17.399999999999999">
      <c r="A106" s="307"/>
      <c r="B106" s="307"/>
      <c r="C106" s="307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307"/>
      <c r="R106" s="307"/>
      <c r="S106" s="307"/>
      <c r="T106" s="307"/>
      <c r="U106" s="307"/>
      <c r="V106" s="307"/>
      <c r="W106" s="307"/>
      <c r="X106" s="141"/>
      <c r="Y106" s="307"/>
      <c r="Z106" s="307"/>
      <c r="AA106" s="307"/>
      <c r="AB106" s="307"/>
    </row>
    <row r="107" spans="1:28" ht="17.399999999999999">
      <c r="A107" s="307"/>
      <c r="B107" s="307"/>
      <c r="C107" s="307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307"/>
      <c r="R107" s="307"/>
      <c r="S107" s="307"/>
      <c r="T107" s="307"/>
      <c r="U107" s="307"/>
      <c r="V107" s="307"/>
      <c r="W107" s="307"/>
      <c r="X107" s="141"/>
      <c r="Y107" s="307"/>
      <c r="Z107" s="307"/>
      <c r="AA107" s="307"/>
      <c r="AB107" s="307"/>
    </row>
    <row r="108" spans="1:28" ht="17.399999999999999">
      <c r="A108" s="307"/>
      <c r="B108" s="307"/>
      <c r="C108" s="307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307"/>
      <c r="R108" s="307"/>
      <c r="S108" s="307"/>
      <c r="T108" s="307"/>
      <c r="U108" s="307"/>
      <c r="V108" s="307"/>
      <c r="W108" s="307"/>
      <c r="X108" s="141"/>
      <c r="Y108" s="307"/>
      <c r="Z108" s="307"/>
      <c r="AA108" s="307"/>
      <c r="AB108" s="307"/>
    </row>
    <row r="109" spans="1:28" ht="17.399999999999999">
      <c r="A109" s="307"/>
      <c r="B109" s="307"/>
      <c r="C109" s="307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307"/>
      <c r="R109" s="307"/>
      <c r="S109" s="307"/>
      <c r="T109" s="307"/>
      <c r="U109" s="307"/>
      <c r="V109" s="307"/>
      <c r="W109" s="307"/>
      <c r="X109" s="141"/>
      <c r="Y109" s="307"/>
      <c r="Z109" s="307"/>
      <c r="AA109" s="307"/>
      <c r="AB109" s="307"/>
    </row>
    <row r="110" spans="1:28" ht="17.399999999999999">
      <c r="A110" s="307"/>
      <c r="B110" s="307"/>
      <c r="C110" s="307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307"/>
      <c r="R110" s="307"/>
      <c r="S110" s="307"/>
      <c r="T110" s="307"/>
      <c r="U110" s="307"/>
      <c r="V110" s="307"/>
      <c r="W110" s="307"/>
      <c r="X110" s="141"/>
      <c r="Y110" s="307"/>
      <c r="Z110" s="307"/>
      <c r="AA110" s="307"/>
      <c r="AB110" s="307"/>
    </row>
    <row r="111" spans="1:28" ht="17.399999999999999">
      <c r="A111" s="307"/>
      <c r="B111" s="307"/>
      <c r="C111" s="307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307"/>
      <c r="R111" s="307"/>
      <c r="S111" s="307"/>
      <c r="T111" s="307"/>
      <c r="U111" s="307"/>
      <c r="V111" s="307"/>
      <c r="W111" s="307"/>
      <c r="X111" s="141"/>
      <c r="Y111" s="307"/>
      <c r="Z111" s="307"/>
      <c r="AA111" s="307"/>
      <c r="AB111" s="307"/>
    </row>
    <row r="112" spans="1:28" ht="17.399999999999999">
      <c r="A112" s="307"/>
      <c r="B112" s="307"/>
      <c r="C112" s="307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307"/>
      <c r="R112" s="307"/>
      <c r="S112" s="307"/>
      <c r="T112" s="307"/>
      <c r="U112" s="307"/>
      <c r="V112" s="307"/>
      <c r="W112" s="307"/>
      <c r="X112" s="141"/>
      <c r="Y112" s="307"/>
      <c r="Z112" s="307"/>
      <c r="AA112" s="307"/>
      <c r="AB112" s="307"/>
    </row>
    <row r="113" spans="1:28" ht="17.399999999999999">
      <c r="A113" s="307"/>
      <c r="B113" s="307"/>
      <c r="C113" s="307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307"/>
      <c r="R113" s="307"/>
      <c r="S113" s="307"/>
      <c r="T113" s="307"/>
      <c r="U113" s="307"/>
      <c r="V113" s="307"/>
      <c r="W113" s="307"/>
      <c r="X113" s="141"/>
      <c r="Y113" s="307"/>
      <c r="Z113" s="307"/>
      <c r="AA113" s="307"/>
      <c r="AB113" s="307"/>
    </row>
    <row r="114" spans="1:28" ht="17.399999999999999">
      <c r="A114" s="307"/>
      <c r="B114" s="307"/>
      <c r="C114" s="307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307"/>
      <c r="R114" s="307"/>
      <c r="S114" s="307"/>
      <c r="T114" s="307"/>
      <c r="U114" s="307"/>
      <c r="V114" s="307"/>
      <c r="W114" s="307"/>
      <c r="X114" s="141"/>
      <c r="Y114" s="307"/>
      <c r="Z114" s="307"/>
      <c r="AA114" s="307"/>
      <c r="AB114" s="307"/>
    </row>
    <row r="115" spans="1:28" ht="17.399999999999999">
      <c r="A115" s="307"/>
      <c r="B115" s="307"/>
      <c r="C115" s="307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307"/>
      <c r="R115" s="307"/>
      <c r="S115" s="307"/>
      <c r="T115" s="307"/>
      <c r="U115" s="307"/>
      <c r="V115" s="307"/>
      <c r="W115" s="307"/>
      <c r="X115" s="141"/>
      <c r="Y115" s="307"/>
      <c r="Z115" s="307"/>
      <c r="AA115" s="307"/>
      <c r="AB115" s="307"/>
    </row>
    <row r="116" spans="1:28" ht="17.399999999999999">
      <c r="A116" s="307"/>
      <c r="B116" s="307"/>
      <c r="C116" s="307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307"/>
      <c r="R116" s="307"/>
      <c r="S116" s="307"/>
      <c r="T116" s="307"/>
      <c r="U116" s="307"/>
      <c r="V116" s="307"/>
      <c r="W116" s="307"/>
      <c r="X116" s="141"/>
      <c r="Y116" s="307"/>
      <c r="Z116" s="307"/>
      <c r="AA116" s="307"/>
      <c r="AB116" s="307"/>
    </row>
    <row r="117" spans="1:28" ht="17.399999999999999">
      <c r="A117" s="307"/>
      <c r="B117" s="307"/>
      <c r="C117" s="307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307"/>
      <c r="R117" s="307"/>
      <c r="S117" s="307"/>
      <c r="T117" s="307"/>
      <c r="U117" s="307"/>
      <c r="V117" s="307"/>
      <c r="W117" s="307"/>
      <c r="X117" s="141"/>
      <c r="Y117" s="307"/>
      <c r="Z117" s="307"/>
      <c r="AA117" s="307"/>
      <c r="AB117" s="307"/>
    </row>
    <row r="118" spans="1:28" ht="17.399999999999999">
      <c r="A118" s="307"/>
      <c r="B118" s="307"/>
      <c r="C118" s="307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307"/>
      <c r="R118" s="307"/>
      <c r="S118" s="307"/>
      <c r="T118" s="307"/>
      <c r="U118" s="307"/>
      <c r="V118" s="307"/>
      <c r="W118" s="307"/>
      <c r="X118" s="141"/>
      <c r="Y118" s="307"/>
      <c r="Z118" s="307"/>
      <c r="AA118" s="307"/>
      <c r="AB118" s="307"/>
    </row>
    <row r="119" spans="1:28" ht="17.399999999999999">
      <c r="A119" s="307"/>
      <c r="B119" s="307"/>
      <c r="C119" s="307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307"/>
      <c r="R119" s="307"/>
      <c r="S119" s="307"/>
      <c r="T119" s="307"/>
      <c r="U119" s="307"/>
      <c r="V119" s="307"/>
      <c r="W119" s="307"/>
      <c r="X119" s="141"/>
      <c r="Y119" s="307"/>
      <c r="Z119" s="307"/>
      <c r="AA119" s="307"/>
      <c r="AB119" s="307"/>
    </row>
    <row r="120" spans="1:28" ht="17.399999999999999">
      <c r="A120" s="307"/>
      <c r="B120" s="307"/>
      <c r="C120" s="307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307"/>
      <c r="R120" s="307"/>
      <c r="S120" s="307"/>
      <c r="T120" s="307"/>
      <c r="U120" s="307"/>
      <c r="V120" s="307"/>
      <c r="W120" s="307"/>
      <c r="X120" s="141"/>
      <c r="Y120" s="307"/>
      <c r="Z120" s="307"/>
      <c r="AA120" s="307"/>
      <c r="AB120" s="307"/>
    </row>
    <row r="121" spans="1:28" ht="17.399999999999999">
      <c r="A121" s="307"/>
      <c r="B121" s="307"/>
      <c r="C121" s="307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307"/>
      <c r="R121" s="307"/>
      <c r="S121" s="307"/>
      <c r="T121" s="307"/>
      <c r="U121" s="307"/>
      <c r="V121" s="307"/>
      <c r="W121" s="307"/>
      <c r="X121" s="141"/>
      <c r="Y121" s="307"/>
      <c r="Z121" s="307"/>
      <c r="AA121" s="307"/>
      <c r="AB121" s="307"/>
    </row>
    <row r="122" spans="1:28" ht="17.399999999999999">
      <c r="A122" s="307"/>
      <c r="B122" s="307"/>
      <c r="C122" s="307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307"/>
      <c r="R122" s="307"/>
      <c r="S122" s="307"/>
      <c r="T122" s="307"/>
      <c r="U122" s="307"/>
      <c r="V122" s="307"/>
      <c r="W122" s="307"/>
      <c r="X122" s="141"/>
      <c r="Y122" s="307"/>
      <c r="Z122" s="307"/>
      <c r="AA122" s="307"/>
      <c r="AB122" s="307"/>
    </row>
    <row r="123" spans="1:28" ht="17.399999999999999">
      <c r="A123" s="307"/>
      <c r="B123" s="307"/>
      <c r="C123" s="307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307"/>
      <c r="R123" s="307"/>
      <c r="S123" s="307"/>
      <c r="T123" s="307"/>
      <c r="U123" s="307"/>
      <c r="V123" s="307"/>
      <c r="W123" s="307"/>
      <c r="X123" s="141"/>
      <c r="Y123" s="307"/>
      <c r="Z123" s="307"/>
      <c r="AA123" s="307"/>
      <c r="AB123" s="307"/>
    </row>
    <row r="124" spans="1:28" ht="17.399999999999999">
      <c r="A124" s="307"/>
      <c r="B124" s="307"/>
      <c r="C124" s="307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307"/>
      <c r="R124" s="307"/>
      <c r="S124" s="307"/>
      <c r="T124" s="307"/>
      <c r="U124" s="307"/>
      <c r="V124" s="307"/>
      <c r="W124" s="307"/>
      <c r="X124" s="141"/>
      <c r="Y124" s="307"/>
      <c r="Z124" s="307"/>
      <c r="AA124" s="307"/>
      <c r="AB124" s="307"/>
    </row>
    <row r="125" spans="1:28" ht="17.399999999999999">
      <c r="A125" s="307"/>
      <c r="B125" s="307"/>
      <c r="C125" s="307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307"/>
      <c r="R125" s="307"/>
      <c r="S125" s="307"/>
      <c r="T125" s="307"/>
      <c r="U125" s="307"/>
      <c r="V125" s="307"/>
      <c r="W125" s="307"/>
      <c r="X125" s="141"/>
      <c r="Y125" s="307"/>
      <c r="Z125" s="307"/>
      <c r="AA125" s="307"/>
      <c r="AB125" s="307"/>
    </row>
    <row r="126" spans="1:28" ht="17.399999999999999">
      <c r="A126" s="307"/>
      <c r="B126" s="307"/>
      <c r="C126" s="307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307"/>
      <c r="R126" s="307"/>
      <c r="S126" s="307"/>
      <c r="T126" s="307"/>
      <c r="U126" s="307"/>
      <c r="V126" s="307"/>
      <c r="W126" s="307"/>
      <c r="X126" s="141"/>
      <c r="Y126" s="307"/>
      <c r="Z126" s="307"/>
      <c r="AA126" s="307"/>
      <c r="AB126" s="307"/>
    </row>
    <row r="127" spans="1:28" ht="17.399999999999999">
      <c r="A127" s="307"/>
      <c r="B127" s="307"/>
      <c r="C127" s="307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307"/>
      <c r="R127" s="307"/>
      <c r="S127" s="307"/>
      <c r="T127" s="307"/>
      <c r="U127" s="307"/>
      <c r="V127" s="307"/>
      <c r="W127" s="307"/>
      <c r="X127" s="141"/>
      <c r="Y127" s="307"/>
      <c r="Z127" s="307"/>
      <c r="AA127" s="307"/>
      <c r="AB127" s="307"/>
    </row>
    <row r="128" spans="1:28" ht="17.399999999999999">
      <c r="A128" s="307"/>
      <c r="B128" s="307"/>
      <c r="C128" s="307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307"/>
      <c r="R128" s="307"/>
      <c r="S128" s="307"/>
      <c r="T128" s="307"/>
      <c r="U128" s="307"/>
      <c r="V128" s="307"/>
      <c r="W128" s="307"/>
      <c r="X128" s="141"/>
      <c r="Y128" s="307"/>
      <c r="Z128" s="307"/>
      <c r="AA128" s="307"/>
      <c r="AB128" s="307"/>
    </row>
    <row r="129" spans="1:28" ht="17.399999999999999">
      <c r="A129" s="307"/>
      <c r="B129" s="307"/>
      <c r="C129" s="307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307"/>
      <c r="R129" s="307"/>
      <c r="S129" s="307"/>
      <c r="T129" s="307"/>
      <c r="U129" s="307"/>
      <c r="V129" s="307"/>
      <c r="W129" s="307"/>
      <c r="X129" s="141"/>
      <c r="Y129" s="307"/>
      <c r="Z129" s="307"/>
      <c r="AA129" s="307"/>
      <c r="AB129" s="307"/>
    </row>
    <row r="130" spans="1:28" ht="17.399999999999999">
      <c r="A130" s="307"/>
      <c r="B130" s="307"/>
      <c r="C130" s="307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307"/>
      <c r="R130" s="307"/>
      <c r="S130" s="307"/>
      <c r="T130" s="307"/>
      <c r="U130" s="307"/>
      <c r="V130" s="307"/>
      <c r="W130" s="307"/>
      <c r="X130" s="141"/>
      <c r="Y130" s="307"/>
      <c r="Z130" s="307"/>
      <c r="AA130" s="307"/>
      <c r="AB130" s="307"/>
    </row>
    <row r="131" spans="1:28" ht="17.399999999999999">
      <c r="A131" s="307"/>
      <c r="B131" s="307"/>
      <c r="C131" s="307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307"/>
      <c r="R131" s="307"/>
      <c r="S131" s="307"/>
      <c r="T131" s="307"/>
      <c r="U131" s="307"/>
      <c r="V131" s="307"/>
      <c r="W131" s="307"/>
      <c r="X131" s="141"/>
      <c r="Y131" s="307"/>
      <c r="Z131" s="307"/>
      <c r="AA131" s="307"/>
      <c r="AB131" s="307"/>
    </row>
    <row r="132" spans="1:28" ht="17.399999999999999">
      <c r="A132" s="307"/>
      <c r="B132" s="307"/>
      <c r="C132" s="307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307"/>
      <c r="R132" s="307"/>
      <c r="S132" s="307"/>
      <c r="T132" s="307"/>
      <c r="U132" s="307"/>
      <c r="V132" s="307"/>
      <c r="W132" s="307"/>
      <c r="X132" s="141"/>
      <c r="Y132" s="307"/>
      <c r="Z132" s="307"/>
      <c r="AA132" s="307"/>
      <c r="AB132" s="307"/>
    </row>
    <row r="133" spans="1:28" ht="17.399999999999999">
      <c r="A133" s="307"/>
      <c r="B133" s="307"/>
      <c r="C133" s="307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307"/>
      <c r="R133" s="307"/>
      <c r="S133" s="307"/>
      <c r="T133" s="307"/>
      <c r="U133" s="307"/>
      <c r="V133" s="307"/>
      <c r="W133" s="307"/>
      <c r="X133" s="141"/>
      <c r="Y133" s="307"/>
      <c r="Z133" s="307"/>
      <c r="AA133" s="307"/>
      <c r="AB133" s="307"/>
    </row>
    <row r="134" spans="1:28" ht="17.399999999999999">
      <c r="A134" s="307"/>
      <c r="B134" s="307"/>
      <c r="C134" s="307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307"/>
      <c r="R134" s="307"/>
      <c r="S134" s="307"/>
      <c r="T134" s="307"/>
      <c r="U134" s="307"/>
      <c r="V134" s="307"/>
      <c r="W134" s="307"/>
      <c r="X134" s="141"/>
      <c r="Y134" s="307"/>
      <c r="Z134" s="307"/>
      <c r="AA134" s="307"/>
      <c r="AB134" s="307"/>
    </row>
    <row r="135" spans="1:28" ht="17.399999999999999">
      <c r="A135" s="307"/>
      <c r="B135" s="307"/>
      <c r="C135" s="307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307"/>
      <c r="R135" s="307"/>
      <c r="S135" s="307"/>
      <c r="T135" s="307"/>
      <c r="U135" s="307"/>
      <c r="V135" s="307"/>
      <c r="W135" s="307"/>
      <c r="X135" s="141"/>
      <c r="Y135" s="307"/>
      <c r="Z135" s="307"/>
      <c r="AA135" s="307"/>
      <c r="AB135" s="307"/>
    </row>
    <row r="136" spans="1:28" ht="17.399999999999999">
      <c r="A136" s="307"/>
      <c r="B136" s="307"/>
      <c r="C136" s="307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307"/>
      <c r="R136" s="307"/>
      <c r="S136" s="307"/>
      <c r="T136" s="307"/>
      <c r="U136" s="307"/>
      <c r="V136" s="307"/>
      <c r="W136" s="307"/>
      <c r="X136" s="141"/>
      <c r="Y136" s="307"/>
      <c r="Z136" s="307"/>
      <c r="AA136" s="307"/>
      <c r="AB136" s="307"/>
    </row>
    <row r="137" spans="1:28" ht="17.399999999999999">
      <c r="A137" s="307"/>
      <c r="B137" s="307"/>
      <c r="C137" s="307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307"/>
      <c r="R137" s="307"/>
      <c r="S137" s="307"/>
      <c r="T137" s="307"/>
      <c r="U137" s="307"/>
      <c r="V137" s="307"/>
      <c r="W137" s="307"/>
      <c r="X137" s="141"/>
      <c r="Y137" s="307"/>
      <c r="Z137" s="307"/>
      <c r="AA137" s="307"/>
      <c r="AB137" s="307"/>
    </row>
    <row r="138" spans="1:28" ht="17.399999999999999">
      <c r="A138" s="307"/>
      <c r="B138" s="307"/>
      <c r="C138" s="307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307"/>
      <c r="R138" s="307"/>
      <c r="S138" s="307"/>
      <c r="T138" s="307"/>
      <c r="U138" s="307"/>
      <c r="V138" s="307"/>
      <c r="W138" s="307"/>
      <c r="X138" s="141"/>
      <c r="Y138" s="307"/>
      <c r="Z138" s="307"/>
      <c r="AA138" s="307"/>
      <c r="AB138" s="307"/>
    </row>
    <row r="139" spans="1:28" ht="17.399999999999999">
      <c r="A139" s="307"/>
      <c r="B139" s="307"/>
      <c r="C139" s="307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307"/>
      <c r="R139" s="307"/>
      <c r="S139" s="307"/>
      <c r="T139" s="307"/>
      <c r="U139" s="307"/>
      <c r="V139" s="307"/>
      <c r="W139" s="307"/>
      <c r="X139" s="141"/>
      <c r="Y139" s="307"/>
      <c r="Z139" s="307"/>
      <c r="AA139" s="307"/>
      <c r="AB139" s="307"/>
    </row>
    <row r="140" spans="1:28" ht="17.399999999999999">
      <c r="A140" s="307"/>
      <c r="B140" s="307"/>
      <c r="C140" s="307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307"/>
      <c r="R140" s="307"/>
      <c r="S140" s="307"/>
      <c r="T140" s="307"/>
      <c r="U140" s="307"/>
      <c r="V140" s="307"/>
      <c r="W140" s="307"/>
      <c r="X140" s="141"/>
      <c r="Y140" s="307"/>
      <c r="Z140" s="307"/>
      <c r="AA140" s="307"/>
      <c r="AB140" s="307"/>
    </row>
    <row r="141" spans="1:28" ht="17.399999999999999">
      <c r="A141" s="307"/>
      <c r="B141" s="307"/>
      <c r="C141" s="307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307"/>
      <c r="R141" s="307"/>
      <c r="S141" s="307"/>
      <c r="T141" s="307"/>
      <c r="U141" s="307"/>
      <c r="V141" s="307"/>
      <c r="W141" s="307"/>
      <c r="X141" s="141"/>
      <c r="Y141" s="307"/>
      <c r="Z141" s="307"/>
      <c r="AA141" s="307"/>
      <c r="AB141" s="307"/>
    </row>
    <row r="142" spans="1:28" ht="17.399999999999999">
      <c r="A142" s="307"/>
      <c r="B142" s="307"/>
      <c r="C142" s="307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307"/>
      <c r="R142" s="307"/>
      <c r="S142" s="307"/>
      <c r="T142" s="307"/>
      <c r="U142" s="307"/>
      <c r="V142" s="307"/>
      <c r="W142" s="307"/>
      <c r="X142" s="141"/>
      <c r="Y142" s="307"/>
      <c r="Z142" s="307"/>
      <c r="AA142" s="307"/>
      <c r="AB142" s="307"/>
    </row>
    <row r="143" spans="1:28" ht="17.399999999999999">
      <c r="A143" s="307"/>
      <c r="B143" s="307"/>
      <c r="C143" s="307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307"/>
      <c r="R143" s="307"/>
      <c r="S143" s="307"/>
      <c r="T143" s="307"/>
      <c r="U143" s="307"/>
      <c r="V143" s="307"/>
      <c r="W143" s="307"/>
      <c r="X143" s="141"/>
      <c r="Y143" s="307"/>
      <c r="Z143" s="307"/>
      <c r="AA143" s="307"/>
      <c r="AB143" s="307"/>
    </row>
    <row r="144" spans="1:28" ht="17.399999999999999">
      <c r="A144" s="307"/>
      <c r="B144" s="307"/>
      <c r="C144" s="307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307"/>
      <c r="R144" s="307"/>
      <c r="S144" s="307"/>
      <c r="T144" s="307"/>
      <c r="U144" s="307"/>
      <c r="V144" s="307"/>
      <c r="W144" s="307"/>
      <c r="X144" s="141"/>
      <c r="Y144" s="307"/>
      <c r="Z144" s="307"/>
      <c r="AA144" s="307"/>
      <c r="AB144" s="307"/>
    </row>
    <row r="145" spans="1:28" ht="17.399999999999999">
      <c r="A145" s="307"/>
      <c r="B145" s="307"/>
      <c r="C145" s="307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307"/>
      <c r="R145" s="307"/>
      <c r="S145" s="307"/>
      <c r="T145" s="307"/>
      <c r="U145" s="307"/>
      <c r="V145" s="307"/>
      <c r="W145" s="307"/>
      <c r="X145" s="141"/>
      <c r="Y145" s="307"/>
      <c r="Z145" s="307"/>
      <c r="AA145" s="307"/>
      <c r="AB145" s="307"/>
    </row>
    <row r="146" spans="1:28" ht="17.399999999999999">
      <c r="A146" s="307"/>
      <c r="B146" s="307"/>
      <c r="C146" s="307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307"/>
      <c r="R146" s="307"/>
      <c r="S146" s="307"/>
      <c r="T146" s="307"/>
      <c r="U146" s="307"/>
      <c r="V146" s="307"/>
      <c r="W146" s="307"/>
      <c r="X146" s="141"/>
      <c r="Y146" s="307"/>
      <c r="Z146" s="307"/>
      <c r="AA146" s="307"/>
      <c r="AB146" s="307"/>
    </row>
    <row r="147" spans="1:28" ht="17.399999999999999">
      <c r="A147" s="307"/>
      <c r="B147" s="307"/>
      <c r="C147" s="307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307"/>
      <c r="R147" s="307"/>
      <c r="S147" s="307"/>
      <c r="T147" s="307"/>
      <c r="U147" s="307"/>
      <c r="V147" s="307"/>
      <c r="W147" s="307"/>
      <c r="X147" s="141"/>
      <c r="Y147" s="307"/>
      <c r="Z147" s="307"/>
      <c r="AA147" s="307"/>
      <c r="AB147" s="307"/>
    </row>
    <row r="148" spans="1:28" ht="17.399999999999999">
      <c r="A148" s="307"/>
      <c r="B148" s="307"/>
      <c r="C148" s="307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307"/>
      <c r="R148" s="307"/>
      <c r="S148" s="307"/>
      <c r="T148" s="307"/>
      <c r="U148" s="307"/>
      <c r="V148" s="307"/>
      <c r="W148" s="307"/>
      <c r="X148" s="141"/>
      <c r="Y148" s="307"/>
      <c r="Z148" s="307"/>
      <c r="AA148" s="307"/>
      <c r="AB148" s="307"/>
    </row>
    <row r="149" spans="1:28" ht="17.399999999999999">
      <c r="A149" s="307"/>
      <c r="B149" s="307"/>
      <c r="C149" s="307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307"/>
      <c r="R149" s="307"/>
      <c r="S149" s="307"/>
      <c r="T149" s="307"/>
      <c r="U149" s="307"/>
      <c r="V149" s="307"/>
      <c r="W149" s="307"/>
      <c r="X149" s="141"/>
      <c r="Y149" s="307"/>
      <c r="Z149" s="307"/>
      <c r="AA149" s="307"/>
      <c r="AB149" s="307"/>
    </row>
    <row r="150" spans="1:28" ht="17.399999999999999">
      <c r="A150" s="307"/>
      <c r="B150" s="307"/>
      <c r="C150" s="307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307"/>
      <c r="R150" s="307"/>
      <c r="S150" s="307"/>
      <c r="T150" s="307"/>
      <c r="U150" s="307"/>
      <c r="V150" s="307"/>
      <c r="W150" s="307"/>
      <c r="X150" s="141"/>
      <c r="Y150" s="307"/>
      <c r="Z150" s="307"/>
      <c r="AA150" s="307"/>
      <c r="AB150" s="307"/>
    </row>
    <row r="151" spans="1:28" ht="17.399999999999999">
      <c r="A151" s="307"/>
      <c r="B151" s="307"/>
      <c r="C151" s="307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307"/>
      <c r="R151" s="307"/>
      <c r="S151" s="307"/>
      <c r="T151" s="307"/>
      <c r="U151" s="307"/>
      <c r="V151" s="307"/>
      <c r="W151" s="307"/>
      <c r="X151" s="141"/>
      <c r="Y151" s="307"/>
      <c r="Z151" s="307"/>
      <c r="AA151" s="307"/>
      <c r="AB151" s="307"/>
    </row>
    <row r="152" spans="1:28" ht="17.399999999999999">
      <c r="A152" s="307"/>
      <c r="B152" s="307"/>
      <c r="C152" s="307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307"/>
      <c r="R152" s="307"/>
      <c r="S152" s="307"/>
      <c r="T152" s="307"/>
      <c r="U152" s="307"/>
      <c r="V152" s="307"/>
      <c r="W152" s="307"/>
      <c r="X152" s="141"/>
      <c r="Y152" s="307"/>
      <c r="Z152" s="307"/>
      <c r="AA152" s="307"/>
      <c r="AB152" s="307"/>
    </row>
    <row r="153" spans="1:28" ht="17.399999999999999">
      <c r="A153" s="307"/>
      <c r="B153" s="307"/>
      <c r="C153" s="307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307"/>
      <c r="R153" s="307"/>
      <c r="S153" s="307"/>
      <c r="T153" s="307"/>
      <c r="U153" s="307"/>
      <c r="V153" s="307"/>
      <c r="W153" s="307"/>
      <c r="X153" s="141"/>
      <c r="Y153" s="307"/>
      <c r="Z153" s="307"/>
      <c r="AA153" s="307"/>
      <c r="AB153" s="307"/>
    </row>
    <row r="154" spans="1:28" ht="17.399999999999999">
      <c r="A154" s="307"/>
      <c r="B154" s="307"/>
      <c r="C154" s="307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307"/>
      <c r="R154" s="307"/>
      <c r="S154" s="307"/>
      <c r="T154" s="307"/>
      <c r="U154" s="307"/>
      <c r="V154" s="307"/>
      <c r="W154" s="307"/>
      <c r="X154" s="141"/>
      <c r="Y154" s="307"/>
      <c r="Z154" s="307"/>
      <c r="AA154" s="307"/>
      <c r="AB154" s="307"/>
    </row>
    <row r="155" spans="1:28" ht="17.399999999999999">
      <c r="A155" s="307"/>
      <c r="B155" s="307"/>
      <c r="C155" s="307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307"/>
      <c r="R155" s="307"/>
      <c r="S155" s="307"/>
      <c r="T155" s="307"/>
      <c r="U155" s="307"/>
      <c r="V155" s="307"/>
      <c r="W155" s="307"/>
      <c r="X155" s="141"/>
      <c r="Y155" s="307"/>
      <c r="Z155" s="307"/>
      <c r="AA155" s="307"/>
      <c r="AB155" s="307"/>
    </row>
    <row r="156" spans="1:28" ht="17.399999999999999">
      <c r="A156" s="307"/>
      <c r="B156" s="307"/>
      <c r="C156" s="307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307"/>
      <c r="R156" s="307"/>
      <c r="S156" s="307"/>
      <c r="T156" s="307"/>
      <c r="U156" s="307"/>
      <c r="V156" s="307"/>
      <c r="W156" s="307"/>
      <c r="X156" s="141"/>
      <c r="Y156" s="307"/>
      <c r="Z156" s="307"/>
      <c r="AA156" s="307"/>
      <c r="AB156" s="307"/>
    </row>
    <row r="157" spans="1:28" ht="17.399999999999999">
      <c r="A157" s="307"/>
      <c r="B157" s="307"/>
      <c r="C157" s="307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307"/>
      <c r="R157" s="307"/>
      <c r="S157" s="307"/>
      <c r="T157" s="307"/>
      <c r="U157" s="307"/>
      <c r="V157" s="307"/>
      <c r="W157" s="307"/>
      <c r="X157" s="141"/>
      <c r="Y157" s="307"/>
      <c r="Z157" s="307"/>
      <c r="AA157" s="307"/>
      <c r="AB157" s="307"/>
    </row>
    <row r="158" spans="1:28" ht="17.399999999999999">
      <c r="A158" s="307"/>
      <c r="B158" s="307"/>
      <c r="C158" s="307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307"/>
      <c r="R158" s="307"/>
      <c r="S158" s="307"/>
      <c r="T158" s="307"/>
      <c r="U158" s="307"/>
      <c r="V158" s="307"/>
      <c r="W158" s="307"/>
      <c r="X158" s="141"/>
      <c r="Y158" s="307"/>
      <c r="Z158" s="307"/>
      <c r="AA158" s="307"/>
      <c r="AB158" s="307"/>
    </row>
    <row r="159" spans="1:28" ht="17.399999999999999">
      <c r="A159" s="307"/>
      <c r="B159" s="307"/>
      <c r="C159" s="307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307"/>
      <c r="R159" s="307"/>
      <c r="S159" s="307"/>
      <c r="T159" s="307"/>
      <c r="U159" s="307"/>
      <c r="V159" s="307"/>
      <c r="W159" s="307"/>
      <c r="X159" s="141"/>
      <c r="Y159" s="307"/>
      <c r="Z159" s="307"/>
      <c r="AA159" s="307"/>
      <c r="AB159" s="307"/>
    </row>
    <row r="160" spans="1:28" ht="17.399999999999999">
      <c r="A160" s="307"/>
      <c r="B160" s="307"/>
      <c r="C160" s="307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307"/>
      <c r="R160" s="307"/>
      <c r="S160" s="307"/>
      <c r="T160" s="307"/>
      <c r="U160" s="307"/>
      <c r="V160" s="307"/>
      <c r="W160" s="307"/>
      <c r="X160" s="141"/>
      <c r="Y160" s="307"/>
      <c r="Z160" s="307"/>
      <c r="AA160" s="307"/>
      <c r="AB160" s="307"/>
    </row>
    <row r="161" spans="1:28" ht="17.399999999999999">
      <c r="A161" s="307"/>
      <c r="B161" s="307"/>
      <c r="C161" s="307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307"/>
      <c r="R161" s="307"/>
      <c r="S161" s="307"/>
      <c r="T161" s="307"/>
      <c r="U161" s="307"/>
      <c r="V161" s="307"/>
      <c r="W161" s="307"/>
      <c r="X161" s="141"/>
      <c r="Y161" s="307"/>
      <c r="Z161" s="307"/>
      <c r="AA161" s="307"/>
      <c r="AB161" s="307"/>
    </row>
    <row r="162" spans="1:28" ht="17.399999999999999">
      <c r="A162" s="307"/>
      <c r="B162" s="307"/>
      <c r="C162" s="307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307"/>
      <c r="R162" s="307"/>
      <c r="S162" s="307"/>
      <c r="T162" s="307"/>
      <c r="U162" s="307"/>
      <c r="V162" s="307"/>
      <c r="W162" s="307"/>
      <c r="X162" s="141"/>
      <c r="Y162" s="307"/>
      <c r="Z162" s="307"/>
      <c r="AA162" s="307"/>
      <c r="AB162" s="307"/>
    </row>
    <row r="163" spans="1:28" ht="17.399999999999999">
      <c r="A163" s="307"/>
      <c r="B163" s="307"/>
      <c r="C163" s="307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307"/>
      <c r="R163" s="307"/>
      <c r="S163" s="307"/>
      <c r="T163" s="307"/>
      <c r="U163" s="307"/>
      <c r="V163" s="307"/>
      <c r="W163" s="307"/>
      <c r="X163" s="141"/>
      <c r="Y163" s="307"/>
      <c r="Z163" s="307"/>
      <c r="AA163" s="307"/>
      <c r="AB163" s="307"/>
    </row>
    <row r="164" spans="1:28" ht="17.399999999999999">
      <c r="A164" s="307"/>
      <c r="B164" s="307"/>
      <c r="C164" s="307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307"/>
      <c r="R164" s="307"/>
      <c r="S164" s="307"/>
      <c r="T164" s="307"/>
      <c r="U164" s="307"/>
      <c r="V164" s="307"/>
      <c r="W164" s="307"/>
      <c r="X164" s="141"/>
      <c r="Y164" s="307"/>
      <c r="Z164" s="307"/>
      <c r="AA164" s="307"/>
      <c r="AB164" s="307"/>
    </row>
    <row r="165" spans="1:28" ht="17.399999999999999">
      <c r="A165" s="307"/>
      <c r="B165" s="307"/>
      <c r="C165" s="307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307"/>
      <c r="R165" s="307"/>
      <c r="S165" s="307"/>
      <c r="T165" s="307"/>
      <c r="U165" s="307"/>
      <c r="V165" s="307"/>
      <c r="W165" s="307"/>
      <c r="X165" s="141"/>
      <c r="Y165" s="307"/>
      <c r="Z165" s="307"/>
      <c r="AA165" s="307"/>
      <c r="AB165" s="307"/>
    </row>
    <row r="166" spans="1:28" ht="17.399999999999999">
      <c r="A166" s="307"/>
      <c r="B166" s="307"/>
      <c r="C166" s="307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307"/>
      <c r="R166" s="307"/>
      <c r="S166" s="307"/>
      <c r="T166" s="307"/>
      <c r="U166" s="307"/>
      <c r="V166" s="307"/>
      <c r="W166" s="307"/>
      <c r="X166" s="141"/>
      <c r="Y166" s="307"/>
      <c r="Z166" s="307"/>
      <c r="AA166" s="307"/>
      <c r="AB166" s="307"/>
    </row>
    <row r="167" spans="1:28" ht="17.399999999999999">
      <c r="A167" s="307"/>
      <c r="B167" s="307"/>
      <c r="C167" s="307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307"/>
      <c r="R167" s="307"/>
      <c r="S167" s="307"/>
      <c r="T167" s="307"/>
      <c r="U167" s="307"/>
      <c r="V167" s="307"/>
      <c r="W167" s="307"/>
      <c r="X167" s="141"/>
      <c r="Y167" s="307"/>
      <c r="Z167" s="307"/>
      <c r="AA167" s="307"/>
      <c r="AB167" s="307"/>
    </row>
    <row r="168" spans="1:28" ht="17.399999999999999">
      <c r="A168" s="307"/>
      <c r="B168" s="307"/>
      <c r="C168" s="307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307"/>
      <c r="R168" s="307"/>
      <c r="S168" s="307"/>
      <c r="T168" s="307"/>
      <c r="U168" s="307"/>
      <c r="V168" s="307"/>
      <c r="W168" s="307"/>
      <c r="X168" s="141"/>
      <c r="Y168" s="307"/>
      <c r="Z168" s="307"/>
      <c r="AA168" s="307"/>
      <c r="AB168" s="307"/>
    </row>
    <row r="169" spans="1:28" ht="17.399999999999999">
      <c r="A169" s="307"/>
      <c r="B169" s="307"/>
      <c r="C169" s="307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307"/>
      <c r="R169" s="307"/>
      <c r="S169" s="307"/>
      <c r="T169" s="307"/>
      <c r="U169" s="307"/>
      <c r="V169" s="307"/>
      <c r="W169" s="307"/>
      <c r="X169" s="141"/>
      <c r="Y169" s="307"/>
      <c r="Z169" s="307"/>
      <c r="AA169" s="307"/>
      <c r="AB169" s="307"/>
    </row>
    <row r="170" spans="1:28" ht="17.399999999999999">
      <c r="A170" s="307"/>
      <c r="B170" s="307"/>
      <c r="C170" s="307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307"/>
      <c r="R170" s="307"/>
      <c r="S170" s="307"/>
      <c r="T170" s="307"/>
      <c r="U170" s="307"/>
      <c r="V170" s="307"/>
      <c r="W170" s="307"/>
      <c r="X170" s="141"/>
      <c r="Y170" s="307"/>
      <c r="Z170" s="307"/>
      <c r="AA170" s="307"/>
      <c r="AB170" s="307"/>
    </row>
    <row r="171" spans="1:28" ht="17.399999999999999">
      <c r="A171" s="307"/>
      <c r="B171" s="307"/>
      <c r="C171" s="307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307"/>
      <c r="R171" s="307"/>
      <c r="S171" s="307"/>
      <c r="T171" s="307"/>
      <c r="U171" s="307"/>
      <c r="V171" s="307"/>
      <c r="W171" s="307"/>
      <c r="X171" s="141"/>
      <c r="Y171" s="307"/>
      <c r="Z171" s="307"/>
      <c r="AA171" s="307"/>
      <c r="AB171" s="307"/>
    </row>
    <row r="172" spans="1:28" ht="17.399999999999999">
      <c r="A172" s="307"/>
      <c r="B172" s="307"/>
      <c r="C172" s="307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307"/>
      <c r="R172" s="307"/>
      <c r="S172" s="307"/>
      <c r="T172" s="307"/>
      <c r="U172" s="307"/>
      <c r="V172" s="307"/>
      <c r="W172" s="307"/>
      <c r="X172" s="141"/>
      <c r="Y172" s="307"/>
      <c r="Z172" s="307"/>
      <c r="AA172" s="307"/>
      <c r="AB172" s="307"/>
    </row>
    <row r="173" spans="1:28" ht="17.399999999999999">
      <c r="A173" s="307"/>
      <c r="B173" s="307"/>
      <c r="C173" s="307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307"/>
      <c r="R173" s="307"/>
      <c r="S173" s="307"/>
      <c r="T173" s="307"/>
      <c r="U173" s="307"/>
      <c r="V173" s="307"/>
      <c r="W173" s="307"/>
      <c r="X173" s="141"/>
      <c r="Y173" s="307"/>
      <c r="Z173" s="307"/>
      <c r="AA173" s="307"/>
      <c r="AB173" s="307"/>
    </row>
    <row r="174" spans="1:28" ht="17.399999999999999">
      <c r="A174" s="307"/>
      <c r="B174" s="307"/>
      <c r="C174" s="307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307"/>
      <c r="R174" s="307"/>
      <c r="S174" s="307"/>
      <c r="T174" s="307"/>
      <c r="U174" s="307"/>
      <c r="V174" s="307"/>
      <c r="W174" s="307"/>
      <c r="X174" s="141"/>
      <c r="Y174" s="307"/>
      <c r="Z174" s="307"/>
      <c r="AA174" s="307"/>
      <c r="AB174" s="307"/>
    </row>
    <row r="175" spans="1:28" ht="17.399999999999999">
      <c r="A175" s="307"/>
      <c r="B175" s="307"/>
      <c r="C175" s="307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307"/>
      <c r="R175" s="307"/>
      <c r="S175" s="307"/>
      <c r="T175" s="307"/>
      <c r="U175" s="307"/>
      <c r="V175" s="307"/>
      <c r="W175" s="307"/>
      <c r="X175" s="141"/>
      <c r="Y175" s="307"/>
      <c r="Z175" s="307"/>
      <c r="AA175" s="307"/>
      <c r="AB175" s="307"/>
    </row>
    <row r="176" spans="1:28" ht="17.399999999999999">
      <c r="A176" s="307"/>
      <c r="B176" s="307"/>
      <c r="C176" s="307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307"/>
      <c r="R176" s="307"/>
      <c r="S176" s="307"/>
      <c r="T176" s="307"/>
      <c r="U176" s="307"/>
      <c r="V176" s="307"/>
      <c r="W176" s="307"/>
      <c r="X176" s="141"/>
      <c r="Y176" s="307"/>
      <c r="Z176" s="307"/>
      <c r="AA176" s="307"/>
      <c r="AB176" s="307"/>
    </row>
    <row r="177" spans="1:28" ht="17.399999999999999">
      <c r="A177" s="307"/>
      <c r="B177" s="307"/>
      <c r="C177" s="307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307"/>
      <c r="R177" s="307"/>
      <c r="S177" s="307"/>
      <c r="T177" s="307"/>
      <c r="U177" s="307"/>
      <c r="V177" s="307"/>
      <c r="W177" s="307"/>
      <c r="X177" s="141"/>
      <c r="Y177" s="307"/>
      <c r="Z177" s="307"/>
      <c r="AA177" s="307"/>
      <c r="AB177" s="307"/>
    </row>
    <row r="178" spans="1:28" ht="17.399999999999999">
      <c r="A178" s="307"/>
      <c r="B178" s="307"/>
      <c r="C178" s="307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307"/>
      <c r="R178" s="307"/>
      <c r="S178" s="307"/>
      <c r="T178" s="307"/>
      <c r="U178" s="307"/>
      <c r="V178" s="307"/>
      <c r="W178" s="307"/>
      <c r="X178" s="141"/>
      <c r="Y178" s="307"/>
      <c r="Z178" s="307"/>
      <c r="AA178" s="307"/>
      <c r="AB178" s="307"/>
    </row>
    <row r="179" spans="1:28" ht="17.399999999999999">
      <c r="A179" s="307"/>
      <c r="B179" s="307"/>
      <c r="C179" s="307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307"/>
      <c r="R179" s="307"/>
      <c r="S179" s="307"/>
      <c r="T179" s="307"/>
      <c r="U179" s="307"/>
      <c r="V179" s="307"/>
      <c r="W179" s="307"/>
      <c r="X179" s="141"/>
      <c r="Y179" s="307"/>
      <c r="Z179" s="307"/>
      <c r="AA179" s="307"/>
      <c r="AB179" s="307"/>
    </row>
    <row r="180" spans="1:28" ht="17.399999999999999">
      <c r="A180" s="307"/>
      <c r="B180" s="307"/>
      <c r="C180" s="307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307"/>
      <c r="R180" s="307"/>
      <c r="S180" s="307"/>
      <c r="T180" s="307"/>
      <c r="U180" s="307"/>
      <c r="V180" s="307"/>
      <c r="W180" s="307"/>
      <c r="X180" s="141"/>
      <c r="Y180" s="307"/>
      <c r="Z180" s="307"/>
      <c r="AA180" s="307"/>
      <c r="AB180" s="307"/>
    </row>
    <row r="181" spans="1:28" ht="17.399999999999999">
      <c r="A181" s="307"/>
      <c r="B181" s="307"/>
      <c r="C181" s="307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307"/>
      <c r="R181" s="307"/>
      <c r="S181" s="307"/>
      <c r="T181" s="307"/>
      <c r="U181" s="307"/>
      <c r="V181" s="307"/>
      <c r="W181" s="307"/>
      <c r="X181" s="141"/>
      <c r="Y181" s="307"/>
      <c r="Z181" s="307"/>
      <c r="AA181" s="307"/>
      <c r="AB181" s="307"/>
    </row>
    <row r="182" spans="1:28" ht="17.399999999999999">
      <c r="A182" s="307"/>
      <c r="B182" s="307"/>
      <c r="C182" s="307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307"/>
      <c r="R182" s="307"/>
      <c r="S182" s="307"/>
      <c r="T182" s="307"/>
      <c r="U182" s="307"/>
      <c r="V182" s="307"/>
      <c r="W182" s="307"/>
      <c r="X182" s="141"/>
      <c r="Y182" s="307"/>
      <c r="Z182" s="307"/>
      <c r="AA182" s="307"/>
      <c r="AB182" s="307"/>
    </row>
    <row r="183" spans="1:28" ht="17.399999999999999">
      <c r="A183" s="307"/>
      <c r="B183" s="307"/>
      <c r="C183" s="307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307"/>
      <c r="R183" s="307"/>
      <c r="S183" s="307"/>
      <c r="T183" s="307"/>
      <c r="U183" s="307"/>
      <c r="V183" s="307"/>
      <c r="W183" s="307"/>
      <c r="X183" s="141"/>
      <c r="Y183" s="307"/>
      <c r="Z183" s="307"/>
      <c r="AA183" s="307"/>
      <c r="AB183" s="307"/>
    </row>
    <row r="184" spans="1:28" ht="17.399999999999999">
      <c r="A184" s="307"/>
      <c r="B184" s="307"/>
      <c r="C184" s="307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307"/>
      <c r="R184" s="307"/>
      <c r="S184" s="307"/>
      <c r="T184" s="307"/>
      <c r="U184" s="307"/>
      <c r="V184" s="307"/>
      <c r="W184" s="307"/>
      <c r="X184" s="141"/>
      <c r="Y184" s="307"/>
      <c r="Z184" s="307"/>
      <c r="AA184" s="307"/>
      <c r="AB184" s="307"/>
    </row>
    <row r="185" spans="1:28" ht="17.399999999999999">
      <c r="A185" s="307"/>
      <c r="B185" s="307"/>
      <c r="C185" s="307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307"/>
      <c r="R185" s="307"/>
      <c r="S185" s="307"/>
      <c r="T185" s="307"/>
      <c r="U185" s="307"/>
      <c r="V185" s="307"/>
      <c r="W185" s="307"/>
      <c r="X185" s="141"/>
      <c r="Y185" s="307"/>
      <c r="Z185" s="307"/>
      <c r="AA185" s="307"/>
      <c r="AB185" s="307"/>
    </row>
    <row r="186" spans="1:28" ht="17.399999999999999">
      <c r="A186" s="307"/>
      <c r="B186" s="307"/>
      <c r="C186" s="307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307"/>
      <c r="R186" s="307"/>
      <c r="S186" s="307"/>
      <c r="T186" s="307"/>
      <c r="U186" s="307"/>
      <c r="V186" s="307"/>
      <c r="W186" s="307"/>
      <c r="X186" s="141"/>
      <c r="Y186" s="307"/>
      <c r="Z186" s="307"/>
      <c r="AA186" s="307"/>
      <c r="AB186" s="307"/>
    </row>
    <row r="187" spans="1:28" ht="17.399999999999999">
      <c r="A187" s="307"/>
      <c r="B187" s="307"/>
      <c r="C187" s="307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307"/>
      <c r="R187" s="307"/>
      <c r="S187" s="307"/>
      <c r="T187" s="307"/>
      <c r="U187" s="307"/>
      <c r="V187" s="307"/>
      <c r="W187" s="307"/>
      <c r="X187" s="141"/>
      <c r="Y187" s="307"/>
      <c r="Z187" s="307"/>
      <c r="AA187" s="307"/>
      <c r="AB187" s="307"/>
    </row>
    <row r="188" spans="1:28" ht="17.399999999999999">
      <c r="A188" s="307"/>
      <c r="B188" s="307"/>
      <c r="C188" s="307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307"/>
      <c r="R188" s="307"/>
      <c r="S188" s="307"/>
      <c r="T188" s="307"/>
      <c r="U188" s="307"/>
      <c r="V188" s="307"/>
      <c r="W188" s="307"/>
      <c r="X188" s="141"/>
      <c r="Y188" s="307"/>
      <c r="Z188" s="307"/>
      <c r="AA188" s="307"/>
      <c r="AB188" s="307"/>
    </row>
    <row r="189" spans="1:28" ht="17.399999999999999">
      <c r="A189" s="307"/>
      <c r="B189" s="307"/>
      <c r="C189" s="307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307"/>
      <c r="R189" s="307"/>
      <c r="S189" s="307"/>
      <c r="T189" s="307"/>
      <c r="U189" s="307"/>
      <c r="V189" s="307"/>
      <c r="W189" s="307"/>
      <c r="X189" s="141"/>
      <c r="Y189" s="307"/>
      <c r="Z189" s="307"/>
      <c r="AA189" s="307"/>
      <c r="AB189" s="307"/>
    </row>
    <row r="190" spans="1:28" ht="17.399999999999999">
      <c r="A190" s="307"/>
      <c r="B190" s="307"/>
      <c r="C190" s="307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307"/>
      <c r="R190" s="307"/>
      <c r="S190" s="307"/>
      <c r="T190" s="307"/>
      <c r="U190" s="307"/>
      <c r="V190" s="307"/>
      <c r="W190" s="307"/>
      <c r="X190" s="141"/>
      <c r="Y190" s="307"/>
      <c r="Z190" s="307"/>
      <c r="AA190" s="307"/>
      <c r="AB190" s="307"/>
    </row>
    <row r="191" spans="1:28" ht="17.399999999999999">
      <c r="A191" s="307"/>
      <c r="B191" s="307"/>
      <c r="C191" s="307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307"/>
      <c r="R191" s="307"/>
      <c r="S191" s="307"/>
      <c r="T191" s="307"/>
      <c r="U191" s="307"/>
      <c r="V191" s="307"/>
      <c r="W191" s="307"/>
      <c r="X191" s="141"/>
      <c r="Y191" s="307"/>
      <c r="Z191" s="307"/>
      <c r="AA191" s="307"/>
      <c r="AB191" s="307"/>
    </row>
    <row r="192" spans="1:28" ht="17.399999999999999">
      <c r="A192" s="307"/>
      <c r="B192" s="307"/>
      <c r="C192" s="307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307"/>
      <c r="R192" s="307"/>
      <c r="S192" s="307"/>
      <c r="T192" s="307"/>
      <c r="U192" s="307"/>
      <c r="V192" s="307"/>
      <c r="W192" s="307"/>
      <c r="X192" s="141"/>
      <c r="Y192" s="307"/>
      <c r="Z192" s="307"/>
      <c r="AA192" s="307"/>
      <c r="AB192" s="307"/>
    </row>
    <row r="193" spans="1:28" ht="17.399999999999999">
      <c r="A193" s="307"/>
      <c r="B193" s="307"/>
      <c r="C193" s="307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307"/>
      <c r="R193" s="307"/>
      <c r="S193" s="307"/>
      <c r="T193" s="307"/>
      <c r="U193" s="307"/>
      <c r="V193" s="307"/>
      <c r="W193" s="307"/>
      <c r="X193" s="141"/>
      <c r="Y193" s="307"/>
      <c r="Z193" s="307"/>
      <c r="AA193" s="307"/>
      <c r="AB193" s="307"/>
    </row>
    <row r="194" spans="1:28" ht="17.399999999999999">
      <c r="A194" s="307"/>
      <c r="B194" s="307"/>
      <c r="C194" s="307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307"/>
      <c r="R194" s="307"/>
      <c r="S194" s="307"/>
      <c r="T194" s="307"/>
      <c r="U194" s="307"/>
      <c r="V194" s="307"/>
      <c r="W194" s="307"/>
      <c r="X194" s="141"/>
      <c r="Y194" s="307"/>
      <c r="Z194" s="307"/>
      <c r="AA194" s="307"/>
      <c r="AB194" s="307"/>
    </row>
    <row r="195" spans="1:28" ht="17.399999999999999">
      <c r="A195" s="307"/>
      <c r="B195" s="307"/>
      <c r="C195" s="307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307"/>
      <c r="R195" s="307"/>
      <c r="S195" s="307"/>
      <c r="T195" s="307"/>
      <c r="U195" s="307"/>
      <c r="V195" s="307"/>
      <c r="W195" s="307"/>
      <c r="X195" s="141"/>
      <c r="Y195" s="307"/>
      <c r="Z195" s="307"/>
      <c r="AA195" s="307"/>
      <c r="AB195" s="307"/>
    </row>
    <row r="196" spans="1:28" ht="17.399999999999999">
      <c r="A196" s="307"/>
      <c r="B196" s="307"/>
      <c r="C196" s="307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307"/>
      <c r="R196" s="307"/>
      <c r="S196" s="307"/>
      <c r="T196" s="307"/>
      <c r="U196" s="307"/>
      <c r="V196" s="307"/>
      <c r="W196" s="307"/>
      <c r="X196" s="141"/>
      <c r="Y196" s="307"/>
      <c r="Z196" s="307"/>
      <c r="AA196" s="307"/>
      <c r="AB196" s="307"/>
    </row>
    <row r="197" spans="1:28" ht="17.399999999999999">
      <c r="A197" s="307"/>
      <c r="B197" s="307"/>
      <c r="C197" s="307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307"/>
      <c r="R197" s="307"/>
      <c r="S197" s="307"/>
      <c r="T197" s="307"/>
      <c r="U197" s="307"/>
      <c r="V197" s="307"/>
      <c r="W197" s="307"/>
      <c r="X197" s="141"/>
      <c r="Y197" s="307"/>
      <c r="Z197" s="307"/>
      <c r="AA197" s="307"/>
      <c r="AB197" s="307"/>
    </row>
    <row r="198" spans="1:28" ht="17.399999999999999">
      <c r="A198" s="307"/>
      <c r="B198" s="307"/>
      <c r="C198" s="307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307"/>
      <c r="R198" s="307"/>
      <c r="S198" s="307"/>
      <c r="T198" s="307"/>
      <c r="U198" s="307"/>
      <c r="V198" s="307"/>
      <c r="W198" s="307"/>
      <c r="X198" s="141"/>
      <c r="Y198" s="307"/>
      <c r="Z198" s="307"/>
      <c r="AA198" s="307"/>
      <c r="AB198" s="307"/>
    </row>
    <row r="199" spans="1:28" ht="17.399999999999999">
      <c r="A199" s="307"/>
      <c r="B199" s="307"/>
      <c r="C199" s="307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307"/>
      <c r="R199" s="307"/>
      <c r="S199" s="307"/>
      <c r="T199" s="307"/>
      <c r="U199" s="307"/>
      <c r="V199" s="307"/>
      <c r="W199" s="307"/>
      <c r="X199" s="141"/>
      <c r="Y199" s="307"/>
      <c r="Z199" s="307"/>
      <c r="AA199" s="307"/>
      <c r="AB199" s="307"/>
    </row>
    <row r="200" spans="1:28" ht="17.399999999999999">
      <c r="A200" s="307"/>
      <c r="B200" s="307"/>
      <c r="C200" s="307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307"/>
      <c r="R200" s="307"/>
      <c r="S200" s="307"/>
      <c r="T200" s="307"/>
      <c r="U200" s="307"/>
      <c r="V200" s="307"/>
      <c r="W200" s="307"/>
      <c r="X200" s="141"/>
      <c r="Y200" s="307"/>
      <c r="Z200" s="307"/>
      <c r="AA200" s="307"/>
      <c r="AB200" s="307"/>
    </row>
    <row r="201" spans="1:28" ht="17.399999999999999">
      <c r="A201" s="307"/>
      <c r="B201" s="307"/>
      <c r="C201" s="307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307"/>
      <c r="R201" s="307"/>
      <c r="S201" s="307"/>
      <c r="T201" s="307"/>
      <c r="U201" s="307"/>
      <c r="V201" s="307"/>
      <c r="W201" s="307"/>
      <c r="X201" s="141"/>
      <c r="Y201" s="307"/>
      <c r="Z201" s="307"/>
      <c r="AA201" s="307"/>
      <c r="AB201" s="307"/>
    </row>
    <row r="202" spans="1:28" ht="17.399999999999999">
      <c r="A202" s="307"/>
      <c r="B202" s="307"/>
      <c r="C202" s="307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307"/>
      <c r="R202" s="307"/>
      <c r="S202" s="307"/>
      <c r="T202" s="307"/>
      <c r="U202" s="307"/>
      <c r="V202" s="307"/>
      <c r="W202" s="307"/>
      <c r="X202" s="141"/>
      <c r="Y202" s="307"/>
      <c r="Z202" s="307"/>
      <c r="AA202" s="307"/>
      <c r="AB202" s="307"/>
    </row>
    <row r="203" spans="1:28" ht="17.399999999999999">
      <c r="A203" s="307"/>
      <c r="B203" s="307"/>
      <c r="C203" s="307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307"/>
      <c r="R203" s="307"/>
      <c r="S203" s="307"/>
      <c r="T203" s="307"/>
      <c r="U203" s="307"/>
      <c r="V203" s="307"/>
      <c r="W203" s="307"/>
      <c r="X203" s="141"/>
      <c r="Y203" s="307"/>
      <c r="Z203" s="307"/>
      <c r="AA203" s="307"/>
      <c r="AB203" s="307"/>
    </row>
    <row r="204" spans="1:28" ht="17.399999999999999">
      <c r="A204" s="307"/>
      <c r="B204" s="307"/>
      <c r="C204" s="307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307"/>
      <c r="R204" s="307"/>
      <c r="S204" s="307"/>
      <c r="T204" s="307"/>
      <c r="U204" s="307"/>
      <c r="V204" s="307"/>
      <c r="W204" s="307"/>
      <c r="X204" s="141"/>
      <c r="Y204" s="307"/>
      <c r="Z204" s="307"/>
      <c r="AA204" s="307"/>
      <c r="AB204" s="307"/>
    </row>
    <row r="205" spans="1:28" ht="17.399999999999999">
      <c r="A205" s="307"/>
      <c r="B205" s="307"/>
      <c r="C205" s="307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307"/>
      <c r="R205" s="307"/>
      <c r="S205" s="307"/>
      <c r="T205" s="307"/>
      <c r="U205" s="307"/>
      <c r="V205" s="307"/>
      <c r="W205" s="307"/>
      <c r="X205" s="141"/>
      <c r="Y205" s="307"/>
      <c r="Z205" s="307"/>
      <c r="AA205" s="307"/>
      <c r="AB205" s="307"/>
    </row>
    <row r="206" spans="1:28" ht="17.399999999999999">
      <c r="A206" s="307"/>
      <c r="B206" s="307"/>
      <c r="C206" s="307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307"/>
      <c r="R206" s="307"/>
      <c r="S206" s="307"/>
      <c r="T206" s="307"/>
      <c r="U206" s="307"/>
      <c r="V206" s="307"/>
      <c r="W206" s="307"/>
      <c r="X206" s="141"/>
      <c r="Y206" s="307"/>
      <c r="Z206" s="307"/>
      <c r="AA206" s="307"/>
      <c r="AB206" s="307"/>
    </row>
    <row r="207" spans="1:28" ht="17.399999999999999">
      <c r="A207" s="307"/>
      <c r="B207" s="307"/>
      <c r="C207" s="307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307"/>
      <c r="R207" s="307"/>
      <c r="S207" s="307"/>
      <c r="T207" s="307"/>
      <c r="U207" s="307"/>
      <c r="V207" s="307"/>
      <c r="W207" s="307"/>
      <c r="X207" s="141"/>
      <c r="Y207" s="307"/>
      <c r="Z207" s="307"/>
      <c r="AA207" s="307"/>
      <c r="AB207" s="307"/>
    </row>
    <row r="208" spans="1:28" ht="17.399999999999999">
      <c r="A208" s="307"/>
      <c r="B208" s="307"/>
      <c r="C208" s="307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307"/>
      <c r="R208" s="307"/>
      <c r="S208" s="307"/>
      <c r="T208" s="307"/>
      <c r="U208" s="307"/>
      <c r="V208" s="307"/>
      <c r="W208" s="307"/>
      <c r="X208" s="141"/>
      <c r="Y208" s="307"/>
      <c r="Z208" s="307"/>
      <c r="AA208" s="307"/>
      <c r="AB208" s="307"/>
    </row>
    <row r="209" spans="1:28" ht="17.399999999999999">
      <c r="A209" s="307"/>
      <c r="B209" s="307"/>
      <c r="C209" s="307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307"/>
      <c r="R209" s="307"/>
      <c r="S209" s="307"/>
      <c r="T209" s="307"/>
      <c r="U209" s="307"/>
      <c r="V209" s="307"/>
      <c r="W209" s="307"/>
      <c r="X209" s="141"/>
      <c r="Y209" s="307"/>
      <c r="Z209" s="307"/>
      <c r="AA209" s="307"/>
      <c r="AB209" s="307"/>
    </row>
    <row r="210" spans="1:28" ht="17.399999999999999">
      <c r="A210" s="307"/>
      <c r="B210" s="307"/>
      <c r="C210" s="307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307"/>
      <c r="R210" s="307"/>
      <c r="S210" s="307"/>
      <c r="T210" s="307"/>
      <c r="U210" s="307"/>
      <c r="V210" s="307"/>
      <c r="W210" s="307"/>
      <c r="X210" s="141"/>
      <c r="Y210" s="307"/>
      <c r="Z210" s="307"/>
      <c r="AA210" s="307"/>
      <c r="AB210" s="307"/>
    </row>
    <row r="211" spans="1:28" ht="17.399999999999999">
      <c r="A211" s="307"/>
      <c r="B211" s="307"/>
      <c r="C211" s="307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307"/>
      <c r="R211" s="307"/>
      <c r="S211" s="307"/>
      <c r="T211" s="307"/>
      <c r="U211" s="307"/>
      <c r="V211" s="307"/>
      <c r="W211" s="307"/>
      <c r="X211" s="141"/>
      <c r="Y211" s="307"/>
      <c r="Z211" s="307"/>
      <c r="AA211" s="307"/>
      <c r="AB211" s="307"/>
    </row>
    <row r="212" spans="1:28" ht="17.399999999999999">
      <c r="A212" s="307"/>
      <c r="B212" s="307"/>
      <c r="C212" s="307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307"/>
      <c r="R212" s="307"/>
      <c r="S212" s="307"/>
      <c r="T212" s="307"/>
      <c r="U212" s="307"/>
      <c r="V212" s="307"/>
      <c r="W212" s="307"/>
      <c r="X212" s="141"/>
      <c r="Y212" s="307"/>
      <c r="Z212" s="307"/>
      <c r="AA212" s="307"/>
      <c r="AB212" s="307"/>
    </row>
    <row r="213" spans="1:28" ht="17.399999999999999">
      <c r="A213" s="307"/>
      <c r="B213" s="307"/>
      <c r="C213" s="307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307"/>
      <c r="R213" s="307"/>
      <c r="S213" s="307"/>
      <c r="T213" s="307"/>
      <c r="U213" s="307"/>
      <c r="V213" s="307"/>
      <c r="W213" s="307"/>
      <c r="X213" s="141"/>
      <c r="Y213" s="307"/>
      <c r="Z213" s="307"/>
      <c r="AA213" s="307"/>
      <c r="AB213" s="307"/>
    </row>
    <row r="214" spans="1:28" ht="17.399999999999999">
      <c r="A214" s="307"/>
      <c r="B214" s="307"/>
      <c r="C214" s="307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307"/>
      <c r="R214" s="307"/>
      <c r="S214" s="307"/>
      <c r="T214" s="307"/>
      <c r="U214" s="307"/>
      <c r="V214" s="307"/>
      <c r="W214" s="307"/>
      <c r="X214" s="141"/>
      <c r="Y214" s="307"/>
      <c r="Z214" s="307"/>
      <c r="AA214" s="307"/>
      <c r="AB214" s="307"/>
    </row>
    <row r="215" spans="1:28" ht="17.399999999999999">
      <c r="A215" s="307"/>
      <c r="B215" s="307"/>
      <c r="C215" s="307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307"/>
      <c r="R215" s="307"/>
      <c r="S215" s="307"/>
      <c r="T215" s="307"/>
      <c r="U215" s="307"/>
      <c r="V215" s="307"/>
      <c r="W215" s="307"/>
      <c r="X215" s="141"/>
      <c r="Y215" s="307"/>
      <c r="Z215" s="307"/>
      <c r="AA215" s="307"/>
      <c r="AB215" s="307"/>
    </row>
    <row r="216" spans="1:28" ht="17.399999999999999">
      <c r="A216" s="307"/>
      <c r="B216" s="307"/>
      <c r="C216" s="307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307"/>
      <c r="R216" s="307"/>
      <c r="S216" s="307"/>
      <c r="T216" s="307"/>
      <c r="U216" s="307"/>
      <c r="V216" s="307"/>
      <c r="W216" s="307"/>
      <c r="X216" s="141"/>
      <c r="Y216" s="307"/>
      <c r="Z216" s="307"/>
      <c r="AA216" s="307"/>
      <c r="AB216" s="307"/>
    </row>
    <row r="217" spans="1:28" ht="17.399999999999999">
      <c r="A217" s="307"/>
      <c r="B217" s="307"/>
      <c r="C217" s="307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307"/>
      <c r="R217" s="307"/>
      <c r="S217" s="307"/>
      <c r="T217" s="307"/>
      <c r="U217" s="307"/>
      <c r="V217" s="307"/>
      <c r="W217" s="307"/>
      <c r="X217" s="141"/>
      <c r="Y217" s="307"/>
      <c r="Z217" s="307"/>
      <c r="AA217" s="307"/>
      <c r="AB217" s="307"/>
    </row>
    <row r="218" spans="1:28" ht="17.399999999999999">
      <c r="A218" s="307"/>
      <c r="B218" s="307"/>
      <c r="C218" s="307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307"/>
      <c r="R218" s="307"/>
      <c r="S218" s="307"/>
      <c r="T218" s="307"/>
      <c r="U218" s="307"/>
      <c r="V218" s="307"/>
      <c r="W218" s="307"/>
      <c r="X218" s="141"/>
      <c r="Y218" s="307"/>
      <c r="Z218" s="307"/>
      <c r="AA218" s="307"/>
      <c r="AB218" s="307"/>
    </row>
    <row r="219" spans="1:28" ht="17.399999999999999">
      <c r="A219" s="307"/>
      <c r="B219" s="307"/>
      <c r="C219" s="307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307"/>
      <c r="R219" s="307"/>
      <c r="S219" s="307"/>
      <c r="T219" s="307"/>
      <c r="U219" s="307"/>
      <c r="V219" s="307"/>
      <c r="W219" s="307"/>
      <c r="X219" s="141"/>
      <c r="Y219" s="307"/>
      <c r="Z219" s="307"/>
      <c r="AA219" s="307"/>
      <c r="AB219" s="307"/>
    </row>
    <row r="220" spans="1:28" ht="17.399999999999999">
      <c r="A220" s="307"/>
      <c r="B220" s="307"/>
      <c r="C220" s="307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307"/>
      <c r="R220" s="307"/>
      <c r="S220" s="307"/>
      <c r="T220" s="307"/>
      <c r="U220" s="307"/>
      <c r="V220" s="307"/>
      <c r="W220" s="307"/>
      <c r="X220" s="141"/>
      <c r="Y220" s="307"/>
      <c r="Z220" s="307"/>
      <c r="AA220" s="307"/>
      <c r="AB220" s="307"/>
    </row>
    <row r="221" spans="1:28" ht="17.399999999999999">
      <c r="A221" s="307"/>
      <c r="B221" s="307"/>
      <c r="C221" s="307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307"/>
      <c r="R221" s="307"/>
      <c r="S221" s="307"/>
      <c r="T221" s="307"/>
      <c r="U221" s="307"/>
      <c r="V221" s="307"/>
      <c r="W221" s="307"/>
      <c r="X221" s="141"/>
      <c r="Y221" s="307"/>
      <c r="Z221" s="307"/>
      <c r="AA221" s="307"/>
      <c r="AB221" s="307"/>
    </row>
    <row r="222" spans="1:28" ht="17.399999999999999">
      <c r="A222" s="307"/>
      <c r="B222" s="307"/>
      <c r="C222" s="307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307"/>
      <c r="R222" s="307"/>
      <c r="S222" s="307"/>
      <c r="T222" s="307"/>
      <c r="U222" s="307"/>
      <c r="V222" s="307"/>
      <c r="W222" s="307"/>
      <c r="X222" s="141"/>
      <c r="Y222" s="307"/>
      <c r="Z222" s="307"/>
      <c r="AA222" s="307"/>
      <c r="AB222" s="307"/>
    </row>
    <row r="223" spans="1:28" ht="17.399999999999999">
      <c r="A223" s="307"/>
      <c r="B223" s="307"/>
      <c r="C223" s="307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307"/>
      <c r="R223" s="307"/>
      <c r="S223" s="307"/>
      <c r="T223" s="307"/>
      <c r="U223" s="307"/>
      <c r="V223" s="307"/>
      <c r="W223" s="307"/>
      <c r="X223" s="141"/>
      <c r="Y223" s="307"/>
      <c r="Z223" s="307"/>
      <c r="AA223" s="307"/>
      <c r="AB223" s="307"/>
    </row>
    <row r="224" spans="1:28" ht="17.399999999999999">
      <c r="A224" s="307"/>
      <c r="B224" s="307"/>
      <c r="C224" s="307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307"/>
      <c r="R224" s="307"/>
      <c r="S224" s="307"/>
      <c r="T224" s="307"/>
      <c r="U224" s="307"/>
      <c r="V224" s="307"/>
      <c r="W224" s="307"/>
      <c r="X224" s="141"/>
      <c r="Y224" s="307"/>
      <c r="Z224" s="307"/>
      <c r="AA224" s="307"/>
      <c r="AB224" s="307"/>
    </row>
    <row r="225" spans="1:28" ht="17.399999999999999">
      <c r="A225" s="307"/>
      <c r="B225" s="307"/>
      <c r="C225" s="307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307"/>
      <c r="R225" s="307"/>
      <c r="S225" s="307"/>
      <c r="T225" s="307"/>
      <c r="U225" s="307"/>
      <c r="V225" s="307"/>
      <c r="W225" s="307"/>
      <c r="X225" s="141"/>
      <c r="Y225" s="307"/>
      <c r="Z225" s="307"/>
      <c r="AA225" s="307"/>
      <c r="AB225" s="307"/>
    </row>
    <row r="226" spans="1:28" ht="17.399999999999999">
      <c r="A226" s="307"/>
      <c r="B226" s="307"/>
      <c r="C226" s="307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307"/>
      <c r="R226" s="307"/>
      <c r="S226" s="307"/>
      <c r="T226" s="307"/>
      <c r="U226" s="307"/>
      <c r="V226" s="307"/>
      <c r="W226" s="307"/>
      <c r="X226" s="141"/>
      <c r="Y226" s="307"/>
      <c r="Z226" s="307"/>
      <c r="AA226" s="307"/>
      <c r="AB226" s="307"/>
    </row>
    <row r="227" spans="1:28" ht="17.399999999999999">
      <c r="A227" s="307"/>
      <c r="B227" s="307"/>
      <c r="C227" s="307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307"/>
      <c r="R227" s="307"/>
      <c r="S227" s="307"/>
      <c r="T227" s="307"/>
      <c r="U227" s="307"/>
      <c r="V227" s="307"/>
      <c r="W227" s="307"/>
      <c r="X227" s="141"/>
      <c r="Y227" s="307"/>
      <c r="Z227" s="307"/>
      <c r="AA227" s="307"/>
      <c r="AB227" s="307"/>
    </row>
    <row r="228" spans="1:28" ht="17.399999999999999">
      <c r="A228" s="307"/>
      <c r="B228" s="307"/>
      <c r="C228" s="307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307"/>
      <c r="R228" s="307"/>
      <c r="S228" s="307"/>
      <c r="T228" s="307"/>
      <c r="U228" s="307"/>
      <c r="V228" s="307"/>
      <c r="W228" s="307"/>
      <c r="X228" s="141"/>
      <c r="Y228" s="307"/>
      <c r="Z228" s="307"/>
      <c r="AA228" s="307"/>
      <c r="AB228" s="307"/>
    </row>
    <row r="229" spans="1:28" ht="17.399999999999999">
      <c r="A229" s="307"/>
      <c r="B229" s="307"/>
      <c r="C229" s="307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307"/>
      <c r="R229" s="307"/>
      <c r="S229" s="307"/>
      <c r="T229" s="307"/>
      <c r="U229" s="307"/>
      <c r="V229" s="307"/>
      <c r="W229" s="307"/>
      <c r="X229" s="141"/>
      <c r="Y229" s="307"/>
      <c r="Z229" s="307"/>
      <c r="AA229" s="307"/>
      <c r="AB229" s="307"/>
    </row>
    <row r="230" spans="1:28" ht="17.399999999999999">
      <c r="A230" s="307"/>
      <c r="B230" s="307"/>
      <c r="C230" s="307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307"/>
      <c r="R230" s="307"/>
      <c r="S230" s="307"/>
      <c r="T230" s="307"/>
      <c r="U230" s="307"/>
      <c r="V230" s="307"/>
      <c r="W230" s="307"/>
      <c r="X230" s="141"/>
      <c r="Y230" s="307"/>
      <c r="Z230" s="307"/>
      <c r="AA230" s="307"/>
      <c r="AB230" s="307"/>
    </row>
    <row r="231" spans="1:28" ht="17.399999999999999">
      <c r="A231" s="307"/>
      <c r="B231" s="307"/>
      <c r="C231" s="307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307"/>
      <c r="R231" s="307"/>
      <c r="S231" s="307"/>
      <c r="T231" s="307"/>
      <c r="U231" s="307"/>
      <c r="V231" s="307"/>
      <c r="W231" s="307"/>
      <c r="X231" s="141"/>
      <c r="Y231" s="307"/>
      <c r="Z231" s="307"/>
      <c r="AA231" s="307"/>
      <c r="AB231" s="307"/>
    </row>
    <row r="232" spans="1:28" ht="17.399999999999999">
      <c r="A232" s="307"/>
      <c r="B232" s="307"/>
      <c r="C232" s="307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307"/>
      <c r="R232" s="307"/>
      <c r="S232" s="307"/>
      <c r="T232" s="307"/>
      <c r="U232" s="307"/>
      <c r="V232" s="307"/>
      <c r="W232" s="307"/>
      <c r="X232" s="141"/>
      <c r="Y232" s="307"/>
      <c r="Z232" s="307"/>
      <c r="AA232" s="307"/>
      <c r="AB232" s="307"/>
    </row>
    <row r="233" spans="1:28" ht="17.399999999999999">
      <c r="A233" s="307"/>
      <c r="B233" s="307"/>
      <c r="C233" s="307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307"/>
      <c r="R233" s="307"/>
      <c r="S233" s="307"/>
      <c r="T233" s="307"/>
      <c r="U233" s="307"/>
      <c r="V233" s="307"/>
      <c r="W233" s="307"/>
      <c r="X233" s="141"/>
      <c r="Y233" s="307"/>
      <c r="Z233" s="307"/>
      <c r="AA233" s="307"/>
      <c r="AB233" s="307"/>
    </row>
    <row r="234" spans="1:28" ht="17.399999999999999">
      <c r="A234" s="307"/>
      <c r="B234" s="307"/>
      <c r="C234" s="307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307"/>
      <c r="R234" s="307"/>
      <c r="S234" s="307"/>
      <c r="T234" s="307"/>
      <c r="U234" s="307"/>
      <c r="V234" s="307"/>
      <c r="W234" s="307"/>
      <c r="X234" s="141"/>
      <c r="Y234" s="307"/>
      <c r="Z234" s="307"/>
      <c r="AA234" s="307"/>
      <c r="AB234" s="307"/>
    </row>
    <row r="235" spans="1:28" ht="17.399999999999999">
      <c r="A235" s="307"/>
      <c r="B235" s="307"/>
      <c r="C235" s="307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307"/>
      <c r="R235" s="307"/>
      <c r="S235" s="307"/>
      <c r="T235" s="307"/>
      <c r="U235" s="307"/>
      <c r="V235" s="307"/>
      <c r="W235" s="307"/>
      <c r="X235" s="141"/>
      <c r="Y235" s="307"/>
      <c r="Z235" s="307"/>
      <c r="AA235" s="307"/>
      <c r="AB235" s="307"/>
    </row>
    <row r="236" spans="1:28" ht="17.399999999999999">
      <c r="A236" s="307"/>
      <c r="B236" s="307"/>
      <c r="C236" s="307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307"/>
      <c r="R236" s="307"/>
      <c r="S236" s="307"/>
      <c r="T236" s="307"/>
      <c r="U236" s="307"/>
      <c r="V236" s="307"/>
      <c r="W236" s="307"/>
      <c r="X236" s="141"/>
      <c r="Y236" s="307"/>
      <c r="Z236" s="307"/>
      <c r="AA236" s="307"/>
      <c r="AB236" s="307"/>
    </row>
    <row r="237" spans="1:28" ht="17.399999999999999">
      <c r="A237" s="307"/>
      <c r="B237" s="307"/>
      <c r="C237" s="307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307"/>
      <c r="R237" s="307"/>
      <c r="S237" s="307"/>
      <c r="T237" s="307"/>
      <c r="U237" s="307"/>
      <c r="V237" s="307"/>
      <c r="W237" s="307"/>
      <c r="X237" s="141"/>
      <c r="Y237" s="307"/>
      <c r="Z237" s="307"/>
      <c r="AA237" s="307"/>
      <c r="AB237" s="307"/>
    </row>
    <row r="238" spans="1:28" ht="17.399999999999999">
      <c r="A238" s="307"/>
      <c r="B238" s="307"/>
      <c r="C238" s="307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307"/>
      <c r="R238" s="307"/>
      <c r="S238" s="307"/>
      <c r="T238" s="307"/>
      <c r="U238" s="307"/>
      <c r="V238" s="307"/>
      <c r="W238" s="307"/>
      <c r="X238" s="141"/>
      <c r="Y238" s="307"/>
      <c r="Z238" s="307"/>
      <c r="AA238" s="307"/>
      <c r="AB238" s="307"/>
    </row>
    <row r="239" spans="1:28" ht="17.399999999999999">
      <c r="A239" s="307"/>
      <c r="B239" s="307"/>
      <c r="C239" s="307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307"/>
      <c r="R239" s="307"/>
      <c r="S239" s="307"/>
      <c r="T239" s="307"/>
      <c r="U239" s="307"/>
      <c r="V239" s="307"/>
      <c r="W239" s="307"/>
      <c r="X239" s="141"/>
      <c r="Y239" s="307"/>
      <c r="Z239" s="307"/>
      <c r="AA239" s="307"/>
      <c r="AB239" s="307"/>
    </row>
    <row r="240" spans="1:28" ht="17.399999999999999">
      <c r="A240" s="307"/>
      <c r="B240" s="307"/>
      <c r="C240" s="307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307"/>
      <c r="R240" s="307"/>
      <c r="S240" s="307"/>
      <c r="T240" s="307"/>
      <c r="U240" s="307"/>
      <c r="V240" s="307"/>
      <c r="W240" s="307"/>
      <c r="X240" s="141"/>
      <c r="Y240" s="307"/>
      <c r="Z240" s="307"/>
      <c r="AA240" s="307"/>
      <c r="AB240" s="307"/>
    </row>
    <row r="241" spans="1:28" ht="17.399999999999999">
      <c r="A241" s="307"/>
      <c r="B241" s="307"/>
      <c r="C241" s="307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307"/>
      <c r="R241" s="307"/>
      <c r="S241" s="307"/>
      <c r="T241" s="307"/>
      <c r="U241" s="307"/>
      <c r="V241" s="307"/>
      <c r="W241" s="307"/>
      <c r="X241" s="141"/>
      <c r="Y241" s="307"/>
      <c r="Z241" s="307"/>
      <c r="AA241" s="307"/>
      <c r="AB241" s="307"/>
    </row>
    <row r="242" spans="1:28" ht="17.399999999999999">
      <c r="A242" s="307"/>
      <c r="B242" s="307"/>
      <c r="C242" s="307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307"/>
      <c r="R242" s="307"/>
      <c r="S242" s="307"/>
      <c r="T242" s="307"/>
      <c r="U242" s="307"/>
      <c r="V242" s="307"/>
      <c r="W242" s="307"/>
      <c r="X242" s="141"/>
      <c r="Y242" s="307"/>
      <c r="Z242" s="307"/>
      <c r="AA242" s="307"/>
      <c r="AB242" s="307"/>
    </row>
    <row r="243" spans="1:28" ht="17.399999999999999">
      <c r="A243" s="307"/>
      <c r="B243" s="307"/>
      <c r="C243" s="307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307"/>
      <c r="R243" s="307"/>
      <c r="S243" s="307"/>
      <c r="T243" s="307"/>
      <c r="U243" s="307"/>
      <c r="V243" s="307"/>
      <c r="W243" s="307"/>
      <c r="X243" s="141"/>
      <c r="Y243" s="307"/>
      <c r="Z243" s="307"/>
      <c r="AA243" s="307"/>
      <c r="AB243" s="307"/>
    </row>
    <row r="244" spans="1:28" ht="17.399999999999999">
      <c r="A244" s="307"/>
      <c r="B244" s="307"/>
      <c r="C244" s="307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307"/>
      <c r="R244" s="307"/>
      <c r="S244" s="307"/>
      <c r="T244" s="307"/>
      <c r="U244" s="307"/>
      <c r="V244" s="307"/>
      <c r="W244" s="307"/>
      <c r="X244" s="141"/>
      <c r="Y244" s="307"/>
      <c r="Z244" s="307"/>
      <c r="AA244" s="307"/>
      <c r="AB244" s="307"/>
    </row>
    <row r="245" spans="1:28" ht="17.399999999999999">
      <c r="A245" s="307"/>
      <c r="B245" s="307"/>
      <c r="C245" s="307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307"/>
      <c r="R245" s="307"/>
      <c r="S245" s="307"/>
      <c r="T245" s="307"/>
      <c r="U245" s="307"/>
      <c r="V245" s="307"/>
      <c r="W245" s="307"/>
      <c r="X245" s="141"/>
      <c r="Y245" s="307"/>
      <c r="Z245" s="307"/>
      <c r="AA245" s="307"/>
      <c r="AB245" s="307"/>
    </row>
    <row r="246" spans="1:28" ht="17.399999999999999">
      <c r="A246" s="307"/>
      <c r="B246" s="307"/>
      <c r="C246" s="307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307"/>
      <c r="R246" s="307"/>
      <c r="S246" s="307"/>
      <c r="T246" s="307"/>
      <c r="U246" s="307"/>
      <c r="V246" s="307"/>
      <c r="W246" s="307"/>
      <c r="X246" s="141"/>
      <c r="Y246" s="307"/>
      <c r="Z246" s="307"/>
      <c r="AA246" s="307"/>
      <c r="AB246" s="307"/>
    </row>
    <row r="247" spans="1:28" ht="17.399999999999999">
      <c r="A247" s="307"/>
      <c r="B247" s="307"/>
      <c r="C247" s="307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307"/>
      <c r="R247" s="307"/>
      <c r="S247" s="307"/>
      <c r="T247" s="307"/>
      <c r="U247" s="307"/>
      <c r="V247" s="307"/>
      <c r="W247" s="307"/>
      <c r="X247" s="141"/>
      <c r="Y247" s="307"/>
      <c r="Z247" s="307"/>
      <c r="AA247" s="307"/>
      <c r="AB247" s="307"/>
    </row>
    <row r="248" spans="1:28" ht="17.399999999999999">
      <c r="A248" s="307"/>
      <c r="B248" s="307"/>
      <c r="C248" s="307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307"/>
      <c r="R248" s="307"/>
      <c r="S248" s="307"/>
      <c r="T248" s="307"/>
      <c r="U248" s="307"/>
      <c r="V248" s="307"/>
      <c r="W248" s="307"/>
      <c r="X248" s="141"/>
      <c r="Y248" s="307"/>
      <c r="Z248" s="307"/>
      <c r="AA248" s="307"/>
      <c r="AB248" s="307"/>
    </row>
    <row r="249" spans="1:28" ht="17.399999999999999">
      <c r="A249" s="307"/>
      <c r="B249" s="307"/>
      <c r="C249" s="307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307"/>
      <c r="R249" s="307"/>
      <c r="S249" s="307"/>
      <c r="T249" s="307"/>
      <c r="U249" s="307"/>
      <c r="V249" s="307"/>
      <c r="W249" s="307"/>
      <c r="X249" s="141"/>
      <c r="Y249" s="307"/>
      <c r="Z249" s="307"/>
      <c r="AA249" s="307"/>
      <c r="AB249" s="307"/>
    </row>
    <row r="250" spans="1:28" ht="17.399999999999999">
      <c r="A250" s="307"/>
      <c r="B250" s="307"/>
      <c r="C250" s="307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307"/>
      <c r="R250" s="307"/>
      <c r="S250" s="307"/>
      <c r="T250" s="307"/>
      <c r="U250" s="307"/>
      <c r="V250" s="307"/>
      <c r="W250" s="307"/>
      <c r="X250" s="141"/>
      <c r="Y250" s="307"/>
      <c r="Z250" s="307"/>
      <c r="AA250" s="307"/>
      <c r="AB250" s="307"/>
    </row>
    <row r="251" spans="1:28" ht="17.399999999999999">
      <c r="A251" s="307"/>
      <c r="B251" s="307"/>
      <c r="C251" s="307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307"/>
      <c r="R251" s="307"/>
      <c r="S251" s="307"/>
      <c r="T251" s="307"/>
      <c r="U251" s="307"/>
      <c r="V251" s="307"/>
      <c r="W251" s="307"/>
      <c r="X251" s="141"/>
      <c r="Y251" s="307"/>
      <c r="Z251" s="307"/>
      <c r="AA251" s="307"/>
      <c r="AB251" s="307"/>
    </row>
    <row r="252" spans="1:28" ht="17.399999999999999">
      <c r="A252" s="307"/>
      <c r="B252" s="307"/>
      <c r="C252" s="307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307"/>
      <c r="R252" s="307"/>
      <c r="S252" s="307"/>
      <c r="T252" s="307"/>
      <c r="U252" s="307"/>
      <c r="V252" s="307"/>
      <c r="W252" s="307"/>
      <c r="X252" s="141"/>
      <c r="Y252" s="307"/>
      <c r="Z252" s="307"/>
      <c r="AA252" s="307"/>
      <c r="AB252" s="307"/>
    </row>
    <row r="253" spans="1:28" ht="17.399999999999999">
      <c r="A253" s="307"/>
      <c r="B253" s="307"/>
      <c r="C253" s="307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307"/>
      <c r="R253" s="307"/>
      <c r="S253" s="307"/>
      <c r="T253" s="307"/>
      <c r="U253" s="307"/>
      <c r="V253" s="307"/>
      <c r="W253" s="307"/>
      <c r="X253" s="141"/>
      <c r="Y253" s="307"/>
      <c r="Z253" s="307"/>
      <c r="AA253" s="307"/>
      <c r="AB253" s="307"/>
    </row>
    <row r="254" spans="1:28" ht="17.399999999999999">
      <c r="A254" s="307"/>
      <c r="B254" s="307"/>
      <c r="C254" s="307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307"/>
      <c r="R254" s="307"/>
      <c r="S254" s="307"/>
      <c r="T254" s="307"/>
      <c r="U254" s="307"/>
      <c r="V254" s="307"/>
      <c r="W254" s="307"/>
      <c r="X254" s="141"/>
      <c r="Y254" s="307"/>
      <c r="Z254" s="307"/>
      <c r="AA254" s="307"/>
      <c r="AB254" s="307"/>
    </row>
    <row r="255" spans="1:28" ht="17.399999999999999">
      <c r="A255" s="307"/>
      <c r="B255" s="307"/>
      <c r="C255" s="307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307"/>
      <c r="R255" s="307"/>
      <c r="S255" s="307"/>
      <c r="T255" s="307"/>
      <c r="U255" s="307"/>
      <c r="V255" s="307"/>
      <c r="W255" s="307"/>
      <c r="X255" s="141"/>
      <c r="Y255" s="307"/>
      <c r="Z255" s="307"/>
      <c r="AA255" s="307"/>
      <c r="AB255" s="307"/>
    </row>
    <row r="256" spans="1:28" ht="17.399999999999999">
      <c r="A256" s="307"/>
      <c r="B256" s="307"/>
      <c r="C256" s="307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307"/>
      <c r="R256" s="307"/>
      <c r="S256" s="307"/>
      <c r="T256" s="307"/>
      <c r="U256" s="307"/>
      <c r="V256" s="307"/>
      <c r="W256" s="307"/>
      <c r="X256" s="141"/>
      <c r="Y256" s="307"/>
      <c r="Z256" s="307"/>
      <c r="AA256" s="307"/>
      <c r="AB256" s="307"/>
    </row>
    <row r="257" spans="1:28" ht="17.399999999999999">
      <c r="A257" s="307"/>
      <c r="B257" s="307"/>
      <c r="C257" s="307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307"/>
      <c r="R257" s="307"/>
      <c r="S257" s="307"/>
      <c r="T257" s="307"/>
      <c r="U257" s="307"/>
      <c r="V257" s="307"/>
      <c r="W257" s="307"/>
      <c r="X257" s="141"/>
      <c r="Y257" s="307"/>
      <c r="Z257" s="307"/>
      <c r="AA257" s="307"/>
      <c r="AB257" s="307"/>
    </row>
    <row r="258" spans="1:28" ht="17.399999999999999">
      <c r="A258" s="307"/>
      <c r="B258" s="307"/>
      <c r="C258" s="307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307"/>
      <c r="R258" s="307"/>
      <c r="S258" s="307"/>
      <c r="T258" s="307"/>
      <c r="U258" s="307"/>
      <c r="V258" s="307"/>
      <c r="W258" s="307"/>
      <c r="X258" s="141"/>
      <c r="Y258" s="307"/>
      <c r="Z258" s="307"/>
      <c r="AA258" s="307"/>
      <c r="AB258" s="307"/>
    </row>
    <row r="259" spans="1:28" ht="17.399999999999999">
      <c r="A259" s="307"/>
      <c r="B259" s="307"/>
      <c r="C259" s="307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307"/>
      <c r="R259" s="307"/>
      <c r="S259" s="307"/>
      <c r="T259" s="307"/>
      <c r="U259" s="307"/>
      <c r="V259" s="307"/>
      <c r="W259" s="307"/>
      <c r="X259" s="141"/>
      <c r="Y259" s="307"/>
      <c r="Z259" s="307"/>
      <c r="AA259" s="307"/>
      <c r="AB259" s="307"/>
    </row>
    <row r="260" spans="1:28" ht="17.399999999999999">
      <c r="A260" s="307"/>
      <c r="B260" s="307"/>
      <c r="C260" s="307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307"/>
      <c r="R260" s="307"/>
      <c r="S260" s="307"/>
      <c r="T260" s="307"/>
      <c r="U260" s="307"/>
      <c r="V260" s="307"/>
      <c r="W260" s="307"/>
      <c r="X260" s="141"/>
      <c r="Y260" s="307"/>
      <c r="Z260" s="307"/>
      <c r="AA260" s="307"/>
      <c r="AB260" s="307"/>
    </row>
    <row r="261" spans="1:28" ht="17.399999999999999">
      <c r="A261" s="307"/>
      <c r="B261" s="307"/>
      <c r="C261" s="307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307"/>
      <c r="R261" s="307"/>
      <c r="S261" s="307"/>
      <c r="T261" s="307"/>
      <c r="U261" s="307"/>
      <c r="V261" s="307"/>
      <c r="W261" s="307"/>
      <c r="X261" s="141"/>
      <c r="Y261" s="307"/>
      <c r="Z261" s="307"/>
      <c r="AA261" s="307"/>
      <c r="AB261" s="307"/>
    </row>
    <row r="262" spans="1:28" ht="17.399999999999999">
      <c r="A262" s="307"/>
      <c r="B262" s="307"/>
      <c r="C262" s="307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307"/>
      <c r="R262" s="307"/>
      <c r="S262" s="307"/>
      <c r="T262" s="307"/>
      <c r="U262" s="307"/>
      <c r="V262" s="307"/>
      <c r="W262" s="307"/>
      <c r="X262" s="141"/>
      <c r="Y262" s="307"/>
      <c r="Z262" s="307"/>
      <c r="AA262" s="307"/>
      <c r="AB262" s="307"/>
    </row>
    <row r="263" spans="1:28" ht="17.399999999999999">
      <c r="A263" s="307"/>
      <c r="B263" s="307"/>
      <c r="C263" s="307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307"/>
      <c r="R263" s="307"/>
      <c r="S263" s="307"/>
      <c r="T263" s="307"/>
      <c r="U263" s="307"/>
      <c r="V263" s="307"/>
      <c r="W263" s="307"/>
      <c r="X263" s="141"/>
      <c r="Y263" s="307"/>
      <c r="Z263" s="307"/>
      <c r="AA263" s="307"/>
      <c r="AB263" s="307"/>
    </row>
    <row r="264" spans="1:28" ht="17.399999999999999">
      <c r="A264" s="307"/>
      <c r="B264" s="307"/>
      <c r="C264" s="307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307"/>
      <c r="R264" s="307"/>
      <c r="S264" s="307"/>
      <c r="T264" s="307"/>
      <c r="U264" s="307"/>
      <c r="V264" s="307"/>
      <c r="W264" s="307"/>
      <c r="X264" s="141"/>
      <c r="Y264" s="307"/>
      <c r="Z264" s="307"/>
      <c r="AA264" s="307"/>
      <c r="AB264" s="307"/>
    </row>
    <row r="265" spans="1:28" ht="17.399999999999999">
      <c r="A265" s="307"/>
      <c r="B265" s="307"/>
      <c r="C265" s="307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307"/>
      <c r="R265" s="307"/>
      <c r="S265" s="307"/>
      <c r="T265" s="307"/>
      <c r="U265" s="307"/>
      <c r="V265" s="307"/>
      <c r="W265" s="307"/>
      <c r="X265" s="141"/>
      <c r="Y265" s="307"/>
      <c r="Z265" s="307"/>
      <c r="AA265" s="307"/>
      <c r="AB265" s="307"/>
    </row>
    <row r="266" spans="1:28" ht="17.399999999999999">
      <c r="A266" s="307"/>
      <c r="B266" s="307"/>
      <c r="C266" s="307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307"/>
      <c r="R266" s="307"/>
      <c r="S266" s="307"/>
      <c r="T266" s="307"/>
      <c r="U266" s="307"/>
      <c r="V266" s="307"/>
      <c r="W266" s="307"/>
      <c r="X266" s="141"/>
      <c r="Y266" s="307"/>
      <c r="Z266" s="307"/>
      <c r="AA266" s="307"/>
      <c r="AB266" s="307"/>
    </row>
    <row r="267" spans="1:28" ht="17.399999999999999">
      <c r="A267" s="307"/>
      <c r="B267" s="307"/>
      <c r="C267" s="307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307"/>
      <c r="R267" s="307"/>
      <c r="S267" s="307"/>
      <c r="T267" s="307"/>
      <c r="U267" s="307"/>
      <c r="V267" s="307"/>
      <c r="W267" s="307"/>
      <c r="X267" s="141"/>
      <c r="Y267" s="307"/>
      <c r="Z267" s="307"/>
      <c r="AA267" s="307"/>
      <c r="AB267" s="307"/>
    </row>
    <row r="268" spans="1:28" ht="17.399999999999999">
      <c r="A268" s="307"/>
      <c r="B268" s="307"/>
      <c r="C268" s="307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307"/>
      <c r="R268" s="307"/>
      <c r="S268" s="307"/>
      <c r="T268" s="307"/>
      <c r="U268" s="307"/>
      <c r="V268" s="307"/>
      <c r="W268" s="307"/>
      <c r="X268" s="141"/>
      <c r="Y268" s="307"/>
      <c r="Z268" s="307"/>
      <c r="AA268" s="307"/>
      <c r="AB268" s="307"/>
    </row>
    <row r="269" spans="1:28" ht="17.399999999999999">
      <c r="A269" s="307"/>
      <c r="B269" s="307"/>
      <c r="C269" s="307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307"/>
      <c r="R269" s="307"/>
      <c r="S269" s="307"/>
      <c r="T269" s="307"/>
      <c r="U269" s="307"/>
      <c r="V269" s="307"/>
      <c r="W269" s="307"/>
      <c r="X269" s="141"/>
      <c r="Y269" s="307"/>
      <c r="Z269" s="307"/>
      <c r="AA269" s="307"/>
      <c r="AB269" s="307"/>
    </row>
    <row r="270" spans="1:28" ht="17.399999999999999">
      <c r="A270" s="307"/>
      <c r="B270" s="307"/>
      <c r="C270" s="307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307"/>
      <c r="R270" s="307"/>
      <c r="S270" s="307"/>
      <c r="T270" s="307"/>
      <c r="U270" s="307"/>
      <c r="V270" s="307"/>
      <c r="W270" s="307"/>
      <c r="X270" s="141"/>
      <c r="Y270" s="307"/>
      <c r="Z270" s="307"/>
      <c r="AA270" s="307"/>
      <c r="AB270" s="307"/>
    </row>
    <row r="271" spans="1:28" ht="17.399999999999999">
      <c r="A271" s="307"/>
      <c r="B271" s="307"/>
      <c r="C271" s="307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307"/>
      <c r="R271" s="307"/>
      <c r="S271" s="307"/>
      <c r="T271" s="307"/>
      <c r="U271" s="307"/>
      <c r="V271" s="307"/>
      <c r="W271" s="307"/>
      <c r="X271" s="141"/>
      <c r="Y271" s="307"/>
      <c r="Z271" s="307"/>
      <c r="AA271" s="307"/>
      <c r="AB271" s="307"/>
    </row>
    <row r="272" spans="1:28" ht="17.399999999999999">
      <c r="A272" s="307"/>
      <c r="B272" s="307"/>
      <c r="C272" s="307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307"/>
      <c r="R272" s="307"/>
      <c r="S272" s="307"/>
      <c r="T272" s="307"/>
      <c r="U272" s="307"/>
      <c r="V272" s="307"/>
      <c r="W272" s="307"/>
      <c r="X272" s="141"/>
      <c r="Y272" s="307"/>
      <c r="Z272" s="307"/>
      <c r="AA272" s="307"/>
      <c r="AB272" s="307"/>
    </row>
    <row r="273" spans="1:28" ht="17.399999999999999">
      <c r="A273" s="307"/>
      <c r="B273" s="307"/>
      <c r="C273" s="307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307"/>
      <c r="R273" s="307"/>
      <c r="S273" s="307"/>
      <c r="T273" s="307"/>
      <c r="U273" s="307"/>
      <c r="V273" s="307"/>
      <c r="W273" s="307"/>
      <c r="X273" s="141"/>
      <c r="Y273" s="307"/>
      <c r="Z273" s="307"/>
      <c r="AA273" s="307"/>
      <c r="AB273" s="307"/>
    </row>
    <row r="274" spans="1:28" ht="17.399999999999999">
      <c r="A274" s="307"/>
      <c r="B274" s="307"/>
      <c r="C274" s="307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307"/>
      <c r="R274" s="307"/>
      <c r="S274" s="307"/>
      <c r="T274" s="307"/>
      <c r="U274" s="307"/>
      <c r="V274" s="307"/>
      <c r="W274" s="307"/>
      <c r="X274" s="141"/>
      <c r="Y274" s="307"/>
      <c r="Z274" s="307"/>
      <c r="AA274" s="307"/>
      <c r="AB274" s="307"/>
    </row>
    <row r="275" spans="1:28" ht="17.399999999999999">
      <c r="A275" s="307"/>
      <c r="B275" s="307"/>
      <c r="C275" s="307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307"/>
      <c r="R275" s="307"/>
      <c r="S275" s="307"/>
      <c r="T275" s="307"/>
      <c r="U275" s="307"/>
      <c r="V275" s="307"/>
      <c r="W275" s="307"/>
      <c r="X275" s="141"/>
      <c r="Y275" s="307"/>
      <c r="Z275" s="307"/>
      <c r="AA275" s="307"/>
      <c r="AB275" s="307"/>
    </row>
    <row r="276" spans="1:28" ht="17.399999999999999">
      <c r="A276" s="307"/>
      <c r="B276" s="307"/>
      <c r="C276" s="307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307"/>
      <c r="R276" s="307"/>
      <c r="S276" s="307"/>
      <c r="T276" s="307"/>
      <c r="U276" s="307"/>
      <c r="V276" s="307"/>
      <c r="W276" s="307"/>
      <c r="X276" s="141"/>
      <c r="Y276" s="307"/>
      <c r="Z276" s="307"/>
      <c r="AA276" s="307"/>
      <c r="AB276" s="307"/>
    </row>
    <row r="277" spans="1:28" ht="17.399999999999999">
      <c r="A277" s="307"/>
      <c r="B277" s="307"/>
      <c r="C277" s="307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307"/>
      <c r="R277" s="307"/>
      <c r="S277" s="307"/>
      <c r="T277" s="307"/>
      <c r="U277" s="307"/>
      <c r="V277" s="307"/>
      <c r="W277" s="307"/>
      <c r="X277" s="141"/>
      <c r="Y277" s="307"/>
      <c r="Z277" s="307"/>
      <c r="AA277" s="307"/>
      <c r="AB277" s="307"/>
    </row>
    <row r="278" spans="1:28" ht="17.399999999999999">
      <c r="A278" s="307"/>
      <c r="B278" s="307"/>
      <c r="C278" s="307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307"/>
      <c r="R278" s="307"/>
      <c r="S278" s="307"/>
      <c r="T278" s="307"/>
      <c r="U278" s="307"/>
      <c r="V278" s="307"/>
      <c r="W278" s="307"/>
      <c r="X278" s="141"/>
      <c r="Y278" s="307"/>
      <c r="Z278" s="307"/>
      <c r="AA278" s="307"/>
      <c r="AB278" s="307"/>
    </row>
    <row r="279" spans="1:28" ht="17.399999999999999">
      <c r="A279" s="307"/>
      <c r="B279" s="307"/>
      <c r="C279" s="307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307"/>
      <c r="R279" s="307"/>
      <c r="S279" s="307"/>
      <c r="T279" s="307"/>
      <c r="U279" s="307"/>
      <c r="V279" s="307"/>
      <c r="W279" s="307"/>
      <c r="X279" s="141"/>
      <c r="Y279" s="307"/>
      <c r="Z279" s="307"/>
      <c r="AA279" s="307"/>
      <c r="AB279" s="307"/>
    </row>
    <row r="280" spans="1:28" ht="17.399999999999999">
      <c r="A280" s="307"/>
      <c r="B280" s="307"/>
      <c r="C280" s="307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307"/>
      <c r="R280" s="307"/>
      <c r="S280" s="307"/>
      <c r="T280" s="307"/>
      <c r="U280" s="307"/>
      <c r="V280" s="307"/>
      <c r="W280" s="307"/>
      <c r="X280" s="141"/>
      <c r="Y280" s="307"/>
      <c r="Z280" s="307"/>
      <c r="AA280" s="307"/>
      <c r="AB280" s="307"/>
    </row>
    <row r="281" spans="1:28" ht="17.399999999999999">
      <c r="A281" s="307"/>
      <c r="B281" s="307"/>
      <c r="C281" s="307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307"/>
      <c r="R281" s="307"/>
      <c r="S281" s="307"/>
      <c r="T281" s="307"/>
      <c r="U281" s="307"/>
      <c r="V281" s="307"/>
      <c r="W281" s="307"/>
      <c r="X281" s="141"/>
      <c r="Y281" s="307"/>
      <c r="Z281" s="307"/>
      <c r="AA281" s="307"/>
      <c r="AB281" s="307"/>
    </row>
    <row r="282" spans="1:28" ht="17.399999999999999">
      <c r="A282" s="307"/>
      <c r="B282" s="307"/>
      <c r="C282" s="307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307"/>
      <c r="R282" s="307"/>
      <c r="S282" s="307"/>
      <c r="T282" s="307"/>
      <c r="U282" s="307"/>
      <c r="V282" s="307"/>
      <c r="W282" s="307"/>
      <c r="X282" s="141"/>
      <c r="Y282" s="307"/>
      <c r="Z282" s="307"/>
      <c r="AA282" s="307"/>
      <c r="AB282" s="307"/>
    </row>
    <row r="283" spans="1:28" ht="17.399999999999999">
      <c r="A283" s="307"/>
      <c r="B283" s="307"/>
      <c r="C283" s="307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307"/>
      <c r="R283" s="307"/>
      <c r="S283" s="307"/>
      <c r="T283" s="307"/>
      <c r="U283" s="307"/>
      <c r="V283" s="307"/>
      <c r="W283" s="307"/>
      <c r="X283" s="141"/>
      <c r="Y283" s="307"/>
      <c r="Z283" s="307"/>
      <c r="AA283" s="307"/>
      <c r="AB283" s="307"/>
    </row>
    <row r="284" spans="1:28" ht="17.399999999999999">
      <c r="A284" s="307"/>
      <c r="B284" s="307"/>
      <c r="C284" s="307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307"/>
      <c r="R284" s="307"/>
      <c r="S284" s="307"/>
      <c r="T284" s="307"/>
      <c r="U284" s="307"/>
      <c r="V284" s="307"/>
      <c r="W284" s="307"/>
      <c r="X284" s="141"/>
      <c r="Y284" s="307"/>
      <c r="Z284" s="307"/>
      <c r="AA284" s="307"/>
      <c r="AB284" s="307"/>
    </row>
    <row r="285" spans="1:28" ht="17.399999999999999">
      <c r="A285" s="307"/>
      <c r="B285" s="307"/>
      <c r="C285" s="307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307"/>
      <c r="R285" s="307"/>
      <c r="S285" s="307"/>
      <c r="T285" s="307"/>
      <c r="U285" s="307"/>
      <c r="V285" s="307"/>
      <c r="W285" s="307"/>
      <c r="X285" s="141"/>
      <c r="Y285" s="307"/>
      <c r="Z285" s="307"/>
      <c r="AA285" s="307"/>
      <c r="AB285" s="307"/>
    </row>
    <row r="286" spans="1:28" ht="17.399999999999999">
      <c r="A286" s="307"/>
      <c r="B286" s="307"/>
      <c r="C286" s="307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307"/>
      <c r="R286" s="307"/>
      <c r="S286" s="307"/>
      <c r="T286" s="307"/>
      <c r="U286" s="307"/>
      <c r="V286" s="307"/>
      <c r="W286" s="307"/>
      <c r="X286" s="141"/>
      <c r="Y286" s="307"/>
      <c r="Z286" s="307"/>
      <c r="AA286" s="307"/>
      <c r="AB286" s="307"/>
    </row>
    <row r="287" spans="1:28" ht="17.399999999999999">
      <c r="A287" s="307"/>
      <c r="B287" s="307"/>
      <c r="C287" s="307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307"/>
      <c r="R287" s="307"/>
      <c r="S287" s="307"/>
      <c r="T287" s="307"/>
      <c r="U287" s="307"/>
      <c r="V287" s="307"/>
      <c r="W287" s="307"/>
      <c r="X287" s="141"/>
      <c r="Y287" s="307"/>
      <c r="Z287" s="307"/>
      <c r="AA287" s="307"/>
      <c r="AB287" s="307"/>
    </row>
    <row r="288" spans="1:28" ht="17.399999999999999">
      <c r="A288" s="307"/>
      <c r="B288" s="307"/>
      <c r="C288" s="307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307"/>
      <c r="R288" s="307"/>
      <c r="S288" s="307"/>
      <c r="T288" s="307"/>
      <c r="U288" s="307"/>
      <c r="V288" s="307"/>
      <c r="W288" s="307"/>
      <c r="X288" s="141"/>
      <c r="Y288" s="307"/>
      <c r="Z288" s="307"/>
      <c r="AA288" s="307"/>
      <c r="AB288" s="307"/>
    </row>
    <row r="289" spans="1:28" ht="17.399999999999999">
      <c r="A289" s="307"/>
      <c r="B289" s="307"/>
      <c r="C289" s="307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307"/>
      <c r="R289" s="307"/>
      <c r="S289" s="307"/>
      <c r="T289" s="307"/>
      <c r="U289" s="307"/>
      <c r="V289" s="307"/>
      <c r="W289" s="307"/>
      <c r="X289" s="141"/>
      <c r="Y289" s="307"/>
      <c r="Z289" s="307"/>
      <c r="AA289" s="307"/>
      <c r="AB289" s="307"/>
    </row>
    <row r="290" spans="1:28" ht="17.399999999999999">
      <c r="A290" s="307"/>
      <c r="B290" s="307"/>
      <c r="C290" s="307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307"/>
      <c r="R290" s="307"/>
      <c r="S290" s="307"/>
      <c r="T290" s="307"/>
      <c r="U290" s="307"/>
      <c r="V290" s="307"/>
      <c r="W290" s="307"/>
      <c r="X290" s="141"/>
      <c r="Y290" s="307"/>
      <c r="Z290" s="307"/>
      <c r="AA290" s="307"/>
      <c r="AB290" s="307"/>
    </row>
    <row r="291" spans="1:28" ht="17.399999999999999">
      <c r="A291" s="307"/>
      <c r="B291" s="307"/>
      <c r="C291" s="307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307"/>
      <c r="R291" s="307"/>
      <c r="S291" s="307"/>
      <c r="T291" s="307"/>
      <c r="U291" s="307"/>
      <c r="V291" s="307"/>
      <c r="W291" s="307"/>
      <c r="X291" s="141"/>
      <c r="Y291" s="307"/>
      <c r="Z291" s="307"/>
      <c r="AA291" s="307"/>
      <c r="AB291" s="307"/>
    </row>
    <row r="292" spans="1:28" ht="17.399999999999999">
      <c r="A292" s="307"/>
      <c r="B292" s="307"/>
      <c r="C292" s="307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307"/>
      <c r="R292" s="307"/>
      <c r="S292" s="307"/>
      <c r="T292" s="307"/>
      <c r="U292" s="307"/>
      <c r="V292" s="307"/>
      <c r="W292" s="307"/>
      <c r="X292" s="141"/>
      <c r="Y292" s="307"/>
      <c r="Z292" s="307"/>
      <c r="AA292" s="307"/>
      <c r="AB292" s="307"/>
    </row>
    <row r="293" spans="1:28" ht="17.399999999999999">
      <c r="A293" s="307"/>
      <c r="B293" s="307"/>
      <c r="C293" s="307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307"/>
      <c r="R293" s="307"/>
      <c r="S293" s="307"/>
      <c r="T293" s="307"/>
      <c r="U293" s="307"/>
      <c r="V293" s="307"/>
      <c r="W293" s="307"/>
      <c r="X293" s="141"/>
      <c r="Y293" s="307"/>
      <c r="Z293" s="307"/>
      <c r="AA293" s="307"/>
      <c r="AB293" s="307"/>
    </row>
    <row r="294" spans="1:28" ht="17.399999999999999">
      <c r="A294" s="307"/>
      <c r="B294" s="307"/>
      <c r="C294" s="307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307"/>
      <c r="R294" s="307"/>
      <c r="S294" s="307"/>
      <c r="T294" s="307"/>
      <c r="U294" s="307"/>
      <c r="V294" s="307"/>
      <c r="W294" s="307"/>
      <c r="X294" s="141"/>
      <c r="Y294" s="307"/>
      <c r="Z294" s="307"/>
      <c r="AA294" s="307"/>
      <c r="AB294" s="307"/>
    </row>
    <row r="295" spans="1:28" ht="17.399999999999999">
      <c r="A295" s="307"/>
      <c r="B295" s="307"/>
      <c r="C295" s="307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307"/>
      <c r="R295" s="307"/>
      <c r="S295" s="307"/>
      <c r="T295" s="307"/>
      <c r="U295" s="307"/>
      <c r="V295" s="307"/>
      <c r="W295" s="307"/>
      <c r="X295" s="141"/>
      <c r="Y295" s="307"/>
      <c r="Z295" s="307"/>
      <c r="AA295" s="307"/>
      <c r="AB295" s="307"/>
    </row>
    <row r="296" spans="1:28" ht="17.399999999999999">
      <c r="A296" s="307"/>
      <c r="B296" s="307"/>
      <c r="C296" s="307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307"/>
      <c r="R296" s="307"/>
      <c r="S296" s="307"/>
      <c r="T296" s="307"/>
      <c r="U296" s="307"/>
      <c r="V296" s="307"/>
      <c r="W296" s="307"/>
      <c r="X296" s="141"/>
      <c r="Y296" s="307"/>
      <c r="Z296" s="307"/>
      <c r="AA296" s="307"/>
      <c r="AB296" s="307"/>
    </row>
    <row r="297" spans="1:28" ht="17.399999999999999">
      <c r="A297" s="307"/>
      <c r="B297" s="307"/>
      <c r="C297" s="307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307"/>
      <c r="R297" s="307"/>
      <c r="S297" s="307"/>
      <c r="T297" s="307"/>
      <c r="U297" s="307"/>
      <c r="V297" s="307"/>
      <c r="W297" s="307"/>
      <c r="X297" s="141"/>
      <c r="Y297" s="307"/>
      <c r="Z297" s="307"/>
      <c r="AA297" s="307"/>
      <c r="AB297" s="307"/>
    </row>
    <row r="298" spans="1:28" ht="17.399999999999999">
      <c r="A298" s="307"/>
      <c r="B298" s="307"/>
      <c r="C298" s="307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307"/>
      <c r="R298" s="307"/>
      <c r="S298" s="307"/>
      <c r="T298" s="307"/>
      <c r="U298" s="307"/>
      <c r="V298" s="307"/>
      <c r="W298" s="307"/>
      <c r="X298" s="141"/>
      <c r="Y298" s="307"/>
      <c r="Z298" s="307"/>
      <c r="AA298" s="307"/>
      <c r="AB298" s="307"/>
    </row>
    <row r="299" spans="1:28" ht="17.399999999999999">
      <c r="A299" s="307"/>
      <c r="B299" s="307"/>
      <c r="C299" s="307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307"/>
      <c r="R299" s="307"/>
      <c r="S299" s="307"/>
      <c r="T299" s="307"/>
      <c r="U299" s="307"/>
      <c r="V299" s="307"/>
      <c r="W299" s="307"/>
      <c r="X299" s="141"/>
      <c r="Y299" s="307"/>
      <c r="Z299" s="307"/>
      <c r="AA299" s="307"/>
      <c r="AB299" s="307"/>
    </row>
    <row r="300" spans="1:28" ht="17.399999999999999">
      <c r="A300" s="307"/>
      <c r="B300" s="307"/>
      <c r="C300" s="307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307"/>
      <c r="R300" s="307"/>
      <c r="S300" s="307"/>
      <c r="T300" s="307"/>
      <c r="U300" s="307"/>
      <c r="V300" s="307"/>
      <c r="W300" s="307"/>
      <c r="X300" s="141"/>
      <c r="Y300" s="307"/>
      <c r="Z300" s="307"/>
      <c r="AA300" s="307"/>
      <c r="AB300" s="307"/>
    </row>
    <row r="301" spans="1:28" ht="17.399999999999999">
      <c r="A301" s="307"/>
      <c r="B301" s="307"/>
      <c r="C301" s="307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307"/>
      <c r="R301" s="307"/>
      <c r="S301" s="307"/>
      <c r="T301" s="307"/>
      <c r="U301" s="307"/>
      <c r="V301" s="307"/>
      <c r="W301" s="307"/>
      <c r="X301" s="141"/>
      <c r="Y301" s="307"/>
      <c r="Z301" s="307"/>
      <c r="AA301" s="307"/>
      <c r="AB301" s="307"/>
    </row>
    <row r="302" spans="1:28" ht="17.399999999999999">
      <c r="A302" s="307"/>
      <c r="B302" s="307"/>
      <c r="C302" s="307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307"/>
      <c r="R302" s="307"/>
      <c r="S302" s="307"/>
      <c r="T302" s="307"/>
      <c r="U302" s="307"/>
      <c r="V302" s="307"/>
      <c r="W302" s="307"/>
      <c r="X302" s="141"/>
      <c r="Y302" s="307"/>
      <c r="Z302" s="307"/>
      <c r="AA302" s="307"/>
      <c r="AB302" s="307"/>
    </row>
    <row r="303" spans="1:28" ht="17.399999999999999">
      <c r="A303" s="307"/>
      <c r="B303" s="307"/>
      <c r="C303" s="307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307"/>
      <c r="R303" s="307"/>
      <c r="S303" s="307"/>
      <c r="T303" s="307"/>
      <c r="U303" s="307"/>
      <c r="V303" s="307"/>
      <c r="W303" s="307"/>
      <c r="X303" s="141"/>
      <c r="Y303" s="307"/>
      <c r="Z303" s="307"/>
      <c r="AA303" s="307"/>
      <c r="AB303" s="307"/>
    </row>
    <row r="304" spans="1:28" ht="17.399999999999999">
      <c r="A304" s="307"/>
      <c r="B304" s="307"/>
      <c r="C304" s="307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307"/>
      <c r="R304" s="307"/>
      <c r="S304" s="307"/>
      <c r="T304" s="307"/>
      <c r="U304" s="307"/>
      <c r="V304" s="307"/>
      <c r="W304" s="307"/>
      <c r="X304" s="141"/>
      <c r="Y304" s="307"/>
      <c r="Z304" s="307"/>
      <c r="AA304" s="307"/>
      <c r="AB304" s="307"/>
    </row>
    <row r="305" spans="1:28" ht="17.399999999999999">
      <c r="A305" s="307"/>
      <c r="B305" s="307"/>
      <c r="C305" s="307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307"/>
      <c r="R305" s="307"/>
      <c r="S305" s="307"/>
      <c r="T305" s="307"/>
      <c r="U305" s="307"/>
      <c r="V305" s="307"/>
      <c r="W305" s="307"/>
      <c r="X305" s="141"/>
      <c r="Y305" s="307"/>
      <c r="Z305" s="307"/>
      <c r="AA305" s="307"/>
      <c r="AB305" s="307"/>
    </row>
    <row r="306" spans="1:28" ht="17.399999999999999">
      <c r="A306" s="307"/>
      <c r="B306" s="307"/>
      <c r="C306" s="307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307"/>
      <c r="R306" s="307"/>
      <c r="S306" s="307"/>
      <c r="T306" s="307"/>
      <c r="U306" s="307"/>
      <c r="V306" s="307"/>
      <c r="W306" s="307"/>
      <c r="X306" s="141"/>
      <c r="Y306" s="307"/>
      <c r="Z306" s="307"/>
      <c r="AA306" s="307"/>
      <c r="AB306" s="307"/>
    </row>
    <row r="307" spans="1:28" ht="17.399999999999999">
      <c r="A307" s="307"/>
      <c r="B307" s="307"/>
      <c r="C307" s="307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307"/>
      <c r="R307" s="307"/>
      <c r="S307" s="307"/>
      <c r="T307" s="307"/>
      <c r="U307" s="307"/>
      <c r="V307" s="307"/>
      <c r="W307" s="307"/>
      <c r="X307" s="141"/>
      <c r="Y307" s="307"/>
      <c r="Z307" s="307"/>
      <c r="AA307" s="307"/>
      <c r="AB307" s="307"/>
    </row>
    <row r="308" spans="1:28" ht="17.399999999999999">
      <c r="A308" s="307"/>
      <c r="B308" s="307"/>
      <c r="C308" s="307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307"/>
      <c r="R308" s="307"/>
      <c r="S308" s="307"/>
      <c r="T308" s="307"/>
      <c r="U308" s="307"/>
      <c r="V308" s="307"/>
      <c r="W308" s="307"/>
      <c r="X308" s="141"/>
      <c r="Y308" s="307"/>
      <c r="Z308" s="307"/>
      <c r="AA308" s="307"/>
      <c r="AB308" s="307"/>
    </row>
    <row r="309" spans="1:28" ht="17.399999999999999">
      <c r="A309" s="307"/>
      <c r="B309" s="307"/>
      <c r="C309" s="307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307"/>
      <c r="R309" s="307"/>
      <c r="S309" s="307"/>
      <c r="T309" s="307"/>
      <c r="U309" s="307"/>
      <c r="V309" s="307"/>
      <c r="W309" s="307"/>
      <c r="X309" s="141"/>
      <c r="Y309" s="307"/>
      <c r="Z309" s="307"/>
      <c r="AA309" s="307"/>
      <c r="AB309" s="307"/>
    </row>
    <row r="310" spans="1:28" ht="17.399999999999999">
      <c r="A310" s="307"/>
      <c r="B310" s="307"/>
      <c r="C310" s="307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307"/>
      <c r="R310" s="307"/>
      <c r="S310" s="307"/>
      <c r="T310" s="307"/>
      <c r="U310" s="307"/>
      <c r="V310" s="307"/>
      <c r="W310" s="307"/>
      <c r="X310" s="141"/>
      <c r="Y310" s="307"/>
      <c r="Z310" s="307"/>
      <c r="AA310" s="307"/>
      <c r="AB310" s="307"/>
    </row>
    <row r="311" spans="1:28" ht="17.399999999999999">
      <c r="A311" s="307"/>
      <c r="B311" s="307"/>
      <c r="C311" s="307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307"/>
      <c r="R311" s="307"/>
      <c r="S311" s="307"/>
      <c r="T311" s="307"/>
      <c r="U311" s="307"/>
      <c r="V311" s="307"/>
      <c r="W311" s="307"/>
      <c r="X311" s="141"/>
      <c r="Y311" s="307"/>
      <c r="Z311" s="307"/>
      <c r="AA311" s="307"/>
      <c r="AB311" s="307"/>
    </row>
    <row r="312" spans="1:28" ht="17.399999999999999">
      <c r="A312" s="307"/>
      <c r="B312" s="307"/>
      <c r="C312" s="307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307"/>
      <c r="R312" s="307"/>
      <c r="S312" s="307"/>
      <c r="T312" s="307"/>
      <c r="U312" s="307"/>
      <c r="V312" s="307"/>
      <c r="W312" s="307"/>
      <c r="X312" s="141"/>
      <c r="Y312" s="307"/>
      <c r="Z312" s="307"/>
      <c r="AA312" s="307"/>
      <c r="AB312" s="307"/>
    </row>
    <row r="313" spans="1:28" ht="17.399999999999999">
      <c r="A313" s="307"/>
      <c r="B313" s="307"/>
      <c r="C313" s="307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307"/>
      <c r="R313" s="307"/>
      <c r="S313" s="307"/>
      <c r="T313" s="307"/>
      <c r="U313" s="307"/>
      <c r="V313" s="307"/>
      <c r="W313" s="307"/>
      <c r="X313" s="141"/>
      <c r="Y313" s="307"/>
      <c r="Z313" s="307"/>
      <c r="AA313" s="307"/>
      <c r="AB313" s="307"/>
    </row>
    <row r="314" spans="1:28" ht="17.399999999999999">
      <c r="A314" s="307"/>
      <c r="B314" s="307"/>
      <c r="C314" s="307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307"/>
      <c r="R314" s="307"/>
      <c r="S314" s="307"/>
      <c r="T314" s="307"/>
      <c r="U314" s="307"/>
      <c r="V314" s="307"/>
      <c r="W314" s="307"/>
      <c r="X314" s="141"/>
      <c r="Y314" s="307"/>
      <c r="Z314" s="307"/>
      <c r="AA314" s="307"/>
      <c r="AB314" s="307"/>
    </row>
    <row r="315" spans="1:28" ht="17.399999999999999">
      <c r="A315" s="307"/>
      <c r="B315" s="307"/>
      <c r="C315" s="307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307"/>
      <c r="R315" s="307"/>
      <c r="S315" s="307"/>
      <c r="T315" s="307"/>
      <c r="U315" s="307"/>
      <c r="V315" s="307"/>
      <c r="W315" s="307"/>
      <c r="X315" s="141"/>
      <c r="Y315" s="307"/>
      <c r="Z315" s="307"/>
      <c r="AA315" s="307"/>
      <c r="AB315" s="307"/>
    </row>
    <row r="316" spans="1:28" ht="17.399999999999999">
      <c r="A316" s="307"/>
      <c r="B316" s="307"/>
      <c r="C316" s="307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307"/>
      <c r="R316" s="307"/>
      <c r="S316" s="307"/>
      <c r="T316" s="307"/>
      <c r="U316" s="307"/>
      <c r="V316" s="307"/>
      <c r="W316" s="307"/>
      <c r="X316" s="141"/>
      <c r="Y316" s="307"/>
      <c r="Z316" s="307"/>
      <c r="AA316" s="307"/>
      <c r="AB316" s="307"/>
    </row>
    <row r="317" spans="1:28" ht="17.399999999999999">
      <c r="A317" s="307"/>
      <c r="B317" s="307"/>
      <c r="C317" s="307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307"/>
      <c r="R317" s="307"/>
      <c r="S317" s="307"/>
      <c r="T317" s="307"/>
      <c r="U317" s="307"/>
      <c r="V317" s="307"/>
      <c r="W317" s="307"/>
      <c r="X317" s="141"/>
      <c r="Y317" s="307"/>
      <c r="Z317" s="307"/>
      <c r="AA317" s="307"/>
      <c r="AB317" s="307"/>
    </row>
    <row r="318" spans="1:28" ht="17.399999999999999">
      <c r="A318" s="307"/>
      <c r="B318" s="307"/>
      <c r="C318" s="307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307"/>
      <c r="R318" s="307"/>
      <c r="S318" s="307"/>
      <c r="T318" s="307"/>
      <c r="U318" s="307"/>
      <c r="V318" s="307"/>
      <c r="W318" s="307"/>
      <c r="X318" s="141"/>
      <c r="Y318" s="307"/>
      <c r="Z318" s="307"/>
      <c r="AA318" s="307"/>
      <c r="AB318" s="307"/>
    </row>
    <row r="319" spans="1:28" ht="17.399999999999999">
      <c r="A319" s="307"/>
      <c r="B319" s="307"/>
      <c r="C319" s="307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307"/>
      <c r="R319" s="307"/>
      <c r="S319" s="307"/>
      <c r="T319" s="307"/>
      <c r="U319" s="307"/>
      <c r="V319" s="307"/>
      <c r="W319" s="307"/>
      <c r="X319" s="141"/>
      <c r="Y319" s="307"/>
      <c r="Z319" s="307"/>
      <c r="AA319" s="307"/>
      <c r="AB319" s="307"/>
    </row>
    <row r="320" spans="1:28" ht="17.399999999999999">
      <c r="A320" s="307"/>
      <c r="B320" s="307"/>
      <c r="C320" s="307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307"/>
      <c r="R320" s="307"/>
      <c r="S320" s="307"/>
      <c r="T320" s="307"/>
      <c r="U320" s="307"/>
      <c r="V320" s="307"/>
      <c r="W320" s="307"/>
      <c r="X320" s="141"/>
      <c r="Y320" s="307"/>
      <c r="Z320" s="307"/>
      <c r="AA320" s="307"/>
      <c r="AB320" s="307"/>
    </row>
    <row r="321" spans="1:28" ht="17.399999999999999">
      <c r="A321" s="307"/>
      <c r="B321" s="307"/>
      <c r="C321" s="307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307"/>
      <c r="R321" s="307"/>
      <c r="S321" s="307"/>
      <c r="T321" s="307"/>
      <c r="U321" s="307"/>
      <c r="V321" s="307"/>
      <c r="W321" s="307"/>
      <c r="X321" s="141"/>
      <c r="Y321" s="307"/>
      <c r="Z321" s="307"/>
      <c r="AA321" s="307"/>
      <c r="AB321" s="307"/>
    </row>
    <row r="322" spans="1:28" ht="17.399999999999999">
      <c r="A322" s="307"/>
      <c r="B322" s="307"/>
      <c r="C322" s="307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307"/>
      <c r="R322" s="307"/>
      <c r="S322" s="307"/>
      <c r="T322" s="307"/>
      <c r="U322" s="307"/>
      <c r="V322" s="307"/>
      <c r="W322" s="307"/>
      <c r="X322" s="141"/>
      <c r="Y322" s="307"/>
      <c r="Z322" s="307"/>
      <c r="AA322" s="307"/>
      <c r="AB322" s="307"/>
    </row>
    <row r="323" spans="1:28" ht="17.399999999999999">
      <c r="A323" s="307"/>
      <c r="B323" s="307"/>
      <c r="C323" s="307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307"/>
      <c r="R323" s="307"/>
      <c r="S323" s="307"/>
      <c r="T323" s="307"/>
      <c r="U323" s="307"/>
      <c r="V323" s="307"/>
      <c r="W323" s="307"/>
      <c r="X323" s="141"/>
      <c r="Y323" s="307"/>
      <c r="Z323" s="307"/>
      <c r="AA323" s="307"/>
      <c r="AB323" s="307"/>
    </row>
    <row r="324" spans="1:28" ht="17.399999999999999">
      <c r="A324" s="307"/>
      <c r="B324" s="307"/>
      <c r="C324" s="307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307"/>
      <c r="R324" s="307"/>
      <c r="S324" s="307"/>
      <c r="T324" s="307"/>
      <c r="U324" s="307"/>
      <c r="V324" s="307"/>
      <c r="W324" s="307"/>
      <c r="X324" s="141"/>
      <c r="Y324" s="307"/>
      <c r="Z324" s="307"/>
      <c r="AA324" s="307"/>
      <c r="AB324" s="307"/>
    </row>
    <row r="325" spans="1:28" ht="17.399999999999999">
      <c r="A325" s="307"/>
      <c r="B325" s="307"/>
      <c r="C325" s="307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307"/>
      <c r="R325" s="307"/>
      <c r="S325" s="307"/>
      <c r="T325" s="307"/>
      <c r="U325" s="307"/>
      <c r="V325" s="307"/>
      <c r="W325" s="307"/>
      <c r="X325" s="141"/>
      <c r="Y325" s="307"/>
      <c r="Z325" s="307"/>
      <c r="AA325" s="307"/>
      <c r="AB325" s="307"/>
    </row>
    <row r="326" spans="1:28" ht="17.399999999999999">
      <c r="A326" s="307"/>
      <c r="B326" s="307"/>
      <c r="C326" s="307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307"/>
      <c r="R326" s="307"/>
      <c r="S326" s="307"/>
      <c r="T326" s="307"/>
      <c r="U326" s="307"/>
      <c r="V326" s="307"/>
      <c r="W326" s="307"/>
      <c r="X326" s="141"/>
      <c r="Y326" s="307"/>
      <c r="Z326" s="307"/>
      <c r="AA326" s="307"/>
      <c r="AB326" s="307"/>
    </row>
    <row r="327" spans="1:28" ht="17.399999999999999">
      <c r="A327" s="307"/>
      <c r="B327" s="307"/>
      <c r="C327" s="307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307"/>
      <c r="R327" s="307"/>
      <c r="S327" s="307"/>
      <c r="T327" s="307"/>
      <c r="U327" s="307"/>
      <c r="V327" s="307"/>
      <c r="W327" s="307"/>
      <c r="X327" s="141"/>
      <c r="Y327" s="307"/>
      <c r="Z327" s="307"/>
      <c r="AA327" s="307"/>
      <c r="AB327" s="307"/>
    </row>
    <row r="328" spans="1:28" ht="17.399999999999999">
      <c r="A328" s="307"/>
      <c r="B328" s="307"/>
      <c r="C328" s="307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307"/>
      <c r="R328" s="307"/>
      <c r="S328" s="307"/>
      <c r="T328" s="307"/>
      <c r="U328" s="307"/>
      <c r="V328" s="307"/>
      <c r="W328" s="307"/>
      <c r="X328" s="141"/>
      <c r="Y328" s="307"/>
      <c r="Z328" s="307"/>
      <c r="AA328" s="307"/>
      <c r="AB328" s="307"/>
    </row>
    <row r="329" spans="1:28" ht="17.399999999999999">
      <c r="A329" s="307"/>
      <c r="B329" s="307"/>
      <c r="C329" s="307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307"/>
      <c r="R329" s="307"/>
      <c r="S329" s="307"/>
      <c r="T329" s="307"/>
      <c r="U329" s="307"/>
      <c r="V329" s="307"/>
      <c r="W329" s="307"/>
      <c r="X329" s="141"/>
      <c r="Y329" s="307"/>
      <c r="Z329" s="307"/>
      <c r="AA329" s="307"/>
      <c r="AB329" s="307"/>
    </row>
    <row r="330" spans="1:28" ht="17.399999999999999">
      <c r="A330" s="307"/>
      <c r="B330" s="307"/>
      <c r="C330" s="307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307"/>
      <c r="R330" s="307"/>
      <c r="S330" s="307"/>
      <c r="T330" s="307"/>
      <c r="U330" s="307"/>
      <c r="V330" s="307"/>
      <c r="W330" s="307"/>
      <c r="X330" s="141"/>
      <c r="Y330" s="307"/>
      <c r="Z330" s="307"/>
      <c r="AA330" s="307"/>
      <c r="AB330" s="307"/>
    </row>
    <row r="331" spans="1:28" ht="17.399999999999999">
      <c r="A331" s="307"/>
      <c r="B331" s="307"/>
      <c r="C331" s="307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307"/>
      <c r="R331" s="307"/>
      <c r="S331" s="307"/>
      <c r="T331" s="307"/>
      <c r="U331" s="307"/>
      <c r="V331" s="307"/>
      <c r="W331" s="307"/>
      <c r="X331" s="141"/>
      <c r="Y331" s="307"/>
      <c r="Z331" s="307"/>
      <c r="AA331" s="307"/>
      <c r="AB331" s="307"/>
    </row>
    <row r="332" spans="1:28" ht="17.399999999999999">
      <c r="A332" s="307"/>
      <c r="B332" s="307"/>
      <c r="C332" s="307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307"/>
      <c r="R332" s="307"/>
      <c r="S332" s="307"/>
      <c r="T332" s="307"/>
      <c r="U332" s="307"/>
      <c r="V332" s="307"/>
      <c r="W332" s="307"/>
      <c r="X332" s="141"/>
      <c r="Y332" s="307"/>
      <c r="Z332" s="307"/>
      <c r="AA332" s="307"/>
      <c r="AB332" s="307"/>
    </row>
    <row r="333" spans="1:28" ht="17.399999999999999">
      <c r="A333" s="307"/>
      <c r="B333" s="307"/>
      <c r="C333" s="307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307"/>
      <c r="R333" s="307"/>
      <c r="S333" s="307"/>
      <c r="T333" s="307"/>
      <c r="U333" s="307"/>
      <c r="V333" s="307"/>
      <c r="W333" s="307"/>
      <c r="X333" s="141"/>
      <c r="Y333" s="307"/>
      <c r="Z333" s="307"/>
      <c r="AA333" s="307"/>
      <c r="AB333" s="307"/>
    </row>
    <row r="334" spans="1:28" ht="17.399999999999999">
      <c r="A334" s="307"/>
      <c r="B334" s="307"/>
      <c r="C334" s="307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307"/>
      <c r="R334" s="307"/>
      <c r="S334" s="307"/>
      <c r="T334" s="307"/>
      <c r="U334" s="307"/>
      <c r="V334" s="307"/>
      <c r="W334" s="307"/>
      <c r="X334" s="141"/>
      <c r="Y334" s="307"/>
      <c r="Z334" s="307"/>
      <c r="AA334" s="307"/>
      <c r="AB334" s="307"/>
    </row>
    <row r="335" spans="1:28" ht="17.399999999999999">
      <c r="A335" s="307"/>
      <c r="B335" s="307"/>
      <c r="C335" s="307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307"/>
      <c r="R335" s="307"/>
      <c r="S335" s="307"/>
      <c r="T335" s="307"/>
      <c r="U335" s="307"/>
      <c r="V335" s="307"/>
      <c r="W335" s="307"/>
      <c r="X335" s="141"/>
      <c r="Y335" s="307"/>
      <c r="Z335" s="307"/>
      <c r="AA335" s="307"/>
      <c r="AB335" s="307"/>
    </row>
    <row r="336" spans="1:28" ht="17.399999999999999">
      <c r="A336" s="307"/>
      <c r="B336" s="307"/>
      <c r="C336" s="307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307"/>
      <c r="R336" s="307"/>
      <c r="S336" s="307"/>
      <c r="T336" s="307"/>
      <c r="U336" s="307"/>
      <c r="V336" s="307"/>
      <c r="W336" s="307"/>
      <c r="X336" s="141"/>
      <c r="Y336" s="307"/>
      <c r="Z336" s="307"/>
      <c r="AA336" s="307"/>
      <c r="AB336" s="307"/>
    </row>
    <row r="337" spans="1:28" ht="17.399999999999999">
      <c r="A337" s="307"/>
      <c r="B337" s="307"/>
      <c r="C337" s="307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307"/>
      <c r="R337" s="307"/>
      <c r="S337" s="307"/>
      <c r="T337" s="307"/>
      <c r="U337" s="307"/>
      <c r="V337" s="307"/>
      <c r="W337" s="307"/>
      <c r="X337" s="141"/>
      <c r="Y337" s="307"/>
      <c r="Z337" s="307"/>
      <c r="AA337" s="307"/>
      <c r="AB337" s="307"/>
    </row>
    <row r="338" spans="1:28" ht="17.399999999999999">
      <c r="A338" s="307"/>
      <c r="B338" s="307"/>
      <c r="C338" s="307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307"/>
      <c r="R338" s="307"/>
      <c r="S338" s="307"/>
      <c r="T338" s="307"/>
      <c r="U338" s="307"/>
      <c r="V338" s="307"/>
      <c r="W338" s="307"/>
      <c r="X338" s="141"/>
      <c r="Y338" s="307"/>
      <c r="Z338" s="307"/>
      <c r="AA338" s="307"/>
      <c r="AB338" s="307"/>
    </row>
    <row r="339" spans="1:28" ht="17.399999999999999">
      <c r="A339" s="307"/>
      <c r="B339" s="307"/>
      <c r="C339" s="307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307"/>
      <c r="R339" s="307"/>
      <c r="S339" s="307"/>
      <c r="T339" s="307"/>
      <c r="U339" s="307"/>
      <c r="V339" s="307"/>
      <c r="W339" s="307"/>
      <c r="X339" s="141"/>
      <c r="Y339" s="307"/>
      <c r="Z339" s="307"/>
      <c r="AA339" s="307"/>
      <c r="AB339" s="307"/>
    </row>
    <row r="340" spans="1:28" ht="17.399999999999999">
      <c r="A340" s="307"/>
      <c r="B340" s="307"/>
      <c r="C340" s="307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307"/>
      <c r="R340" s="307"/>
      <c r="S340" s="307"/>
      <c r="T340" s="307"/>
      <c r="U340" s="307"/>
      <c r="V340" s="307"/>
      <c r="W340" s="307"/>
      <c r="X340" s="141"/>
      <c r="Y340" s="307"/>
      <c r="Z340" s="307"/>
      <c r="AA340" s="307"/>
      <c r="AB340" s="307"/>
    </row>
    <row r="341" spans="1:28" ht="17.399999999999999">
      <c r="A341" s="307"/>
      <c r="B341" s="307"/>
      <c r="C341" s="307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307"/>
      <c r="R341" s="307"/>
      <c r="S341" s="307"/>
      <c r="T341" s="307"/>
      <c r="U341" s="307"/>
      <c r="V341" s="307"/>
      <c r="W341" s="307"/>
      <c r="X341" s="141"/>
      <c r="Y341" s="307"/>
      <c r="Z341" s="307"/>
      <c r="AA341" s="307"/>
      <c r="AB341" s="307"/>
    </row>
    <row r="342" spans="1:28" ht="17.399999999999999">
      <c r="A342" s="307"/>
      <c r="B342" s="307"/>
      <c r="C342" s="307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307"/>
      <c r="R342" s="307"/>
      <c r="S342" s="307"/>
      <c r="T342" s="307"/>
      <c r="U342" s="307"/>
      <c r="V342" s="307"/>
      <c r="W342" s="307"/>
      <c r="X342" s="141"/>
      <c r="Y342" s="307"/>
      <c r="Z342" s="307"/>
      <c r="AA342" s="307"/>
      <c r="AB342" s="307"/>
    </row>
    <row r="343" spans="1:28" ht="17.399999999999999">
      <c r="A343" s="307"/>
      <c r="B343" s="307"/>
      <c r="C343" s="307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307"/>
      <c r="R343" s="307"/>
      <c r="S343" s="307"/>
      <c r="T343" s="307"/>
      <c r="U343" s="307"/>
      <c r="V343" s="307"/>
      <c r="W343" s="307"/>
      <c r="X343" s="141"/>
      <c r="Y343" s="307"/>
      <c r="Z343" s="307"/>
      <c r="AA343" s="307"/>
      <c r="AB343" s="307"/>
    </row>
    <row r="344" spans="1:28" ht="17.399999999999999">
      <c r="A344" s="307"/>
      <c r="B344" s="307"/>
      <c r="C344" s="307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307"/>
      <c r="R344" s="307"/>
      <c r="S344" s="307"/>
      <c r="T344" s="307"/>
      <c r="U344" s="307"/>
      <c r="V344" s="307"/>
      <c r="W344" s="307"/>
      <c r="X344" s="141"/>
      <c r="Y344" s="307"/>
      <c r="Z344" s="307"/>
      <c r="AA344" s="307"/>
      <c r="AB344" s="307"/>
    </row>
    <row r="345" spans="1:28" ht="17.399999999999999">
      <c r="A345" s="307"/>
      <c r="B345" s="307"/>
      <c r="C345" s="307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307"/>
      <c r="R345" s="307"/>
      <c r="S345" s="307"/>
      <c r="T345" s="307"/>
      <c r="U345" s="307"/>
      <c r="V345" s="307"/>
      <c r="W345" s="307"/>
      <c r="X345" s="141"/>
      <c r="Y345" s="307"/>
      <c r="Z345" s="307"/>
      <c r="AA345" s="307"/>
      <c r="AB345" s="307"/>
    </row>
    <row r="346" spans="1:28" ht="17.399999999999999">
      <c r="A346" s="307"/>
      <c r="B346" s="307"/>
      <c r="C346" s="307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307"/>
      <c r="R346" s="307"/>
      <c r="S346" s="307"/>
      <c r="T346" s="307"/>
      <c r="U346" s="307"/>
      <c r="V346" s="307"/>
      <c r="W346" s="307"/>
      <c r="X346" s="141"/>
      <c r="Y346" s="307"/>
      <c r="Z346" s="307"/>
      <c r="AA346" s="307"/>
      <c r="AB346" s="307"/>
    </row>
    <row r="347" spans="1:28" ht="17.399999999999999">
      <c r="A347" s="307"/>
      <c r="B347" s="307"/>
      <c r="C347" s="307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307"/>
      <c r="R347" s="307"/>
      <c r="S347" s="307"/>
      <c r="T347" s="307"/>
      <c r="U347" s="307"/>
      <c r="V347" s="307"/>
      <c r="W347" s="307"/>
      <c r="X347" s="141"/>
      <c r="Y347" s="307"/>
      <c r="Z347" s="307"/>
      <c r="AA347" s="307"/>
      <c r="AB347" s="307"/>
    </row>
    <row r="348" spans="1:28" ht="17.399999999999999">
      <c r="A348" s="307"/>
      <c r="B348" s="307"/>
      <c r="C348" s="307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307"/>
      <c r="R348" s="307"/>
      <c r="S348" s="307"/>
      <c r="T348" s="307"/>
      <c r="U348" s="307"/>
      <c r="V348" s="307"/>
      <c r="W348" s="307"/>
      <c r="X348" s="141"/>
      <c r="Y348" s="307"/>
      <c r="Z348" s="307"/>
      <c r="AA348" s="307"/>
      <c r="AB348" s="307"/>
    </row>
    <row r="349" spans="1:28" ht="17.399999999999999">
      <c r="A349" s="307"/>
      <c r="B349" s="307"/>
      <c r="C349" s="307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307"/>
      <c r="R349" s="307"/>
      <c r="S349" s="307"/>
      <c r="T349" s="307"/>
      <c r="U349" s="307"/>
      <c r="V349" s="307"/>
      <c r="W349" s="307"/>
      <c r="X349" s="141"/>
      <c r="Y349" s="307"/>
      <c r="Z349" s="307"/>
      <c r="AA349" s="307"/>
      <c r="AB349" s="307"/>
    </row>
    <row r="350" spans="1:28" ht="17.399999999999999">
      <c r="A350" s="307"/>
      <c r="B350" s="307"/>
      <c r="C350" s="307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307"/>
      <c r="R350" s="307"/>
      <c r="S350" s="307"/>
      <c r="T350" s="307"/>
      <c r="U350" s="307"/>
      <c r="V350" s="307"/>
      <c r="W350" s="307"/>
      <c r="X350" s="141"/>
      <c r="Y350" s="307"/>
      <c r="Z350" s="307"/>
      <c r="AA350" s="307"/>
      <c r="AB350" s="307"/>
    </row>
    <row r="351" spans="1:28" ht="17.399999999999999">
      <c r="A351" s="307"/>
      <c r="B351" s="307"/>
      <c r="C351" s="307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307"/>
      <c r="R351" s="307"/>
      <c r="S351" s="307"/>
      <c r="T351" s="307"/>
      <c r="U351" s="307"/>
      <c r="V351" s="307"/>
      <c r="W351" s="307"/>
      <c r="X351" s="141"/>
      <c r="Y351" s="307"/>
      <c r="Z351" s="307"/>
      <c r="AA351" s="307"/>
      <c r="AB351" s="307"/>
    </row>
    <row r="352" spans="1:28" ht="17.399999999999999">
      <c r="A352" s="307"/>
      <c r="B352" s="307"/>
      <c r="C352" s="307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307"/>
      <c r="R352" s="307"/>
      <c r="S352" s="307"/>
      <c r="T352" s="307"/>
      <c r="U352" s="307"/>
      <c r="V352" s="307"/>
      <c r="W352" s="307"/>
      <c r="X352" s="141"/>
      <c r="Y352" s="307"/>
      <c r="Z352" s="307"/>
      <c r="AA352" s="307"/>
      <c r="AB352" s="307"/>
    </row>
    <row r="353" spans="1:28" ht="17.399999999999999">
      <c r="A353" s="307"/>
      <c r="B353" s="307"/>
      <c r="C353" s="307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307"/>
      <c r="R353" s="307"/>
      <c r="S353" s="307"/>
      <c r="T353" s="307"/>
      <c r="U353" s="307"/>
      <c r="V353" s="307"/>
      <c r="W353" s="307"/>
      <c r="X353" s="141"/>
      <c r="Y353" s="307"/>
      <c r="Z353" s="307"/>
      <c r="AA353" s="307"/>
      <c r="AB353" s="307"/>
    </row>
    <row r="354" spans="1:28" ht="17.399999999999999">
      <c r="A354" s="307"/>
      <c r="B354" s="307"/>
      <c r="C354" s="307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307"/>
      <c r="R354" s="307"/>
      <c r="S354" s="307"/>
      <c r="T354" s="307"/>
      <c r="U354" s="307"/>
      <c r="V354" s="307"/>
      <c r="W354" s="307"/>
      <c r="X354" s="141"/>
      <c r="Y354" s="307"/>
      <c r="Z354" s="307"/>
      <c r="AA354" s="307"/>
      <c r="AB354" s="307"/>
    </row>
    <row r="355" spans="1:28" ht="17.399999999999999">
      <c r="A355" s="307"/>
      <c r="B355" s="307"/>
      <c r="C355" s="307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307"/>
      <c r="R355" s="307"/>
      <c r="S355" s="307"/>
      <c r="T355" s="307"/>
      <c r="U355" s="307"/>
      <c r="V355" s="307"/>
      <c r="W355" s="307"/>
      <c r="X355" s="141"/>
      <c r="Y355" s="307"/>
      <c r="Z355" s="307"/>
      <c r="AA355" s="307"/>
      <c r="AB355" s="307"/>
    </row>
    <row r="356" spans="1:28" ht="17.399999999999999">
      <c r="A356" s="307"/>
      <c r="B356" s="307"/>
      <c r="C356" s="307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307"/>
      <c r="R356" s="307"/>
      <c r="S356" s="307"/>
      <c r="T356" s="307"/>
      <c r="U356" s="307"/>
      <c r="V356" s="307"/>
      <c r="W356" s="307"/>
      <c r="X356" s="141"/>
      <c r="Y356" s="307"/>
      <c r="Z356" s="307"/>
      <c r="AA356" s="307"/>
      <c r="AB356" s="307"/>
    </row>
    <row r="357" spans="1:28" ht="17.399999999999999">
      <c r="A357" s="307"/>
      <c r="B357" s="307"/>
      <c r="C357" s="307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307"/>
      <c r="R357" s="307"/>
      <c r="S357" s="307"/>
      <c r="T357" s="307"/>
      <c r="U357" s="307"/>
      <c r="V357" s="307"/>
      <c r="W357" s="307"/>
      <c r="X357" s="141"/>
      <c r="Y357" s="307"/>
      <c r="Z357" s="307"/>
      <c r="AA357" s="307"/>
      <c r="AB357" s="307"/>
    </row>
    <row r="358" spans="1:28" ht="17.399999999999999">
      <c r="A358" s="307"/>
      <c r="B358" s="307"/>
      <c r="C358" s="307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307"/>
      <c r="R358" s="307"/>
      <c r="S358" s="307"/>
      <c r="T358" s="307"/>
      <c r="U358" s="307"/>
      <c r="V358" s="307"/>
      <c r="W358" s="307"/>
      <c r="X358" s="141"/>
      <c r="Y358" s="307"/>
      <c r="Z358" s="307"/>
      <c r="AA358" s="307"/>
      <c r="AB358" s="307"/>
    </row>
    <row r="359" spans="1:28" ht="17.399999999999999">
      <c r="A359" s="307"/>
      <c r="B359" s="307"/>
      <c r="C359" s="307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307"/>
      <c r="R359" s="307"/>
      <c r="S359" s="307"/>
      <c r="T359" s="307"/>
      <c r="U359" s="307"/>
      <c r="V359" s="307"/>
      <c r="W359" s="307"/>
      <c r="X359" s="141"/>
      <c r="Y359" s="307"/>
      <c r="Z359" s="307"/>
      <c r="AA359" s="307"/>
      <c r="AB359" s="307"/>
    </row>
    <row r="360" spans="1:28" ht="17.399999999999999">
      <c r="A360" s="307"/>
      <c r="B360" s="307"/>
      <c r="C360" s="307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307"/>
      <c r="R360" s="307"/>
      <c r="S360" s="307"/>
      <c r="T360" s="307"/>
      <c r="U360" s="307"/>
      <c r="V360" s="307"/>
      <c r="W360" s="307"/>
      <c r="X360" s="141"/>
      <c r="Y360" s="307"/>
      <c r="Z360" s="307"/>
      <c r="AA360" s="307"/>
      <c r="AB360" s="307"/>
    </row>
    <row r="361" spans="1:28" ht="17.399999999999999">
      <c r="A361" s="307"/>
      <c r="B361" s="307"/>
      <c r="C361" s="307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307"/>
      <c r="R361" s="307"/>
      <c r="S361" s="307"/>
      <c r="T361" s="307"/>
      <c r="U361" s="307"/>
      <c r="V361" s="307"/>
      <c r="W361" s="307"/>
      <c r="X361" s="141"/>
      <c r="Y361" s="307"/>
      <c r="Z361" s="307"/>
      <c r="AA361" s="307"/>
      <c r="AB361" s="307"/>
    </row>
    <row r="362" spans="1:28" ht="17.399999999999999">
      <c r="A362" s="307"/>
      <c r="B362" s="307"/>
      <c r="C362" s="307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307"/>
      <c r="R362" s="307"/>
      <c r="S362" s="307"/>
      <c r="T362" s="307"/>
      <c r="U362" s="307"/>
      <c r="V362" s="307"/>
      <c r="W362" s="307"/>
      <c r="X362" s="141"/>
      <c r="Y362" s="307"/>
      <c r="Z362" s="307"/>
      <c r="AA362" s="307"/>
      <c r="AB362" s="307"/>
    </row>
    <row r="363" spans="1:28" ht="17.399999999999999">
      <c r="A363" s="307"/>
      <c r="B363" s="307"/>
      <c r="C363" s="307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307"/>
      <c r="R363" s="307"/>
      <c r="S363" s="307"/>
      <c r="T363" s="307"/>
      <c r="U363" s="307"/>
      <c r="V363" s="307"/>
      <c r="W363" s="307"/>
      <c r="X363" s="141"/>
      <c r="Y363" s="307"/>
      <c r="Z363" s="307"/>
      <c r="AA363" s="307"/>
      <c r="AB363" s="307"/>
    </row>
    <row r="364" spans="1:28" ht="17.399999999999999">
      <c r="A364" s="307"/>
      <c r="B364" s="307"/>
      <c r="C364" s="307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307"/>
      <c r="R364" s="307"/>
      <c r="S364" s="307"/>
      <c r="T364" s="307"/>
      <c r="U364" s="307"/>
      <c r="V364" s="307"/>
      <c r="W364" s="307"/>
      <c r="X364" s="141"/>
      <c r="Y364" s="307"/>
      <c r="Z364" s="307"/>
      <c r="AA364" s="307"/>
      <c r="AB364" s="307"/>
    </row>
    <row r="365" spans="1:28" ht="17.399999999999999">
      <c r="A365" s="307"/>
      <c r="B365" s="307"/>
      <c r="C365" s="307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307"/>
      <c r="R365" s="307"/>
      <c r="S365" s="307"/>
      <c r="T365" s="307"/>
      <c r="U365" s="307"/>
      <c r="V365" s="307"/>
      <c r="W365" s="307"/>
      <c r="X365" s="141"/>
      <c r="Y365" s="307"/>
      <c r="Z365" s="307"/>
      <c r="AA365" s="307"/>
      <c r="AB365" s="307"/>
    </row>
    <row r="366" spans="1:28" ht="17.399999999999999">
      <c r="A366" s="307"/>
      <c r="B366" s="307"/>
      <c r="C366" s="307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307"/>
      <c r="R366" s="307"/>
      <c r="S366" s="307"/>
      <c r="T366" s="307"/>
      <c r="U366" s="307"/>
      <c r="V366" s="307"/>
      <c r="W366" s="307"/>
      <c r="X366" s="141"/>
      <c r="Y366" s="307"/>
      <c r="Z366" s="307"/>
      <c r="AA366" s="307"/>
      <c r="AB366" s="307"/>
    </row>
    <row r="367" spans="1:28" ht="17.399999999999999">
      <c r="A367" s="307"/>
      <c r="B367" s="307"/>
      <c r="C367" s="307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307"/>
      <c r="R367" s="307"/>
      <c r="S367" s="307"/>
      <c r="T367" s="307"/>
      <c r="U367" s="307"/>
      <c r="V367" s="307"/>
      <c r="W367" s="307"/>
      <c r="X367" s="141"/>
      <c r="Y367" s="307"/>
      <c r="Z367" s="307"/>
      <c r="AA367" s="307"/>
      <c r="AB367" s="307"/>
    </row>
    <row r="368" spans="1:28" ht="17.399999999999999">
      <c r="A368" s="307"/>
      <c r="B368" s="307"/>
      <c r="C368" s="307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307"/>
      <c r="R368" s="307"/>
      <c r="S368" s="307"/>
      <c r="T368" s="307"/>
      <c r="U368" s="307"/>
      <c r="V368" s="307"/>
      <c r="W368" s="307"/>
      <c r="X368" s="141"/>
      <c r="Y368" s="307"/>
      <c r="Z368" s="307"/>
      <c r="AA368" s="307"/>
      <c r="AB368" s="307"/>
    </row>
    <row r="369" spans="1:28" ht="17.399999999999999">
      <c r="A369" s="307"/>
      <c r="B369" s="307"/>
      <c r="C369" s="307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307"/>
      <c r="R369" s="307"/>
      <c r="S369" s="307"/>
      <c r="T369" s="307"/>
      <c r="U369" s="307"/>
      <c r="V369" s="307"/>
      <c r="W369" s="307"/>
      <c r="X369" s="141"/>
      <c r="Y369" s="307"/>
      <c r="Z369" s="307"/>
      <c r="AA369" s="307"/>
      <c r="AB369" s="307"/>
    </row>
    <row r="370" spans="1:28" ht="17.399999999999999">
      <c r="A370" s="307"/>
      <c r="B370" s="307"/>
      <c r="C370" s="307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307"/>
      <c r="R370" s="307"/>
      <c r="S370" s="307"/>
      <c r="T370" s="307"/>
      <c r="U370" s="307"/>
      <c r="V370" s="307"/>
      <c r="W370" s="307"/>
      <c r="X370" s="141"/>
      <c r="Y370" s="307"/>
      <c r="Z370" s="307"/>
      <c r="AA370" s="307"/>
      <c r="AB370" s="307"/>
    </row>
    <row r="371" spans="1:28" ht="17.399999999999999">
      <c r="A371" s="307"/>
      <c r="B371" s="307"/>
      <c r="C371" s="307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307"/>
      <c r="R371" s="307"/>
      <c r="S371" s="307"/>
      <c r="T371" s="307"/>
      <c r="U371" s="307"/>
      <c r="V371" s="307"/>
      <c r="W371" s="307"/>
      <c r="X371" s="141"/>
      <c r="Y371" s="307"/>
      <c r="Z371" s="307"/>
      <c r="AA371" s="307"/>
      <c r="AB371" s="307"/>
    </row>
    <row r="372" spans="1:28" ht="17.399999999999999">
      <c r="A372" s="307"/>
      <c r="B372" s="307"/>
      <c r="C372" s="307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307"/>
      <c r="R372" s="307"/>
      <c r="S372" s="307"/>
      <c r="T372" s="307"/>
      <c r="U372" s="307"/>
      <c r="V372" s="307"/>
      <c r="W372" s="307"/>
      <c r="X372" s="141"/>
      <c r="Y372" s="307"/>
      <c r="Z372" s="307"/>
      <c r="AA372" s="307"/>
      <c r="AB372" s="307"/>
    </row>
    <row r="373" spans="1:28" ht="17.399999999999999">
      <c r="A373" s="307"/>
      <c r="B373" s="307"/>
      <c r="C373" s="307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307"/>
      <c r="R373" s="307"/>
      <c r="S373" s="307"/>
      <c r="T373" s="307"/>
      <c r="U373" s="307"/>
      <c r="V373" s="307"/>
      <c r="W373" s="307"/>
      <c r="X373" s="141"/>
      <c r="Y373" s="307"/>
      <c r="Z373" s="307"/>
      <c r="AA373" s="307"/>
      <c r="AB373" s="307"/>
    </row>
    <row r="374" spans="1:28" ht="17.399999999999999">
      <c r="A374" s="307"/>
      <c r="B374" s="307"/>
      <c r="C374" s="307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307"/>
      <c r="R374" s="307"/>
      <c r="S374" s="307"/>
      <c r="T374" s="307"/>
      <c r="U374" s="307"/>
      <c r="V374" s="307"/>
      <c r="W374" s="307"/>
      <c r="X374" s="141"/>
      <c r="Y374" s="307"/>
      <c r="Z374" s="307"/>
      <c r="AA374" s="307"/>
      <c r="AB374" s="307"/>
    </row>
    <row r="375" spans="1:28" ht="17.399999999999999">
      <c r="A375" s="307"/>
      <c r="B375" s="307"/>
      <c r="C375" s="307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307"/>
      <c r="R375" s="307"/>
      <c r="S375" s="307"/>
      <c r="T375" s="307"/>
      <c r="U375" s="307"/>
      <c r="V375" s="307"/>
      <c r="W375" s="307"/>
      <c r="X375" s="141"/>
      <c r="Y375" s="307"/>
      <c r="Z375" s="307"/>
      <c r="AA375" s="307"/>
      <c r="AB375" s="307"/>
    </row>
    <row r="376" spans="1:28" ht="17.399999999999999">
      <c r="A376" s="307"/>
      <c r="B376" s="307"/>
      <c r="C376" s="307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307"/>
      <c r="R376" s="307"/>
      <c r="S376" s="307"/>
      <c r="T376" s="307"/>
      <c r="U376" s="307"/>
      <c r="V376" s="307"/>
      <c r="W376" s="307"/>
      <c r="X376" s="141"/>
      <c r="Y376" s="307"/>
      <c r="Z376" s="307"/>
      <c r="AA376" s="307"/>
      <c r="AB376" s="307"/>
    </row>
    <row r="377" spans="1:28" ht="17.399999999999999">
      <c r="A377" s="307"/>
      <c r="B377" s="307"/>
      <c r="C377" s="307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307"/>
      <c r="R377" s="307"/>
      <c r="S377" s="307"/>
      <c r="T377" s="307"/>
      <c r="U377" s="307"/>
      <c r="V377" s="307"/>
      <c r="W377" s="307"/>
      <c r="X377" s="141"/>
      <c r="Y377" s="307"/>
      <c r="Z377" s="307"/>
      <c r="AA377" s="307"/>
      <c r="AB377" s="307"/>
    </row>
    <row r="378" spans="1:28" ht="17.399999999999999">
      <c r="A378" s="307"/>
      <c r="B378" s="307"/>
      <c r="C378" s="307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307"/>
      <c r="R378" s="307"/>
      <c r="S378" s="307"/>
      <c r="T378" s="307"/>
      <c r="U378" s="307"/>
      <c r="V378" s="307"/>
      <c r="W378" s="307"/>
      <c r="X378" s="141"/>
      <c r="Y378" s="307"/>
      <c r="Z378" s="307"/>
      <c r="AA378" s="307"/>
      <c r="AB378" s="307"/>
    </row>
    <row r="379" spans="1:28" ht="17.399999999999999">
      <c r="A379" s="307"/>
      <c r="B379" s="307"/>
      <c r="C379" s="307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307"/>
      <c r="R379" s="307"/>
      <c r="S379" s="307"/>
      <c r="T379" s="307"/>
      <c r="U379" s="307"/>
      <c r="V379" s="307"/>
      <c r="W379" s="307"/>
      <c r="X379" s="141"/>
      <c r="Y379" s="307"/>
      <c r="Z379" s="307"/>
      <c r="AA379" s="307"/>
      <c r="AB379" s="307"/>
    </row>
    <row r="380" spans="1:28" ht="17.399999999999999">
      <c r="A380" s="307"/>
      <c r="B380" s="307"/>
      <c r="C380" s="307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307"/>
      <c r="R380" s="307"/>
      <c r="S380" s="307"/>
      <c r="T380" s="307"/>
      <c r="U380" s="307"/>
      <c r="V380" s="307"/>
      <c r="W380" s="307"/>
      <c r="X380" s="141"/>
      <c r="Y380" s="307"/>
      <c r="Z380" s="307"/>
      <c r="AA380" s="307"/>
      <c r="AB380" s="307"/>
    </row>
    <row r="381" spans="1:28" ht="17.399999999999999">
      <c r="A381" s="307"/>
      <c r="B381" s="307"/>
      <c r="C381" s="307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307"/>
      <c r="R381" s="307"/>
      <c r="S381" s="307"/>
      <c r="T381" s="307"/>
      <c r="U381" s="307"/>
      <c r="V381" s="307"/>
      <c r="W381" s="307"/>
      <c r="X381" s="141"/>
      <c r="Y381" s="307"/>
      <c r="Z381" s="307"/>
      <c r="AA381" s="307"/>
      <c r="AB381" s="307"/>
    </row>
    <row r="382" spans="1:28" ht="17.399999999999999">
      <c r="A382" s="307"/>
      <c r="B382" s="307"/>
      <c r="C382" s="307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307"/>
      <c r="R382" s="307"/>
      <c r="S382" s="307"/>
      <c r="T382" s="307"/>
      <c r="U382" s="307"/>
      <c r="V382" s="307"/>
      <c r="W382" s="307"/>
      <c r="X382" s="141"/>
      <c r="Y382" s="307"/>
      <c r="Z382" s="307"/>
      <c r="AA382" s="307"/>
      <c r="AB382" s="307"/>
    </row>
    <row r="383" spans="1:28" ht="17.399999999999999">
      <c r="A383" s="307"/>
      <c r="B383" s="307"/>
      <c r="C383" s="307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307"/>
      <c r="R383" s="307"/>
      <c r="S383" s="307"/>
      <c r="T383" s="307"/>
      <c r="U383" s="307"/>
      <c r="V383" s="307"/>
      <c r="W383" s="307"/>
      <c r="X383" s="141"/>
      <c r="Y383" s="307"/>
      <c r="Z383" s="307"/>
      <c r="AA383" s="307"/>
      <c r="AB383" s="307"/>
    </row>
    <row r="384" spans="1:28" ht="17.399999999999999">
      <c r="A384" s="307"/>
      <c r="B384" s="307"/>
      <c r="C384" s="307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307"/>
      <c r="R384" s="307"/>
      <c r="S384" s="307"/>
      <c r="T384" s="307"/>
      <c r="U384" s="307"/>
      <c r="V384" s="307"/>
      <c r="W384" s="307"/>
      <c r="X384" s="141"/>
      <c r="Y384" s="307"/>
      <c r="Z384" s="307"/>
      <c r="AA384" s="307"/>
      <c r="AB384" s="307"/>
    </row>
    <row r="385" spans="1:28" ht="17.399999999999999">
      <c r="A385" s="307"/>
      <c r="B385" s="307"/>
      <c r="C385" s="307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307"/>
      <c r="R385" s="307"/>
      <c r="S385" s="307"/>
      <c r="T385" s="307"/>
      <c r="U385" s="307"/>
      <c r="V385" s="307"/>
      <c r="W385" s="307"/>
      <c r="X385" s="141"/>
      <c r="Y385" s="307"/>
      <c r="Z385" s="307"/>
      <c r="AA385" s="307"/>
      <c r="AB385" s="307"/>
    </row>
    <row r="386" spans="1:28" ht="17.399999999999999">
      <c r="A386" s="307"/>
      <c r="B386" s="307"/>
      <c r="C386" s="307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307"/>
      <c r="R386" s="307"/>
      <c r="S386" s="307"/>
      <c r="T386" s="307"/>
      <c r="U386" s="307"/>
      <c r="V386" s="307"/>
      <c r="W386" s="307"/>
      <c r="X386" s="141"/>
      <c r="Y386" s="307"/>
      <c r="Z386" s="307"/>
      <c r="AA386" s="307"/>
      <c r="AB386" s="307"/>
    </row>
    <row r="387" spans="1:28" ht="17.399999999999999">
      <c r="A387" s="307"/>
      <c r="B387" s="307"/>
      <c r="C387" s="307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307"/>
      <c r="R387" s="307"/>
      <c r="S387" s="307"/>
      <c r="T387" s="307"/>
      <c r="U387" s="307"/>
      <c r="V387" s="307"/>
      <c r="W387" s="307"/>
      <c r="X387" s="141"/>
      <c r="Y387" s="307"/>
      <c r="Z387" s="307"/>
      <c r="AA387" s="307"/>
      <c r="AB387" s="307"/>
    </row>
    <row r="388" spans="1:28" ht="17.399999999999999">
      <c r="A388" s="307"/>
      <c r="B388" s="307"/>
      <c r="C388" s="307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307"/>
      <c r="R388" s="307"/>
      <c r="S388" s="307"/>
      <c r="T388" s="307"/>
      <c r="U388" s="307"/>
      <c r="V388" s="307"/>
      <c r="W388" s="307"/>
      <c r="X388" s="141"/>
      <c r="Y388" s="307"/>
      <c r="Z388" s="307"/>
      <c r="AA388" s="307"/>
      <c r="AB388" s="307"/>
    </row>
    <row r="389" spans="1:28" ht="17.399999999999999">
      <c r="A389" s="307"/>
      <c r="B389" s="307"/>
      <c r="C389" s="307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307"/>
      <c r="R389" s="307"/>
      <c r="S389" s="307"/>
      <c r="T389" s="307"/>
      <c r="U389" s="307"/>
      <c r="V389" s="307"/>
      <c r="W389" s="307"/>
      <c r="X389" s="141"/>
      <c r="Y389" s="307"/>
      <c r="Z389" s="307"/>
      <c r="AA389" s="307"/>
      <c r="AB389" s="307"/>
    </row>
    <row r="390" spans="1:28" ht="17.399999999999999">
      <c r="A390" s="307"/>
      <c r="B390" s="307"/>
      <c r="C390" s="307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307"/>
      <c r="R390" s="307"/>
      <c r="S390" s="307"/>
      <c r="T390" s="307"/>
      <c r="U390" s="307"/>
      <c r="V390" s="307"/>
      <c r="W390" s="307"/>
      <c r="X390" s="141"/>
      <c r="Y390" s="307"/>
      <c r="Z390" s="307"/>
      <c r="AA390" s="307"/>
      <c r="AB390" s="307"/>
    </row>
    <row r="391" spans="1:28" ht="17.399999999999999">
      <c r="A391" s="307"/>
      <c r="B391" s="307"/>
      <c r="C391" s="307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307"/>
      <c r="R391" s="307"/>
      <c r="S391" s="307"/>
      <c r="T391" s="307"/>
      <c r="U391" s="307"/>
      <c r="V391" s="307"/>
      <c r="W391" s="307"/>
      <c r="X391" s="141"/>
      <c r="Y391" s="307"/>
      <c r="Z391" s="307"/>
      <c r="AA391" s="307"/>
      <c r="AB391" s="307"/>
    </row>
    <row r="392" spans="1:28" ht="17.399999999999999">
      <c r="A392" s="307"/>
      <c r="B392" s="307"/>
      <c r="C392" s="307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307"/>
      <c r="R392" s="307"/>
      <c r="S392" s="307"/>
      <c r="T392" s="307"/>
      <c r="U392" s="307"/>
      <c r="V392" s="307"/>
      <c r="W392" s="307"/>
      <c r="X392" s="141"/>
      <c r="Y392" s="307"/>
      <c r="Z392" s="307"/>
      <c r="AA392" s="307"/>
      <c r="AB392" s="307"/>
    </row>
    <row r="393" spans="1:28" ht="17.399999999999999">
      <c r="A393" s="307"/>
      <c r="B393" s="307"/>
      <c r="C393" s="307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307"/>
      <c r="R393" s="307"/>
      <c r="S393" s="307"/>
      <c r="T393" s="307"/>
      <c r="U393" s="307"/>
      <c r="V393" s="307"/>
      <c r="W393" s="307"/>
      <c r="X393" s="141"/>
      <c r="Y393" s="307"/>
      <c r="Z393" s="307"/>
      <c r="AA393" s="307"/>
      <c r="AB393" s="307"/>
    </row>
    <row r="394" spans="1:28" ht="17.399999999999999">
      <c r="A394" s="307"/>
      <c r="B394" s="307"/>
      <c r="C394" s="307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307"/>
      <c r="R394" s="307"/>
      <c r="S394" s="307"/>
      <c r="T394" s="307"/>
      <c r="U394" s="307"/>
      <c r="V394" s="307"/>
      <c r="W394" s="307"/>
      <c r="X394" s="141"/>
      <c r="Y394" s="307"/>
      <c r="Z394" s="307"/>
      <c r="AA394" s="307"/>
      <c r="AB394" s="307"/>
    </row>
    <row r="395" spans="1:28" ht="17.399999999999999">
      <c r="A395" s="307"/>
      <c r="B395" s="307"/>
      <c r="C395" s="307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307"/>
      <c r="R395" s="307"/>
      <c r="S395" s="307"/>
      <c r="T395" s="307"/>
      <c r="U395" s="307"/>
      <c r="V395" s="307"/>
      <c r="W395" s="307"/>
      <c r="X395" s="141"/>
      <c r="Y395" s="307"/>
      <c r="Z395" s="307"/>
      <c r="AA395" s="307"/>
      <c r="AB395" s="307"/>
    </row>
    <row r="396" spans="1:28" ht="17.399999999999999">
      <c r="A396" s="307"/>
      <c r="B396" s="307"/>
      <c r="C396" s="307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307"/>
      <c r="R396" s="307"/>
      <c r="S396" s="307"/>
      <c r="T396" s="307"/>
      <c r="U396" s="307"/>
      <c r="V396" s="307"/>
      <c r="W396" s="307"/>
      <c r="X396" s="141"/>
      <c r="Y396" s="307"/>
      <c r="Z396" s="307"/>
      <c r="AA396" s="307"/>
      <c r="AB396" s="307"/>
    </row>
    <row r="397" spans="1:28" ht="17.399999999999999">
      <c r="A397" s="307"/>
      <c r="B397" s="307"/>
      <c r="C397" s="307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307"/>
      <c r="R397" s="307"/>
      <c r="S397" s="307"/>
      <c r="T397" s="307"/>
      <c r="U397" s="307"/>
      <c r="V397" s="307"/>
      <c r="W397" s="307"/>
      <c r="X397" s="141"/>
      <c r="Y397" s="307"/>
      <c r="Z397" s="307"/>
      <c r="AA397" s="307"/>
      <c r="AB397" s="307"/>
    </row>
    <row r="398" spans="1:28" ht="17.399999999999999">
      <c r="A398" s="307"/>
      <c r="B398" s="307"/>
      <c r="C398" s="307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307"/>
      <c r="R398" s="307"/>
      <c r="S398" s="307"/>
      <c r="T398" s="307"/>
      <c r="U398" s="307"/>
      <c r="V398" s="307"/>
      <c r="W398" s="307"/>
      <c r="X398" s="141"/>
      <c r="Y398" s="307"/>
      <c r="Z398" s="307"/>
      <c r="AA398" s="307"/>
      <c r="AB398" s="307"/>
    </row>
    <row r="399" spans="1:28" ht="17.399999999999999">
      <c r="A399" s="307"/>
      <c r="B399" s="307"/>
      <c r="C399" s="307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307"/>
      <c r="R399" s="307"/>
      <c r="S399" s="307"/>
      <c r="T399" s="307"/>
      <c r="U399" s="307"/>
      <c r="V399" s="307"/>
      <c r="W399" s="307"/>
      <c r="X399" s="141"/>
      <c r="Y399" s="307"/>
      <c r="Z399" s="307"/>
      <c r="AA399" s="307"/>
      <c r="AB399" s="307"/>
    </row>
    <row r="400" spans="1:28" ht="17.399999999999999">
      <c r="A400" s="307"/>
      <c r="B400" s="307"/>
      <c r="C400" s="307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307"/>
      <c r="R400" s="307"/>
      <c r="S400" s="307"/>
      <c r="T400" s="307"/>
      <c r="U400" s="307"/>
      <c r="V400" s="307"/>
      <c r="W400" s="307"/>
      <c r="X400" s="141"/>
      <c r="Y400" s="307"/>
      <c r="Z400" s="307"/>
      <c r="AA400" s="307"/>
      <c r="AB400" s="307"/>
    </row>
    <row r="401" spans="1:28" ht="17.399999999999999">
      <c r="A401" s="307"/>
      <c r="B401" s="307"/>
      <c r="C401" s="307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307"/>
      <c r="R401" s="307"/>
      <c r="S401" s="307"/>
      <c r="T401" s="307"/>
      <c r="U401" s="307"/>
      <c r="V401" s="307"/>
      <c r="W401" s="307"/>
      <c r="X401" s="141"/>
      <c r="Y401" s="307"/>
      <c r="Z401" s="307"/>
      <c r="AA401" s="307"/>
      <c r="AB401" s="307"/>
    </row>
    <row r="402" spans="1:28" ht="17.399999999999999">
      <c r="A402" s="307"/>
      <c r="B402" s="307"/>
      <c r="C402" s="307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307"/>
      <c r="R402" s="307"/>
      <c r="S402" s="307"/>
      <c r="T402" s="307"/>
      <c r="U402" s="307"/>
      <c r="V402" s="307"/>
      <c r="W402" s="307"/>
      <c r="X402" s="141"/>
      <c r="Y402" s="307"/>
      <c r="Z402" s="307"/>
      <c r="AA402" s="307"/>
      <c r="AB402" s="307"/>
    </row>
    <row r="403" spans="1:28" ht="17.399999999999999">
      <c r="A403" s="307"/>
      <c r="B403" s="307"/>
      <c r="C403" s="307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307"/>
      <c r="R403" s="307"/>
      <c r="S403" s="307"/>
      <c r="T403" s="307"/>
      <c r="U403" s="307"/>
      <c r="V403" s="307"/>
      <c r="W403" s="307"/>
      <c r="X403" s="141"/>
      <c r="Y403" s="307"/>
      <c r="Z403" s="307"/>
      <c r="AA403" s="307"/>
      <c r="AB403" s="307"/>
    </row>
    <row r="404" spans="1:28" ht="17.399999999999999">
      <c r="A404" s="307"/>
      <c r="B404" s="307"/>
      <c r="C404" s="307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307"/>
      <c r="R404" s="307"/>
      <c r="S404" s="307"/>
      <c r="T404" s="307"/>
      <c r="U404" s="307"/>
      <c r="V404" s="307"/>
      <c r="W404" s="307"/>
      <c r="X404" s="141"/>
      <c r="Y404" s="307"/>
      <c r="Z404" s="307"/>
      <c r="AA404" s="307"/>
      <c r="AB404" s="307"/>
    </row>
    <row r="405" spans="1:28" ht="17.399999999999999">
      <c r="A405" s="307"/>
      <c r="B405" s="307"/>
      <c r="C405" s="307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307"/>
      <c r="R405" s="307"/>
      <c r="S405" s="307"/>
      <c r="T405" s="307"/>
      <c r="U405" s="307"/>
      <c r="V405" s="307"/>
      <c r="W405" s="307"/>
      <c r="X405" s="141"/>
      <c r="Y405" s="307"/>
      <c r="Z405" s="307"/>
      <c r="AA405" s="307"/>
      <c r="AB405" s="307"/>
    </row>
    <row r="406" spans="1:28" ht="17.399999999999999">
      <c r="A406" s="307"/>
      <c r="B406" s="307"/>
      <c r="C406" s="307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307"/>
      <c r="R406" s="307"/>
      <c r="S406" s="307"/>
      <c r="T406" s="307"/>
      <c r="U406" s="307"/>
      <c r="V406" s="307"/>
      <c r="W406" s="307"/>
      <c r="X406" s="141"/>
      <c r="Y406" s="307"/>
      <c r="Z406" s="307"/>
      <c r="AA406" s="307"/>
      <c r="AB406" s="307"/>
    </row>
    <row r="407" spans="1:28" ht="17.399999999999999">
      <c r="A407" s="307"/>
      <c r="B407" s="307"/>
      <c r="C407" s="307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307"/>
      <c r="R407" s="307"/>
      <c r="S407" s="307"/>
      <c r="T407" s="307"/>
      <c r="U407" s="307"/>
      <c r="V407" s="307"/>
      <c r="W407" s="307"/>
      <c r="X407" s="141"/>
      <c r="Y407" s="307"/>
      <c r="Z407" s="307"/>
      <c r="AA407" s="307"/>
      <c r="AB407" s="307"/>
    </row>
    <row r="408" spans="1:28" ht="17.399999999999999">
      <c r="A408" s="307"/>
      <c r="B408" s="307"/>
      <c r="C408" s="307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307"/>
      <c r="R408" s="307"/>
      <c r="S408" s="307"/>
      <c r="T408" s="307"/>
      <c r="U408" s="307"/>
      <c r="V408" s="307"/>
      <c r="W408" s="307"/>
      <c r="X408" s="141"/>
      <c r="Y408" s="307"/>
      <c r="Z408" s="307"/>
      <c r="AA408" s="307"/>
      <c r="AB408" s="307"/>
    </row>
    <row r="409" spans="1:28" ht="17.399999999999999">
      <c r="A409" s="307"/>
      <c r="B409" s="307"/>
      <c r="C409" s="307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307"/>
      <c r="R409" s="307"/>
      <c r="S409" s="307"/>
      <c r="T409" s="307"/>
      <c r="U409" s="307"/>
      <c r="V409" s="307"/>
      <c r="W409" s="307"/>
      <c r="X409" s="141"/>
      <c r="Y409" s="307"/>
      <c r="Z409" s="307"/>
      <c r="AA409" s="307"/>
      <c r="AB409" s="307"/>
    </row>
    <row r="410" spans="1:28" ht="17.399999999999999">
      <c r="A410" s="307"/>
      <c r="B410" s="307"/>
      <c r="C410" s="307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307"/>
      <c r="R410" s="307"/>
      <c r="S410" s="307"/>
      <c r="T410" s="307"/>
      <c r="U410" s="307"/>
      <c r="V410" s="307"/>
      <c r="W410" s="307"/>
      <c r="X410" s="141"/>
      <c r="Y410" s="307"/>
      <c r="Z410" s="307"/>
      <c r="AA410" s="307"/>
      <c r="AB410" s="307"/>
    </row>
    <row r="411" spans="1:28" ht="17.399999999999999">
      <c r="A411" s="307"/>
      <c r="B411" s="307"/>
      <c r="C411" s="307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307"/>
      <c r="R411" s="307"/>
      <c r="S411" s="307"/>
      <c r="T411" s="307"/>
      <c r="U411" s="307"/>
      <c r="V411" s="307"/>
      <c r="W411" s="307"/>
      <c r="X411" s="141"/>
      <c r="Y411" s="307"/>
      <c r="Z411" s="307"/>
      <c r="AA411" s="307"/>
      <c r="AB411" s="307"/>
    </row>
    <row r="412" spans="1:28" ht="17.399999999999999">
      <c r="A412" s="307"/>
      <c r="B412" s="307"/>
      <c r="C412" s="307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307"/>
      <c r="R412" s="307"/>
      <c r="S412" s="307"/>
      <c r="T412" s="307"/>
      <c r="U412" s="307"/>
      <c r="V412" s="307"/>
      <c r="W412" s="307"/>
      <c r="X412" s="141"/>
      <c r="Y412" s="307"/>
      <c r="Z412" s="307"/>
      <c r="AA412" s="307"/>
      <c r="AB412" s="307"/>
    </row>
    <row r="413" spans="1:28" ht="17.399999999999999">
      <c r="A413" s="307"/>
      <c r="B413" s="307"/>
      <c r="C413" s="307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307"/>
      <c r="R413" s="307"/>
      <c r="S413" s="307"/>
      <c r="T413" s="307"/>
      <c r="U413" s="307"/>
      <c r="V413" s="307"/>
      <c r="W413" s="307"/>
      <c r="X413" s="141"/>
      <c r="Y413" s="307"/>
      <c r="Z413" s="307"/>
      <c r="AA413" s="307"/>
      <c r="AB413" s="307"/>
    </row>
    <row r="414" spans="1:28" ht="17.399999999999999">
      <c r="A414" s="307"/>
      <c r="B414" s="307"/>
      <c r="C414" s="307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307"/>
      <c r="R414" s="307"/>
      <c r="S414" s="307"/>
      <c r="T414" s="307"/>
      <c r="U414" s="307"/>
      <c r="V414" s="307"/>
      <c r="W414" s="307"/>
      <c r="X414" s="141"/>
      <c r="Y414" s="307"/>
      <c r="Z414" s="307"/>
      <c r="AA414" s="307"/>
      <c r="AB414" s="307"/>
    </row>
    <row r="415" spans="1:28" ht="17.399999999999999">
      <c r="A415" s="307"/>
      <c r="B415" s="307"/>
      <c r="C415" s="307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307"/>
      <c r="R415" s="307"/>
      <c r="S415" s="307"/>
      <c r="T415" s="307"/>
      <c r="U415" s="307"/>
      <c r="V415" s="307"/>
      <c r="W415" s="307"/>
      <c r="X415" s="141"/>
      <c r="Y415" s="307"/>
      <c r="Z415" s="307"/>
      <c r="AA415" s="307"/>
      <c r="AB415" s="307"/>
    </row>
    <row r="416" spans="1:28" ht="17.399999999999999">
      <c r="A416" s="307"/>
      <c r="B416" s="307"/>
      <c r="C416" s="307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307"/>
      <c r="R416" s="307"/>
      <c r="S416" s="307"/>
      <c r="T416" s="307"/>
      <c r="U416" s="307"/>
      <c r="V416" s="307"/>
      <c r="W416" s="307"/>
      <c r="X416" s="141"/>
      <c r="Y416" s="307"/>
      <c r="Z416" s="307"/>
      <c r="AA416" s="307"/>
      <c r="AB416" s="307"/>
    </row>
    <row r="417" spans="1:28" ht="17.399999999999999">
      <c r="A417" s="307"/>
      <c r="B417" s="307"/>
      <c r="C417" s="307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307"/>
      <c r="R417" s="307"/>
      <c r="S417" s="307"/>
      <c r="T417" s="307"/>
      <c r="U417" s="307"/>
      <c r="V417" s="307"/>
      <c r="W417" s="307"/>
      <c r="X417" s="141"/>
      <c r="Y417" s="307"/>
      <c r="Z417" s="307"/>
      <c r="AA417" s="307"/>
      <c r="AB417" s="307"/>
    </row>
    <row r="418" spans="1:28" ht="17.399999999999999">
      <c r="A418" s="307"/>
      <c r="B418" s="307"/>
      <c r="C418" s="307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307"/>
      <c r="R418" s="307"/>
      <c r="S418" s="307"/>
      <c r="T418" s="307"/>
      <c r="U418" s="307"/>
      <c r="V418" s="307"/>
      <c r="W418" s="307"/>
      <c r="X418" s="141"/>
      <c r="Y418" s="307"/>
      <c r="Z418" s="307"/>
      <c r="AA418" s="307"/>
      <c r="AB418" s="307"/>
    </row>
    <row r="419" spans="1:28" ht="17.399999999999999">
      <c r="A419" s="307"/>
      <c r="B419" s="307"/>
      <c r="C419" s="307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307"/>
      <c r="R419" s="307"/>
      <c r="S419" s="307"/>
      <c r="T419" s="307"/>
      <c r="U419" s="307"/>
      <c r="V419" s="307"/>
      <c r="W419" s="307"/>
      <c r="X419" s="141"/>
      <c r="Y419" s="307"/>
      <c r="Z419" s="307"/>
      <c r="AA419" s="307"/>
      <c r="AB419" s="307"/>
    </row>
    <row r="420" spans="1:28" ht="17.399999999999999">
      <c r="A420" s="307"/>
      <c r="B420" s="307"/>
      <c r="C420" s="307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307"/>
      <c r="R420" s="307"/>
      <c r="S420" s="307"/>
      <c r="T420" s="307"/>
      <c r="U420" s="307"/>
      <c r="V420" s="307"/>
      <c r="W420" s="307"/>
      <c r="X420" s="141"/>
      <c r="Y420" s="307"/>
      <c r="Z420" s="307"/>
      <c r="AA420" s="307"/>
      <c r="AB420" s="307"/>
    </row>
    <row r="421" spans="1:28" ht="17.399999999999999">
      <c r="A421" s="307"/>
      <c r="B421" s="307"/>
      <c r="C421" s="307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307"/>
      <c r="R421" s="307"/>
      <c r="S421" s="307"/>
      <c r="T421" s="307"/>
      <c r="U421" s="307"/>
      <c r="V421" s="307"/>
      <c r="W421" s="307"/>
      <c r="X421" s="141"/>
      <c r="Y421" s="307"/>
      <c r="Z421" s="307"/>
      <c r="AA421" s="307"/>
      <c r="AB421" s="307"/>
    </row>
    <row r="422" spans="1:28" ht="17.399999999999999">
      <c r="A422" s="307"/>
      <c r="B422" s="307"/>
      <c r="C422" s="307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307"/>
      <c r="R422" s="307"/>
      <c r="S422" s="307"/>
      <c r="T422" s="307"/>
      <c r="U422" s="307"/>
      <c r="V422" s="307"/>
      <c r="W422" s="307"/>
      <c r="X422" s="141"/>
      <c r="Y422" s="307"/>
      <c r="Z422" s="307"/>
      <c r="AA422" s="307"/>
      <c r="AB422" s="307"/>
    </row>
    <row r="423" spans="1:28" ht="17.399999999999999">
      <c r="A423" s="307"/>
      <c r="B423" s="307"/>
      <c r="C423" s="307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307"/>
      <c r="R423" s="307"/>
      <c r="S423" s="307"/>
      <c r="T423" s="307"/>
      <c r="U423" s="307"/>
      <c r="V423" s="307"/>
      <c r="W423" s="307"/>
      <c r="X423" s="141"/>
      <c r="Y423" s="307"/>
      <c r="Z423" s="307"/>
      <c r="AA423" s="307"/>
      <c r="AB423" s="307"/>
    </row>
    <row r="424" spans="1:28" ht="17.399999999999999">
      <c r="A424" s="307"/>
      <c r="B424" s="307"/>
      <c r="C424" s="307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307"/>
      <c r="R424" s="307"/>
      <c r="S424" s="307"/>
      <c r="T424" s="307"/>
      <c r="U424" s="307"/>
      <c r="V424" s="307"/>
      <c r="W424" s="307"/>
      <c r="X424" s="141"/>
      <c r="Y424" s="307"/>
      <c r="Z424" s="307"/>
      <c r="AA424" s="307"/>
      <c r="AB424" s="307"/>
    </row>
    <row r="425" spans="1:28" ht="17.399999999999999">
      <c r="A425" s="307"/>
      <c r="B425" s="307"/>
      <c r="C425" s="307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307"/>
      <c r="R425" s="307"/>
      <c r="S425" s="307"/>
      <c r="T425" s="307"/>
      <c r="U425" s="307"/>
      <c r="V425" s="307"/>
      <c r="W425" s="307"/>
      <c r="X425" s="141"/>
      <c r="Y425" s="307"/>
      <c r="Z425" s="307"/>
      <c r="AA425" s="307"/>
      <c r="AB425" s="307"/>
    </row>
    <row r="426" spans="1:28" ht="17.399999999999999">
      <c r="A426" s="307"/>
      <c r="B426" s="307"/>
      <c r="C426" s="307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307"/>
      <c r="R426" s="307"/>
      <c r="S426" s="307"/>
      <c r="T426" s="307"/>
      <c r="U426" s="307"/>
      <c r="V426" s="307"/>
      <c r="W426" s="307"/>
      <c r="X426" s="141"/>
      <c r="Y426" s="307"/>
      <c r="Z426" s="307"/>
      <c r="AA426" s="307"/>
      <c r="AB426" s="307"/>
    </row>
    <row r="427" spans="1:28" ht="17.399999999999999">
      <c r="A427" s="307"/>
      <c r="B427" s="307"/>
      <c r="C427" s="307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307"/>
      <c r="R427" s="307"/>
      <c r="S427" s="307"/>
      <c r="T427" s="307"/>
      <c r="U427" s="307"/>
      <c r="V427" s="307"/>
      <c r="W427" s="307"/>
      <c r="X427" s="141"/>
      <c r="Y427" s="307"/>
      <c r="Z427" s="307"/>
      <c r="AA427" s="307"/>
      <c r="AB427" s="307"/>
    </row>
    <row r="428" spans="1:28" ht="17.399999999999999">
      <c r="A428" s="307"/>
      <c r="B428" s="307"/>
      <c r="C428" s="307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307"/>
      <c r="R428" s="307"/>
      <c r="S428" s="307"/>
      <c r="T428" s="307"/>
      <c r="U428" s="307"/>
      <c r="V428" s="307"/>
      <c r="W428" s="307"/>
      <c r="X428" s="141"/>
      <c r="Y428" s="307"/>
      <c r="Z428" s="307"/>
      <c r="AA428" s="307"/>
      <c r="AB428" s="307"/>
    </row>
    <row r="429" spans="1:28" ht="17.399999999999999">
      <c r="A429" s="307"/>
      <c r="B429" s="307"/>
      <c r="C429" s="307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307"/>
      <c r="R429" s="307"/>
      <c r="S429" s="307"/>
      <c r="T429" s="307"/>
      <c r="U429" s="307"/>
      <c r="V429" s="307"/>
      <c r="W429" s="307"/>
      <c r="X429" s="141"/>
      <c r="Y429" s="307"/>
      <c r="Z429" s="307"/>
      <c r="AA429" s="307"/>
      <c r="AB429" s="307"/>
    </row>
    <row r="430" spans="1:28" ht="17.399999999999999">
      <c r="A430" s="307"/>
      <c r="B430" s="307"/>
      <c r="C430" s="307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307"/>
      <c r="R430" s="307"/>
      <c r="S430" s="307"/>
      <c r="T430" s="307"/>
      <c r="U430" s="307"/>
      <c r="V430" s="307"/>
      <c r="W430" s="307"/>
      <c r="X430" s="141"/>
      <c r="Y430" s="307"/>
      <c r="Z430" s="307"/>
      <c r="AA430" s="307"/>
      <c r="AB430" s="307"/>
    </row>
    <row r="431" spans="1:28" ht="17.399999999999999">
      <c r="A431" s="307"/>
      <c r="B431" s="307"/>
      <c r="C431" s="307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307"/>
      <c r="R431" s="307"/>
      <c r="S431" s="307"/>
      <c r="T431" s="307"/>
      <c r="U431" s="307"/>
      <c r="V431" s="307"/>
      <c r="W431" s="307"/>
      <c r="X431" s="141"/>
      <c r="Y431" s="307"/>
      <c r="Z431" s="307"/>
      <c r="AA431" s="307"/>
      <c r="AB431" s="307"/>
    </row>
    <row r="432" spans="1:28" ht="17.399999999999999">
      <c r="A432" s="307"/>
      <c r="B432" s="307"/>
      <c r="C432" s="307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307"/>
      <c r="R432" s="307"/>
      <c r="S432" s="307"/>
      <c r="T432" s="307"/>
      <c r="U432" s="307"/>
      <c r="V432" s="307"/>
      <c r="W432" s="307"/>
      <c r="X432" s="141"/>
      <c r="Y432" s="307"/>
      <c r="Z432" s="307"/>
      <c r="AA432" s="307"/>
      <c r="AB432" s="307"/>
    </row>
    <row r="433" spans="1:28" ht="17.399999999999999">
      <c r="A433" s="307"/>
      <c r="B433" s="307"/>
      <c r="C433" s="307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307"/>
      <c r="R433" s="307"/>
      <c r="S433" s="307"/>
      <c r="T433" s="307"/>
      <c r="U433" s="307"/>
      <c r="V433" s="307"/>
      <c r="W433" s="307"/>
      <c r="X433" s="141"/>
      <c r="Y433" s="307"/>
      <c r="Z433" s="307"/>
      <c r="AA433" s="307"/>
      <c r="AB433" s="307"/>
    </row>
    <row r="434" spans="1:28" ht="17.399999999999999">
      <c r="A434" s="307"/>
      <c r="B434" s="307"/>
      <c r="C434" s="307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307"/>
      <c r="R434" s="307"/>
      <c r="S434" s="307"/>
      <c r="T434" s="307"/>
      <c r="U434" s="307"/>
      <c r="V434" s="307"/>
      <c r="W434" s="307"/>
      <c r="X434" s="141"/>
      <c r="Y434" s="307"/>
      <c r="Z434" s="307"/>
      <c r="AA434" s="307"/>
      <c r="AB434" s="307"/>
    </row>
    <row r="435" spans="1:28" ht="17.399999999999999">
      <c r="A435" s="307"/>
      <c r="B435" s="307"/>
      <c r="C435" s="307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307"/>
      <c r="R435" s="307"/>
      <c r="S435" s="307"/>
      <c r="T435" s="307"/>
      <c r="U435" s="307"/>
      <c r="V435" s="307"/>
      <c r="W435" s="307"/>
      <c r="X435" s="141"/>
      <c r="Y435" s="307"/>
      <c r="Z435" s="307"/>
      <c r="AA435" s="307"/>
      <c r="AB435" s="307"/>
    </row>
    <row r="436" spans="1:28" ht="17.399999999999999">
      <c r="A436" s="307"/>
      <c r="B436" s="307"/>
      <c r="C436" s="307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307"/>
      <c r="R436" s="307"/>
      <c r="S436" s="307"/>
      <c r="T436" s="307"/>
      <c r="U436" s="307"/>
      <c r="V436" s="307"/>
      <c r="W436" s="307"/>
      <c r="X436" s="141"/>
      <c r="Y436" s="307"/>
      <c r="Z436" s="307"/>
      <c r="AA436" s="307"/>
      <c r="AB436" s="307"/>
    </row>
    <row r="437" spans="1:28" ht="17.399999999999999">
      <c r="A437" s="307"/>
      <c r="B437" s="307"/>
      <c r="C437" s="307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307"/>
      <c r="R437" s="307"/>
      <c r="S437" s="307"/>
      <c r="T437" s="307"/>
      <c r="U437" s="307"/>
      <c r="V437" s="307"/>
      <c r="W437" s="307"/>
      <c r="X437" s="141"/>
      <c r="Y437" s="307"/>
      <c r="Z437" s="307"/>
      <c r="AA437" s="307"/>
      <c r="AB437" s="307"/>
    </row>
    <row r="438" spans="1:28" ht="17.399999999999999">
      <c r="A438" s="307"/>
      <c r="B438" s="307"/>
      <c r="C438" s="307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307"/>
      <c r="R438" s="307"/>
      <c r="S438" s="307"/>
      <c r="T438" s="307"/>
      <c r="U438" s="307"/>
      <c r="V438" s="307"/>
      <c r="W438" s="307"/>
      <c r="X438" s="141"/>
      <c r="Y438" s="307"/>
      <c r="Z438" s="307"/>
      <c r="AA438" s="307"/>
      <c r="AB438" s="307"/>
    </row>
    <row r="439" spans="1:28" ht="17.399999999999999">
      <c r="A439" s="307"/>
      <c r="B439" s="307"/>
      <c r="C439" s="307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307"/>
      <c r="R439" s="307"/>
      <c r="S439" s="307"/>
      <c r="T439" s="307"/>
      <c r="U439" s="307"/>
      <c r="V439" s="307"/>
      <c r="W439" s="307"/>
      <c r="X439" s="141"/>
      <c r="Y439" s="307"/>
      <c r="Z439" s="307"/>
      <c r="AA439" s="307"/>
      <c r="AB439" s="307"/>
    </row>
    <row r="440" spans="1:28" ht="17.399999999999999">
      <c r="A440" s="307"/>
      <c r="B440" s="307"/>
      <c r="C440" s="307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307"/>
      <c r="R440" s="307"/>
      <c r="S440" s="307"/>
      <c r="T440" s="307"/>
      <c r="U440" s="307"/>
      <c r="V440" s="307"/>
      <c r="W440" s="307"/>
      <c r="X440" s="141"/>
      <c r="Y440" s="307"/>
      <c r="Z440" s="307"/>
      <c r="AA440" s="307"/>
      <c r="AB440" s="307"/>
    </row>
    <row r="441" spans="1:28" ht="17.399999999999999">
      <c r="A441" s="307"/>
      <c r="B441" s="307"/>
      <c r="C441" s="307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307"/>
      <c r="R441" s="307"/>
      <c r="S441" s="307"/>
      <c r="T441" s="307"/>
      <c r="U441" s="307"/>
      <c r="V441" s="307"/>
      <c r="W441" s="307"/>
      <c r="X441" s="141"/>
      <c r="Y441" s="307"/>
      <c r="Z441" s="307"/>
      <c r="AA441" s="307"/>
      <c r="AB441" s="307"/>
    </row>
    <row r="442" spans="1:28" ht="17.399999999999999">
      <c r="A442" s="307"/>
      <c r="B442" s="307"/>
      <c r="C442" s="307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307"/>
      <c r="R442" s="307"/>
      <c r="S442" s="307"/>
      <c r="T442" s="307"/>
      <c r="U442" s="307"/>
      <c r="V442" s="307"/>
      <c r="W442" s="307"/>
      <c r="X442" s="141"/>
      <c r="Y442" s="307"/>
      <c r="Z442" s="307"/>
      <c r="AA442" s="307"/>
      <c r="AB442" s="307"/>
    </row>
    <row r="443" spans="1:28" ht="17.399999999999999">
      <c r="A443" s="307"/>
      <c r="B443" s="307"/>
      <c r="C443" s="307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307"/>
      <c r="R443" s="307"/>
      <c r="S443" s="307"/>
      <c r="T443" s="307"/>
      <c r="U443" s="307"/>
      <c r="V443" s="307"/>
      <c r="W443" s="307"/>
      <c r="X443" s="141"/>
      <c r="Y443" s="307"/>
      <c r="Z443" s="307"/>
      <c r="AA443" s="307"/>
      <c r="AB443" s="307"/>
    </row>
    <row r="444" spans="1:28" ht="17.399999999999999">
      <c r="A444" s="307"/>
      <c r="B444" s="307"/>
      <c r="C444" s="307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307"/>
      <c r="R444" s="307"/>
      <c r="S444" s="307"/>
      <c r="T444" s="307"/>
      <c r="U444" s="307"/>
      <c r="V444" s="307"/>
      <c r="W444" s="307"/>
      <c r="X444" s="141"/>
      <c r="Y444" s="307"/>
      <c r="Z444" s="307"/>
      <c r="AA444" s="307"/>
      <c r="AB444" s="307"/>
    </row>
    <row r="445" spans="1:28" ht="17.399999999999999">
      <c r="A445" s="307"/>
      <c r="B445" s="307"/>
      <c r="C445" s="307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307"/>
      <c r="R445" s="307"/>
      <c r="S445" s="307"/>
      <c r="T445" s="307"/>
      <c r="U445" s="307"/>
      <c r="V445" s="307"/>
      <c r="W445" s="307"/>
      <c r="X445" s="141"/>
      <c r="Y445" s="307"/>
      <c r="Z445" s="307"/>
      <c r="AA445" s="307"/>
      <c r="AB445" s="307"/>
    </row>
    <row r="446" spans="1:28" ht="17.399999999999999">
      <c r="A446" s="307"/>
      <c r="B446" s="307"/>
      <c r="C446" s="307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307"/>
      <c r="R446" s="307"/>
      <c r="S446" s="307"/>
      <c r="T446" s="307"/>
      <c r="U446" s="307"/>
      <c r="V446" s="307"/>
      <c r="W446" s="307"/>
      <c r="X446" s="141"/>
      <c r="Y446" s="307"/>
      <c r="Z446" s="307"/>
      <c r="AA446" s="307"/>
      <c r="AB446" s="307"/>
    </row>
    <row r="447" spans="1:28" ht="17.399999999999999">
      <c r="A447" s="307"/>
      <c r="B447" s="307"/>
      <c r="C447" s="307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307"/>
      <c r="R447" s="307"/>
      <c r="S447" s="307"/>
      <c r="T447" s="307"/>
      <c r="U447" s="307"/>
      <c r="V447" s="307"/>
      <c r="W447" s="307"/>
      <c r="X447" s="141"/>
      <c r="Y447" s="307"/>
      <c r="Z447" s="307"/>
      <c r="AA447" s="307"/>
      <c r="AB447" s="307"/>
    </row>
    <row r="448" spans="1:28" ht="17.399999999999999">
      <c r="A448" s="307"/>
      <c r="B448" s="307"/>
      <c r="C448" s="307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307"/>
      <c r="R448" s="307"/>
      <c r="S448" s="307"/>
      <c r="T448" s="307"/>
      <c r="U448" s="307"/>
      <c r="V448" s="307"/>
      <c r="W448" s="307"/>
      <c r="X448" s="141"/>
      <c r="Y448" s="307"/>
      <c r="Z448" s="307"/>
      <c r="AA448" s="307"/>
      <c r="AB448" s="307"/>
    </row>
    <row r="449" spans="1:28" ht="17.399999999999999">
      <c r="A449" s="307"/>
      <c r="B449" s="307"/>
      <c r="C449" s="307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307"/>
      <c r="R449" s="307"/>
      <c r="S449" s="307"/>
      <c r="T449" s="307"/>
      <c r="U449" s="307"/>
      <c r="V449" s="307"/>
      <c r="W449" s="307"/>
      <c r="X449" s="141"/>
      <c r="Y449" s="307"/>
      <c r="Z449" s="307"/>
      <c r="AA449" s="307"/>
      <c r="AB449" s="307"/>
    </row>
    <row r="450" spans="1:28" ht="17.399999999999999">
      <c r="A450" s="307"/>
      <c r="B450" s="307"/>
      <c r="C450" s="307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307"/>
      <c r="R450" s="307"/>
      <c r="S450" s="307"/>
      <c r="T450" s="307"/>
      <c r="U450" s="307"/>
      <c r="V450" s="307"/>
      <c r="W450" s="307"/>
      <c r="X450" s="141"/>
      <c r="Y450" s="307"/>
      <c r="Z450" s="307"/>
      <c r="AA450" s="307"/>
      <c r="AB450" s="307"/>
    </row>
    <row r="451" spans="1:28" ht="17.399999999999999">
      <c r="A451" s="307"/>
      <c r="B451" s="307"/>
      <c r="C451" s="307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307"/>
      <c r="R451" s="307"/>
      <c r="S451" s="307"/>
      <c r="T451" s="307"/>
      <c r="U451" s="307"/>
      <c r="V451" s="307"/>
      <c r="W451" s="307"/>
      <c r="X451" s="141"/>
      <c r="Y451" s="307"/>
      <c r="Z451" s="307"/>
      <c r="AA451" s="307"/>
      <c r="AB451" s="307"/>
    </row>
    <row r="452" spans="1:28" ht="17.399999999999999">
      <c r="A452" s="307"/>
      <c r="B452" s="307"/>
      <c r="C452" s="307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307"/>
      <c r="R452" s="307"/>
      <c r="S452" s="307"/>
      <c r="T452" s="307"/>
      <c r="U452" s="307"/>
      <c r="V452" s="307"/>
      <c r="W452" s="307"/>
      <c r="X452" s="141"/>
      <c r="Y452" s="307"/>
      <c r="Z452" s="307"/>
      <c r="AA452" s="307"/>
      <c r="AB452" s="307"/>
    </row>
    <row r="453" spans="1:28" ht="17.399999999999999">
      <c r="A453" s="307"/>
      <c r="B453" s="307"/>
      <c r="C453" s="307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307"/>
      <c r="R453" s="307"/>
      <c r="S453" s="307"/>
      <c r="T453" s="307"/>
      <c r="U453" s="307"/>
      <c r="V453" s="307"/>
      <c r="W453" s="307"/>
      <c r="X453" s="141"/>
      <c r="Y453" s="307"/>
      <c r="Z453" s="307"/>
      <c r="AA453" s="307"/>
      <c r="AB453" s="307"/>
    </row>
    <row r="454" spans="1:28" ht="17.399999999999999">
      <c r="A454" s="307"/>
      <c r="B454" s="307"/>
      <c r="C454" s="307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307"/>
      <c r="R454" s="307"/>
      <c r="S454" s="307"/>
      <c r="T454" s="307"/>
      <c r="U454" s="307"/>
      <c r="V454" s="307"/>
      <c r="W454" s="307"/>
      <c r="X454" s="141"/>
      <c r="Y454" s="307"/>
      <c r="Z454" s="307"/>
      <c r="AA454" s="307"/>
      <c r="AB454" s="307"/>
    </row>
    <row r="455" spans="1:28" ht="17.399999999999999">
      <c r="A455" s="307"/>
      <c r="B455" s="307"/>
      <c r="C455" s="307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307"/>
      <c r="R455" s="307"/>
      <c r="S455" s="307"/>
      <c r="T455" s="307"/>
      <c r="U455" s="307"/>
      <c r="V455" s="307"/>
      <c r="W455" s="307"/>
      <c r="X455" s="141"/>
      <c r="Y455" s="307"/>
      <c r="Z455" s="307"/>
      <c r="AA455" s="307"/>
      <c r="AB455" s="307"/>
    </row>
    <row r="456" spans="1:28" ht="17.399999999999999">
      <c r="A456" s="307"/>
      <c r="B456" s="307"/>
      <c r="C456" s="307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307"/>
      <c r="R456" s="307"/>
      <c r="S456" s="307"/>
      <c r="T456" s="307"/>
      <c r="U456" s="307"/>
      <c r="V456" s="307"/>
      <c r="W456" s="307"/>
      <c r="X456" s="141"/>
      <c r="Y456" s="307"/>
      <c r="Z456" s="307"/>
      <c r="AA456" s="307"/>
      <c r="AB456" s="307"/>
    </row>
    <row r="457" spans="1:28" ht="17.399999999999999">
      <c r="A457" s="307"/>
      <c r="B457" s="307"/>
      <c r="C457" s="307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307"/>
      <c r="R457" s="307"/>
      <c r="S457" s="307"/>
      <c r="T457" s="307"/>
      <c r="U457" s="307"/>
      <c r="V457" s="307"/>
      <c r="W457" s="307"/>
      <c r="X457" s="141"/>
      <c r="Y457" s="307"/>
      <c r="Z457" s="307"/>
      <c r="AA457" s="307"/>
      <c r="AB457" s="307"/>
    </row>
    <row r="458" spans="1:28" ht="17.399999999999999">
      <c r="A458" s="307"/>
      <c r="B458" s="307"/>
      <c r="C458" s="307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307"/>
      <c r="R458" s="307"/>
      <c r="S458" s="307"/>
      <c r="T458" s="307"/>
      <c r="U458" s="307"/>
      <c r="V458" s="307"/>
      <c r="W458" s="307"/>
      <c r="X458" s="141"/>
      <c r="Y458" s="307"/>
      <c r="Z458" s="307"/>
      <c r="AA458" s="307"/>
      <c r="AB458" s="307"/>
    </row>
    <row r="459" spans="1:28" ht="17.399999999999999">
      <c r="A459" s="307"/>
      <c r="B459" s="307"/>
      <c r="C459" s="307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307"/>
      <c r="R459" s="307"/>
      <c r="S459" s="307"/>
      <c r="T459" s="307"/>
      <c r="U459" s="307"/>
      <c r="V459" s="307"/>
      <c r="W459" s="307"/>
      <c r="X459" s="141"/>
      <c r="Y459" s="307"/>
      <c r="Z459" s="307"/>
      <c r="AA459" s="307"/>
      <c r="AB459" s="307"/>
    </row>
    <row r="460" spans="1:28" ht="17.399999999999999">
      <c r="A460" s="307"/>
      <c r="B460" s="307"/>
      <c r="C460" s="307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307"/>
      <c r="R460" s="307"/>
      <c r="S460" s="307"/>
      <c r="T460" s="307"/>
      <c r="U460" s="307"/>
      <c r="V460" s="307"/>
      <c r="W460" s="307"/>
      <c r="X460" s="141"/>
      <c r="Y460" s="307"/>
      <c r="Z460" s="307"/>
      <c r="AA460" s="307"/>
      <c r="AB460" s="307"/>
    </row>
    <row r="461" spans="1:28" ht="17.399999999999999">
      <c r="A461" s="307"/>
      <c r="B461" s="307"/>
      <c r="C461" s="307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307"/>
      <c r="R461" s="307"/>
      <c r="S461" s="307"/>
      <c r="T461" s="307"/>
      <c r="U461" s="307"/>
      <c r="V461" s="307"/>
      <c r="W461" s="307"/>
      <c r="X461" s="141"/>
      <c r="Y461" s="307"/>
      <c r="Z461" s="307"/>
      <c r="AA461" s="307"/>
      <c r="AB461" s="307"/>
    </row>
    <row r="462" spans="1:28" ht="17.399999999999999">
      <c r="A462" s="307"/>
      <c r="B462" s="307"/>
      <c r="C462" s="307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307"/>
      <c r="R462" s="307"/>
      <c r="S462" s="307"/>
      <c r="T462" s="307"/>
      <c r="U462" s="307"/>
      <c r="V462" s="307"/>
      <c r="W462" s="307"/>
      <c r="X462" s="141"/>
      <c r="Y462" s="307"/>
      <c r="Z462" s="307"/>
      <c r="AA462" s="307"/>
      <c r="AB462" s="307"/>
    </row>
    <row r="463" spans="1:28" ht="17.399999999999999">
      <c r="A463" s="307"/>
      <c r="B463" s="307"/>
      <c r="C463" s="307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307"/>
      <c r="R463" s="307"/>
      <c r="S463" s="307"/>
      <c r="T463" s="307"/>
      <c r="U463" s="307"/>
      <c r="V463" s="307"/>
      <c r="W463" s="307"/>
      <c r="X463" s="141"/>
      <c r="Y463" s="307"/>
      <c r="Z463" s="307"/>
      <c r="AA463" s="307"/>
      <c r="AB463" s="307"/>
    </row>
    <row r="464" spans="1:28" ht="17.399999999999999">
      <c r="A464" s="307"/>
      <c r="B464" s="307"/>
      <c r="C464" s="307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307"/>
      <c r="R464" s="307"/>
      <c r="S464" s="307"/>
      <c r="T464" s="307"/>
      <c r="U464" s="307"/>
      <c r="V464" s="307"/>
      <c r="W464" s="307"/>
      <c r="X464" s="141"/>
      <c r="Y464" s="307"/>
      <c r="Z464" s="307"/>
      <c r="AA464" s="307"/>
      <c r="AB464" s="307"/>
    </row>
    <row r="465" spans="1:28" ht="17.399999999999999">
      <c r="A465" s="307"/>
      <c r="B465" s="307"/>
      <c r="C465" s="307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307"/>
      <c r="R465" s="307"/>
      <c r="S465" s="307"/>
      <c r="T465" s="307"/>
      <c r="U465" s="307"/>
      <c r="V465" s="307"/>
      <c r="W465" s="307"/>
      <c r="X465" s="141"/>
      <c r="Y465" s="307"/>
      <c r="Z465" s="307"/>
      <c r="AA465" s="307"/>
      <c r="AB465" s="307"/>
    </row>
    <row r="466" spans="1:28" ht="17.399999999999999">
      <c r="A466" s="307"/>
      <c r="B466" s="307"/>
      <c r="C466" s="307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307"/>
      <c r="R466" s="307"/>
      <c r="S466" s="307"/>
      <c r="T466" s="307"/>
      <c r="U466" s="307"/>
      <c r="V466" s="307"/>
      <c r="W466" s="307"/>
      <c r="X466" s="141"/>
      <c r="Y466" s="307"/>
      <c r="Z466" s="307"/>
      <c r="AA466" s="307"/>
      <c r="AB466" s="307"/>
    </row>
    <row r="467" spans="1:28" ht="17.399999999999999">
      <c r="A467" s="307"/>
      <c r="B467" s="307"/>
      <c r="C467" s="307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307"/>
      <c r="R467" s="307"/>
      <c r="S467" s="307"/>
      <c r="T467" s="307"/>
      <c r="U467" s="307"/>
      <c r="V467" s="307"/>
      <c r="W467" s="307"/>
      <c r="X467" s="141"/>
      <c r="Y467" s="307"/>
      <c r="Z467" s="307"/>
      <c r="AA467" s="307"/>
      <c r="AB467" s="307"/>
    </row>
    <row r="468" spans="1:28" ht="17.399999999999999">
      <c r="A468" s="307"/>
      <c r="B468" s="307"/>
      <c r="C468" s="307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307"/>
      <c r="R468" s="307"/>
      <c r="S468" s="307"/>
      <c r="T468" s="307"/>
      <c r="U468" s="307"/>
      <c r="V468" s="307"/>
      <c r="W468" s="307"/>
      <c r="X468" s="141"/>
      <c r="Y468" s="307"/>
      <c r="Z468" s="307"/>
      <c r="AA468" s="307"/>
      <c r="AB468" s="307"/>
    </row>
    <row r="469" spans="1:28" ht="17.399999999999999">
      <c r="A469" s="307"/>
      <c r="B469" s="307"/>
      <c r="C469" s="307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307"/>
      <c r="R469" s="307"/>
      <c r="S469" s="307"/>
      <c r="T469" s="307"/>
      <c r="U469" s="307"/>
      <c r="V469" s="307"/>
      <c r="W469" s="307"/>
      <c r="X469" s="141"/>
      <c r="Y469" s="307"/>
      <c r="Z469" s="307"/>
      <c r="AA469" s="307"/>
      <c r="AB469" s="307"/>
    </row>
    <row r="470" spans="1:28" ht="17.399999999999999">
      <c r="A470" s="307"/>
      <c r="B470" s="307"/>
      <c r="C470" s="307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307"/>
      <c r="R470" s="307"/>
      <c r="S470" s="307"/>
      <c r="T470" s="307"/>
      <c r="U470" s="307"/>
      <c r="V470" s="307"/>
      <c r="W470" s="307"/>
      <c r="X470" s="141"/>
      <c r="Y470" s="307"/>
      <c r="Z470" s="307"/>
      <c r="AA470" s="307"/>
      <c r="AB470" s="307"/>
    </row>
    <row r="471" spans="1:28" ht="17.399999999999999">
      <c r="A471" s="307"/>
      <c r="B471" s="307"/>
      <c r="C471" s="307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307"/>
      <c r="R471" s="307"/>
      <c r="S471" s="307"/>
      <c r="T471" s="307"/>
      <c r="U471" s="307"/>
      <c r="V471" s="307"/>
      <c r="W471" s="307"/>
      <c r="X471" s="141"/>
      <c r="Y471" s="307"/>
      <c r="Z471" s="307"/>
      <c r="AA471" s="307"/>
      <c r="AB471" s="307"/>
    </row>
    <row r="472" spans="1:28" ht="17.399999999999999">
      <c r="A472" s="307"/>
      <c r="B472" s="307"/>
      <c r="C472" s="307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307"/>
      <c r="R472" s="307"/>
      <c r="S472" s="307"/>
      <c r="T472" s="307"/>
      <c r="U472" s="307"/>
      <c r="V472" s="307"/>
      <c r="W472" s="307"/>
      <c r="X472" s="141"/>
      <c r="Y472" s="307"/>
      <c r="Z472" s="307"/>
      <c r="AA472" s="307"/>
      <c r="AB472" s="307"/>
    </row>
    <row r="473" spans="1:28" ht="17.399999999999999">
      <c r="A473" s="307"/>
      <c r="B473" s="307"/>
      <c r="C473" s="307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307"/>
      <c r="R473" s="307"/>
      <c r="S473" s="307"/>
      <c r="T473" s="307"/>
      <c r="U473" s="307"/>
      <c r="V473" s="307"/>
      <c r="W473" s="307"/>
      <c r="X473" s="141"/>
      <c r="Y473" s="307"/>
      <c r="Z473" s="307"/>
      <c r="AA473" s="307"/>
      <c r="AB473" s="307"/>
    </row>
    <row r="474" spans="1:28" ht="17.399999999999999">
      <c r="A474" s="307"/>
      <c r="B474" s="307"/>
      <c r="C474" s="307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307"/>
      <c r="R474" s="307"/>
      <c r="S474" s="307"/>
      <c r="T474" s="307"/>
      <c r="U474" s="307"/>
      <c r="V474" s="307"/>
      <c r="W474" s="307"/>
      <c r="X474" s="141"/>
      <c r="Y474" s="307"/>
      <c r="Z474" s="307"/>
      <c r="AA474" s="307"/>
      <c r="AB474" s="307"/>
    </row>
    <row r="475" spans="1:28" ht="17.399999999999999">
      <c r="A475" s="307"/>
      <c r="B475" s="307"/>
      <c r="C475" s="307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307"/>
      <c r="R475" s="307"/>
      <c r="S475" s="307"/>
      <c r="T475" s="307"/>
      <c r="U475" s="307"/>
      <c r="V475" s="307"/>
      <c r="W475" s="307"/>
      <c r="X475" s="141"/>
      <c r="Y475" s="307"/>
      <c r="Z475" s="307"/>
      <c r="AA475" s="307"/>
      <c r="AB475" s="307"/>
    </row>
    <row r="476" spans="1:28" ht="17.399999999999999">
      <c r="A476" s="307"/>
      <c r="B476" s="307"/>
      <c r="C476" s="307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307"/>
      <c r="R476" s="307"/>
      <c r="S476" s="307"/>
      <c r="T476" s="307"/>
      <c r="U476" s="307"/>
      <c r="V476" s="307"/>
      <c r="W476" s="307"/>
      <c r="X476" s="141"/>
      <c r="Y476" s="307"/>
      <c r="Z476" s="307"/>
      <c r="AA476" s="307"/>
      <c r="AB476" s="307"/>
    </row>
    <row r="477" spans="1:28" ht="17.399999999999999">
      <c r="A477" s="307"/>
      <c r="B477" s="307"/>
      <c r="C477" s="307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307"/>
      <c r="R477" s="307"/>
      <c r="S477" s="307"/>
      <c r="T477" s="307"/>
      <c r="U477" s="307"/>
      <c r="V477" s="307"/>
      <c r="W477" s="307"/>
      <c r="X477" s="141"/>
      <c r="Y477" s="307"/>
      <c r="Z477" s="307"/>
      <c r="AA477" s="307"/>
      <c r="AB477" s="307"/>
    </row>
    <row r="478" spans="1:28" ht="17.399999999999999">
      <c r="A478" s="307"/>
      <c r="B478" s="307"/>
      <c r="C478" s="307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307"/>
      <c r="R478" s="307"/>
      <c r="S478" s="307"/>
      <c r="T478" s="307"/>
      <c r="U478" s="307"/>
      <c r="V478" s="307"/>
      <c r="W478" s="307"/>
      <c r="X478" s="141"/>
      <c r="Y478" s="307"/>
      <c r="Z478" s="307"/>
      <c r="AA478" s="307"/>
      <c r="AB478" s="307"/>
    </row>
    <row r="479" spans="1:28" ht="17.399999999999999">
      <c r="A479" s="307"/>
      <c r="B479" s="307"/>
      <c r="C479" s="307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307"/>
      <c r="R479" s="307"/>
      <c r="S479" s="307"/>
      <c r="T479" s="307"/>
      <c r="U479" s="307"/>
      <c r="V479" s="307"/>
      <c r="W479" s="307"/>
      <c r="X479" s="141"/>
      <c r="Y479" s="307"/>
      <c r="Z479" s="307"/>
      <c r="AA479" s="307"/>
      <c r="AB479" s="307"/>
    </row>
    <row r="480" spans="1:28" ht="17.399999999999999">
      <c r="A480" s="307"/>
      <c r="B480" s="307"/>
      <c r="C480" s="307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307"/>
      <c r="R480" s="307"/>
      <c r="S480" s="307"/>
      <c r="T480" s="307"/>
      <c r="U480" s="307"/>
      <c r="V480" s="307"/>
      <c r="W480" s="307"/>
      <c r="X480" s="141"/>
      <c r="Y480" s="307"/>
      <c r="Z480" s="307"/>
      <c r="AA480" s="307"/>
      <c r="AB480" s="307"/>
    </row>
    <row r="481" spans="1:28" ht="17.399999999999999">
      <c r="A481" s="307"/>
      <c r="B481" s="307"/>
      <c r="C481" s="307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307"/>
      <c r="R481" s="307"/>
      <c r="S481" s="307"/>
      <c r="T481" s="307"/>
      <c r="U481" s="307"/>
      <c r="V481" s="307"/>
      <c r="W481" s="307"/>
      <c r="X481" s="141"/>
      <c r="Y481" s="307"/>
      <c r="Z481" s="307"/>
      <c r="AA481" s="307"/>
      <c r="AB481" s="307"/>
    </row>
    <row r="482" spans="1:28" ht="17.399999999999999">
      <c r="A482" s="307"/>
      <c r="B482" s="307"/>
      <c r="C482" s="307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307"/>
      <c r="R482" s="307"/>
      <c r="S482" s="307"/>
      <c r="T482" s="307"/>
      <c r="U482" s="307"/>
      <c r="V482" s="307"/>
      <c r="W482" s="307"/>
      <c r="X482" s="141"/>
      <c r="Y482" s="307"/>
      <c r="Z482" s="307"/>
      <c r="AA482" s="307"/>
      <c r="AB482" s="307"/>
    </row>
    <row r="483" spans="1:28" ht="17.399999999999999">
      <c r="A483" s="307"/>
      <c r="B483" s="307"/>
      <c r="C483" s="307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307"/>
      <c r="R483" s="307"/>
      <c r="S483" s="307"/>
      <c r="T483" s="307"/>
      <c r="U483" s="307"/>
      <c r="V483" s="307"/>
      <c r="W483" s="307"/>
      <c r="X483" s="141"/>
      <c r="Y483" s="307"/>
      <c r="Z483" s="307"/>
      <c r="AA483" s="307"/>
      <c r="AB483" s="307"/>
    </row>
    <row r="484" spans="1:28" ht="17.399999999999999">
      <c r="A484" s="307"/>
      <c r="B484" s="307"/>
      <c r="C484" s="307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307"/>
      <c r="R484" s="307"/>
      <c r="S484" s="307"/>
      <c r="T484" s="307"/>
      <c r="U484" s="307"/>
      <c r="V484" s="307"/>
      <c r="W484" s="307"/>
      <c r="X484" s="141"/>
      <c r="Y484" s="307"/>
      <c r="Z484" s="307"/>
      <c r="AA484" s="307"/>
      <c r="AB484" s="307"/>
    </row>
    <row r="485" spans="1:28" ht="17.399999999999999">
      <c r="A485" s="307"/>
      <c r="B485" s="307"/>
      <c r="C485" s="307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307"/>
      <c r="R485" s="307"/>
      <c r="S485" s="307"/>
      <c r="T485" s="307"/>
      <c r="U485" s="307"/>
      <c r="V485" s="307"/>
      <c r="W485" s="307"/>
      <c r="X485" s="141"/>
      <c r="Y485" s="307"/>
      <c r="Z485" s="307"/>
      <c r="AA485" s="307"/>
      <c r="AB485" s="307"/>
    </row>
    <row r="486" spans="1:28" ht="17.399999999999999">
      <c r="A486" s="307"/>
      <c r="B486" s="307"/>
      <c r="C486" s="307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307"/>
      <c r="R486" s="307"/>
      <c r="S486" s="307"/>
      <c r="T486" s="307"/>
      <c r="U486" s="307"/>
      <c r="V486" s="307"/>
      <c r="W486" s="307"/>
      <c r="X486" s="141"/>
      <c r="Y486" s="307"/>
      <c r="Z486" s="307"/>
      <c r="AA486" s="307"/>
      <c r="AB486" s="307"/>
    </row>
    <row r="487" spans="1:28" ht="17.399999999999999">
      <c r="A487" s="307"/>
      <c r="B487" s="307"/>
      <c r="C487" s="307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307"/>
      <c r="R487" s="307"/>
      <c r="S487" s="307"/>
      <c r="T487" s="307"/>
      <c r="U487" s="307"/>
      <c r="V487" s="307"/>
      <c r="W487" s="307"/>
      <c r="X487" s="141"/>
      <c r="Y487" s="307"/>
      <c r="Z487" s="307"/>
      <c r="AA487" s="307"/>
      <c r="AB487" s="307"/>
    </row>
    <row r="488" spans="1:28" ht="17.399999999999999">
      <c r="A488" s="307"/>
      <c r="B488" s="307"/>
      <c r="C488" s="307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307"/>
      <c r="R488" s="307"/>
      <c r="S488" s="307"/>
      <c r="T488" s="307"/>
      <c r="U488" s="307"/>
      <c r="V488" s="307"/>
      <c r="W488" s="307"/>
      <c r="X488" s="141"/>
      <c r="Y488" s="307"/>
      <c r="Z488" s="307"/>
      <c r="AA488" s="307"/>
      <c r="AB488" s="307"/>
    </row>
    <row r="489" spans="1:28" ht="17.399999999999999">
      <c r="A489" s="307"/>
      <c r="B489" s="307"/>
      <c r="C489" s="307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307"/>
      <c r="R489" s="307"/>
      <c r="S489" s="307"/>
      <c r="T489" s="307"/>
      <c r="U489" s="307"/>
      <c r="V489" s="307"/>
      <c r="W489" s="307"/>
      <c r="X489" s="141"/>
      <c r="Y489" s="307"/>
      <c r="Z489" s="307"/>
      <c r="AA489" s="307"/>
      <c r="AB489" s="307"/>
    </row>
    <row r="490" spans="1:28" ht="17.399999999999999">
      <c r="A490" s="307"/>
      <c r="B490" s="307"/>
      <c r="C490" s="307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307"/>
      <c r="R490" s="307"/>
      <c r="S490" s="307"/>
      <c r="T490" s="307"/>
      <c r="U490" s="307"/>
      <c r="V490" s="307"/>
      <c r="W490" s="307"/>
      <c r="X490" s="141"/>
      <c r="Y490" s="307"/>
      <c r="Z490" s="307"/>
      <c r="AA490" s="307"/>
      <c r="AB490" s="307"/>
    </row>
    <row r="491" spans="1:28" ht="17.399999999999999">
      <c r="A491" s="307"/>
      <c r="B491" s="307"/>
      <c r="C491" s="307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307"/>
      <c r="R491" s="307"/>
      <c r="S491" s="307"/>
      <c r="T491" s="307"/>
      <c r="U491" s="307"/>
      <c r="V491" s="307"/>
      <c r="W491" s="307"/>
      <c r="X491" s="141"/>
      <c r="Y491" s="307"/>
      <c r="Z491" s="307"/>
      <c r="AA491" s="307"/>
      <c r="AB491" s="307"/>
    </row>
    <row r="492" spans="1:28" ht="17.399999999999999">
      <c r="A492" s="307"/>
      <c r="B492" s="307"/>
      <c r="C492" s="307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307"/>
      <c r="R492" s="307"/>
      <c r="S492" s="307"/>
      <c r="T492" s="307"/>
      <c r="U492" s="307"/>
      <c r="V492" s="307"/>
      <c r="W492" s="307"/>
      <c r="X492" s="141"/>
      <c r="Y492" s="307"/>
      <c r="Z492" s="307"/>
      <c r="AA492" s="307"/>
      <c r="AB492" s="307"/>
    </row>
    <row r="493" spans="1:28" ht="17.399999999999999">
      <c r="A493" s="307"/>
      <c r="B493" s="307"/>
      <c r="C493" s="307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307"/>
      <c r="R493" s="307"/>
      <c r="S493" s="307"/>
      <c r="T493" s="307"/>
      <c r="U493" s="307"/>
      <c r="V493" s="307"/>
      <c r="W493" s="307"/>
      <c r="X493" s="141"/>
      <c r="Y493" s="307"/>
      <c r="Z493" s="307"/>
      <c r="AA493" s="307"/>
      <c r="AB493" s="307"/>
    </row>
    <row r="494" spans="1:28" ht="17.399999999999999">
      <c r="A494" s="307"/>
      <c r="B494" s="307"/>
      <c r="C494" s="307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307"/>
      <c r="R494" s="307"/>
      <c r="S494" s="307"/>
      <c r="T494" s="307"/>
      <c r="U494" s="307"/>
      <c r="V494" s="307"/>
      <c r="W494" s="307"/>
      <c r="X494" s="141"/>
      <c r="Y494" s="307"/>
      <c r="Z494" s="307"/>
      <c r="AA494" s="307"/>
      <c r="AB494" s="307"/>
    </row>
    <row r="495" spans="1:28" ht="17.399999999999999">
      <c r="A495" s="307"/>
      <c r="B495" s="307"/>
      <c r="C495" s="307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307"/>
      <c r="R495" s="307"/>
      <c r="S495" s="307"/>
      <c r="T495" s="307"/>
      <c r="U495" s="307"/>
      <c r="V495" s="307"/>
      <c r="W495" s="307"/>
      <c r="X495" s="141"/>
      <c r="Y495" s="307"/>
      <c r="Z495" s="307"/>
      <c r="AA495" s="307"/>
      <c r="AB495" s="307"/>
    </row>
    <row r="496" spans="1:28" ht="17.399999999999999">
      <c r="A496" s="307"/>
      <c r="B496" s="307"/>
      <c r="C496" s="307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307"/>
      <c r="R496" s="307"/>
      <c r="S496" s="307"/>
      <c r="T496" s="307"/>
      <c r="U496" s="307"/>
      <c r="V496" s="307"/>
      <c r="W496" s="307"/>
      <c r="X496" s="141"/>
      <c r="Y496" s="307"/>
      <c r="Z496" s="307"/>
      <c r="AA496" s="307"/>
      <c r="AB496" s="307"/>
    </row>
    <row r="497" spans="1:28" ht="17.399999999999999">
      <c r="A497" s="307"/>
      <c r="B497" s="307"/>
      <c r="C497" s="307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307"/>
      <c r="R497" s="307"/>
      <c r="S497" s="307"/>
      <c r="T497" s="307"/>
      <c r="U497" s="307"/>
      <c r="V497" s="307"/>
      <c r="W497" s="307"/>
      <c r="X497" s="141"/>
      <c r="Y497" s="307"/>
      <c r="Z497" s="307"/>
      <c r="AA497" s="307"/>
      <c r="AB497" s="307"/>
    </row>
    <row r="498" spans="1:28" ht="17.399999999999999">
      <c r="A498" s="307"/>
      <c r="B498" s="307"/>
      <c r="C498" s="307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307"/>
      <c r="R498" s="307"/>
      <c r="S498" s="307"/>
      <c r="T498" s="307"/>
      <c r="U498" s="307"/>
      <c r="V498" s="307"/>
      <c r="W498" s="307"/>
      <c r="X498" s="141"/>
      <c r="Y498" s="307"/>
      <c r="Z498" s="307"/>
      <c r="AA498" s="307"/>
      <c r="AB498" s="307"/>
    </row>
    <row r="499" spans="1:28" ht="17.399999999999999">
      <c r="A499" s="307"/>
      <c r="B499" s="307"/>
      <c r="C499" s="307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307"/>
      <c r="R499" s="307"/>
      <c r="S499" s="307"/>
      <c r="T499" s="307"/>
      <c r="U499" s="307"/>
      <c r="V499" s="307"/>
      <c r="W499" s="307"/>
      <c r="X499" s="141"/>
      <c r="Y499" s="307"/>
      <c r="Z499" s="307"/>
      <c r="AA499" s="307"/>
      <c r="AB499" s="307"/>
    </row>
    <row r="500" spans="1:28" ht="17.399999999999999">
      <c r="A500" s="307"/>
      <c r="B500" s="307"/>
      <c r="C500" s="307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307"/>
      <c r="R500" s="307"/>
      <c r="S500" s="307"/>
      <c r="T500" s="307"/>
      <c r="U500" s="307"/>
      <c r="V500" s="307"/>
      <c r="W500" s="307"/>
      <c r="X500" s="141"/>
      <c r="Y500" s="307"/>
      <c r="Z500" s="307"/>
      <c r="AA500" s="307"/>
      <c r="AB500" s="307"/>
    </row>
    <row r="501" spans="1:28" ht="17.399999999999999">
      <c r="A501" s="307"/>
      <c r="B501" s="307"/>
      <c r="C501" s="307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307"/>
      <c r="R501" s="307"/>
      <c r="S501" s="307"/>
      <c r="T501" s="307"/>
      <c r="U501" s="307"/>
      <c r="V501" s="307"/>
      <c r="W501" s="307"/>
      <c r="X501" s="141"/>
      <c r="Y501" s="307"/>
      <c r="Z501" s="307"/>
      <c r="AA501" s="307"/>
      <c r="AB501" s="307"/>
    </row>
    <row r="502" spans="1:28" ht="17.399999999999999">
      <c r="A502" s="307"/>
      <c r="B502" s="307"/>
      <c r="C502" s="307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307"/>
      <c r="R502" s="307"/>
      <c r="S502" s="307"/>
      <c r="T502" s="307"/>
      <c r="U502" s="307"/>
      <c r="V502" s="307"/>
      <c r="W502" s="307"/>
      <c r="X502" s="141"/>
      <c r="Y502" s="307"/>
      <c r="Z502" s="307"/>
      <c r="AA502" s="307"/>
      <c r="AB502" s="307"/>
    </row>
    <row r="503" spans="1:28" ht="17.399999999999999">
      <c r="A503" s="307"/>
      <c r="B503" s="307"/>
      <c r="C503" s="307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307"/>
      <c r="R503" s="307"/>
      <c r="S503" s="307"/>
      <c r="T503" s="307"/>
      <c r="U503" s="307"/>
      <c r="V503" s="307"/>
      <c r="W503" s="307"/>
      <c r="X503" s="141"/>
      <c r="Y503" s="307"/>
      <c r="Z503" s="307"/>
      <c r="AA503" s="307"/>
      <c r="AB503" s="307"/>
    </row>
    <row r="504" spans="1:28" ht="17.399999999999999">
      <c r="A504" s="307"/>
      <c r="B504" s="307"/>
      <c r="C504" s="307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307"/>
      <c r="R504" s="307"/>
      <c r="S504" s="307"/>
      <c r="T504" s="307"/>
      <c r="U504" s="307"/>
      <c r="V504" s="307"/>
      <c r="W504" s="307"/>
      <c r="X504" s="141"/>
      <c r="Y504" s="307"/>
      <c r="Z504" s="307"/>
      <c r="AA504" s="307"/>
      <c r="AB504" s="307"/>
    </row>
    <row r="505" spans="1:28" ht="17.399999999999999">
      <c r="A505" s="307"/>
      <c r="B505" s="307"/>
      <c r="C505" s="307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307"/>
      <c r="R505" s="307"/>
      <c r="S505" s="307"/>
      <c r="T505" s="307"/>
      <c r="U505" s="307"/>
      <c r="V505" s="307"/>
      <c r="W505" s="307"/>
      <c r="X505" s="141"/>
      <c r="Y505" s="307"/>
      <c r="Z505" s="307"/>
      <c r="AA505" s="307"/>
      <c r="AB505" s="307"/>
    </row>
    <row r="506" spans="1:28" ht="17.399999999999999">
      <c r="A506" s="307"/>
      <c r="B506" s="307"/>
      <c r="C506" s="307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307"/>
      <c r="R506" s="307"/>
      <c r="S506" s="307"/>
      <c r="T506" s="307"/>
      <c r="U506" s="307"/>
      <c r="V506" s="307"/>
      <c r="W506" s="307"/>
      <c r="X506" s="141"/>
      <c r="Y506" s="307"/>
      <c r="Z506" s="307"/>
      <c r="AA506" s="307"/>
      <c r="AB506" s="307"/>
    </row>
    <row r="507" spans="1:28" ht="17.399999999999999">
      <c r="A507" s="307"/>
      <c r="B507" s="307"/>
      <c r="C507" s="307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307"/>
      <c r="R507" s="307"/>
      <c r="S507" s="307"/>
      <c r="T507" s="307"/>
      <c r="U507" s="307"/>
      <c r="V507" s="307"/>
      <c r="W507" s="307"/>
      <c r="X507" s="141"/>
      <c r="Y507" s="307"/>
      <c r="Z507" s="307"/>
      <c r="AA507" s="307"/>
      <c r="AB507" s="307"/>
    </row>
    <row r="508" spans="1:28" ht="17.399999999999999">
      <c r="A508" s="307"/>
      <c r="B508" s="307"/>
      <c r="C508" s="307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307"/>
      <c r="R508" s="307"/>
      <c r="S508" s="307"/>
      <c r="T508" s="307"/>
      <c r="U508" s="307"/>
      <c r="V508" s="307"/>
      <c r="W508" s="307"/>
      <c r="X508" s="141"/>
      <c r="Y508" s="307"/>
      <c r="Z508" s="307"/>
      <c r="AA508" s="307"/>
      <c r="AB508" s="307"/>
    </row>
    <row r="509" spans="1:28" ht="17.399999999999999">
      <c r="A509" s="307"/>
      <c r="B509" s="307"/>
      <c r="C509" s="307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307"/>
      <c r="R509" s="307"/>
      <c r="S509" s="307"/>
      <c r="T509" s="307"/>
      <c r="U509" s="307"/>
      <c r="V509" s="307"/>
      <c r="W509" s="307"/>
      <c r="X509" s="141"/>
      <c r="Y509" s="307"/>
      <c r="Z509" s="307"/>
      <c r="AA509" s="307"/>
      <c r="AB509" s="307"/>
    </row>
    <row r="510" spans="1:28" ht="17.399999999999999">
      <c r="A510" s="307"/>
      <c r="B510" s="307"/>
      <c r="C510" s="307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307"/>
      <c r="R510" s="307"/>
      <c r="S510" s="307"/>
      <c r="T510" s="307"/>
      <c r="U510" s="307"/>
      <c r="V510" s="307"/>
      <c r="W510" s="307"/>
      <c r="X510" s="141"/>
      <c r="Y510" s="307"/>
      <c r="Z510" s="307"/>
      <c r="AA510" s="307"/>
      <c r="AB510" s="307"/>
    </row>
    <row r="511" spans="1:28" ht="17.399999999999999">
      <c r="A511" s="307"/>
      <c r="B511" s="307"/>
      <c r="C511" s="307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307"/>
      <c r="R511" s="307"/>
      <c r="S511" s="307"/>
      <c r="T511" s="307"/>
      <c r="U511" s="307"/>
      <c r="V511" s="307"/>
      <c r="W511" s="307"/>
      <c r="X511" s="141"/>
      <c r="Y511" s="307"/>
      <c r="Z511" s="307"/>
      <c r="AA511" s="307"/>
      <c r="AB511" s="307"/>
    </row>
    <row r="512" spans="1:28" ht="17.399999999999999">
      <c r="A512" s="307"/>
      <c r="B512" s="307"/>
      <c r="C512" s="307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307"/>
      <c r="R512" s="307"/>
      <c r="S512" s="307"/>
      <c r="T512" s="307"/>
      <c r="U512" s="307"/>
      <c r="V512" s="307"/>
      <c r="W512" s="307"/>
      <c r="X512" s="141"/>
      <c r="Y512" s="307"/>
      <c r="Z512" s="307"/>
      <c r="AA512" s="307"/>
      <c r="AB512" s="307"/>
    </row>
    <row r="513" spans="1:28" ht="17.399999999999999">
      <c r="A513" s="307"/>
      <c r="B513" s="307"/>
      <c r="C513" s="307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307"/>
      <c r="R513" s="307"/>
      <c r="S513" s="307"/>
      <c r="T513" s="307"/>
      <c r="U513" s="307"/>
      <c r="V513" s="307"/>
      <c r="W513" s="307"/>
      <c r="X513" s="141"/>
      <c r="Y513" s="307"/>
      <c r="Z513" s="307"/>
      <c r="AA513" s="307"/>
      <c r="AB513" s="307"/>
    </row>
    <row r="514" spans="1:28" ht="17.399999999999999">
      <c r="A514" s="307"/>
      <c r="B514" s="307"/>
      <c r="C514" s="307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307"/>
      <c r="R514" s="307"/>
      <c r="S514" s="307"/>
      <c r="T514" s="307"/>
      <c r="U514" s="307"/>
      <c r="V514" s="307"/>
      <c r="W514" s="307"/>
      <c r="X514" s="141"/>
      <c r="Y514" s="307"/>
      <c r="Z514" s="307"/>
      <c r="AA514" s="307"/>
      <c r="AB514" s="307"/>
    </row>
    <row r="515" spans="1:28" ht="17.399999999999999">
      <c r="A515" s="307"/>
      <c r="B515" s="307"/>
      <c r="C515" s="307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307"/>
      <c r="R515" s="307"/>
      <c r="S515" s="307"/>
      <c r="T515" s="307"/>
      <c r="U515" s="307"/>
      <c r="V515" s="307"/>
      <c r="W515" s="307"/>
      <c r="X515" s="141"/>
      <c r="Y515" s="307"/>
      <c r="Z515" s="307"/>
      <c r="AA515" s="307"/>
      <c r="AB515" s="307"/>
    </row>
    <row r="516" spans="1:28" ht="17.399999999999999">
      <c r="A516" s="307"/>
      <c r="B516" s="307"/>
      <c r="C516" s="307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307"/>
      <c r="R516" s="307"/>
      <c r="S516" s="307"/>
      <c r="T516" s="307"/>
      <c r="U516" s="307"/>
      <c r="V516" s="307"/>
      <c r="W516" s="307"/>
      <c r="X516" s="141"/>
      <c r="Y516" s="307"/>
      <c r="Z516" s="307"/>
      <c r="AA516" s="307"/>
      <c r="AB516" s="307"/>
    </row>
    <row r="517" spans="1:28" ht="17.399999999999999">
      <c r="A517" s="307"/>
      <c r="B517" s="307"/>
      <c r="C517" s="307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307"/>
      <c r="R517" s="307"/>
      <c r="S517" s="307"/>
      <c r="T517" s="307"/>
      <c r="U517" s="307"/>
      <c r="V517" s="307"/>
      <c r="W517" s="307"/>
      <c r="X517" s="141"/>
      <c r="Y517" s="307"/>
      <c r="Z517" s="307"/>
      <c r="AA517" s="307"/>
      <c r="AB517" s="307"/>
    </row>
    <row r="518" spans="1:28" ht="17.399999999999999">
      <c r="A518" s="307"/>
      <c r="B518" s="307"/>
      <c r="C518" s="307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307"/>
      <c r="R518" s="307"/>
      <c r="S518" s="307"/>
      <c r="T518" s="307"/>
      <c r="U518" s="307"/>
      <c r="V518" s="307"/>
      <c r="W518" s="307"/>
      <c r="X518" s="141"/>
      <c r="Y518" s="307"/>
      <c r="Z518" s="307"/>
      <c r="AA518" s="307"/>
      <c r="AB518" s="307"/>
    </row>
    <row r="519" spans="1:28" ht="17.399999999999999">
      <c r="A519" s="307"/>
      <c r="B519" s="307"/>
      <c r="C519" s="307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307"/>
      <c r="R519" s="307"/>
      <c r="S519" s="307"/>
      <c r="T519" s="307"/>
      <c r="U519" s="307"/>
      <c r="V519" s="307"/>
      <c r="W519" s="307"/>
      <c r="X519" s="141"/>
      <c r="Y519" s="307"/>
      <c r="Z519" s="307"/>
      <c r="AA519" s="307"/>
      <c r="AB519" s="307"/>
    </row>
    <row r="520" spans="1:28" ht="17.399999999999999">
      <c r="A520" s="307"/>
      <c r="B520" s="307"/>
      <c r="C520" s="307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307"/>
      <c r="R520" s="307"/>
      <c r="S520" s="307"/>
      <c r="T520" s="307"/>
      <c r="U520" s="307"/>
      <c r="V520" s="307"/>
      <c r="W520" s="307"/>
      <c r="X520" s="141"/>
      <c r="Y520" s="307"/>
      <c r="Z520" s="307"/>
      <c r="AA520" s="307"/>
      <c r="AB520" s="307"/>
    </row>
    <row r="521" spans="1:28" ht="17.399999999999999">
      <c r="A521" s="307"/>
      <c r="B521" s="307"/>
      <c r="C521" s="307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307"/>
      <c r="R521" s="307"/>
      <c r="S521" s="307"/>
      <c r="T521" s="307"/>
      <c r="U521" s="307"/>
      <c r="V521" s="307"/>
      <c r="W521" s="307"/>
      <c r="X521" s="141"/>
      <c r="Y521" s="307"/>
      <c r="Z521" s="307"/>
      <c r="AA521" s="307"/>
      <c r="AB521" s="307"/>
    </row>
    <row r="522" spans="1:28" ht="17.399999999999999">
      <c r="A522" s="307"/>
      <c r="B522" s="307"/>
      <c r="C522" s="307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307"/>
      <c r="R522" s="307"/>
      <c r="S522" s="307"/>
      <c r="T522" s="307"/>
      <c r="U522" s="307"/>
      <c r="V522" s="307"/>
      <c r="W522" s="307"/>
      <c r="X522" s="141"/>
      <c r="Y522" s="307"/>
      <c r="Z522" s="307"/>
      <c r="AA522" s="307"/>
      <c r="AB522" s="307"/>
    </row>
    <row r="523" spans="1:28" ht="17.399999999999999">
      <c r="A523" s="307"/>
      <c r="B523" s="307"/>
      <c r="C523" s="307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307"/>
      <c r="R523" s="307"/>
      <c r="S523" s="307"/>
      <c r="T523" s="307"/>
      <c r="U523" s="307"/>
      <c r="V523" s="307"/>
      <c r="W523" s="307"/>
      <c r="X523" s="141"/>
      <c r="Y523" s="307"/>
      <c r="Z523" s="307"/>
      <c r="AA523" s="307"/>
      <c r="AB523" s="307"/>
    </row>
    <row r="524" spans="1:28" ht="17.399999999999999">
      <c r="A524" s="307"/>
      <c r="B524" s="307"/>
      <c r="C524" s="307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307"/>
      <c r="R524" s="307"/>
      <c r="S524" s="307"/>
      <c r="T524" s="307"/>
      <c r="U524" s="307"/>
      <c r="V524" s="307"/>
      <c r="W524" s="307"/>
      <c r="X524" s="141"/>
      <c r="Y524" s="307"/>
      <c r="Z524" s="307"/>
      <c r="AA524" s="307"/>
      <c r="AB524" s="307"/>
    </row>
    <row r="525" spans="1:28" ht="17.399999999999999">
      <c r="A525" s="307"/>
      <c r="B525" s="307"/>
      <c r="C525" s="307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307"/>
      <c r="R525" s="307"/>
      <c r="S525" s="307"/>
      <c r="T525" s="307"/>
      <c r="U525" s="307"/>
      <c r="V525" s="307"/>
      <c r="W525" s="307"/>
      <c r="X525" s="141"/>
      <c r="Y525" s="307"/>
      <c r="Z525" s="307"/>
      <c r="AA525" s="307"/>
      <c r="AB525" s="307"/>
    </row>
    <row r="526" spans="1:28" ht="17.399999999999999">
      <c r="A526" s="307"/>
      <c r="B526" s="307"/>
      <c r="C526" s="307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307"/>
      <c r="R526" s="307"/>
      <c r="S526" s="307"/>
      <c r="T526" s="307"/>
      <c r="U526" s="307"/>
      <c r="V526" s="307"/>
      <c r="W526" s="307"/>
      <c r="X526" s="141"/>
      <c r="Y526" s="307"/>
      <c r="Z526" s="307"/>
      <c r="AA526" s="307"/>
      <c r="AB526" s="307"/>
    </row>
    <row r="527" spans="1:28" ht="17.399999999999999">
      <c r="A527" s="307"/>
      <c r="B527" s="307"/>
      <c r="C527" s="307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307"/>
      <c r="R527" s="307"/>
      <c r="S527" s="307"/>
      <c r="T527" s="307"/>
      <c r="U527" s="307"/>
      <c r="V527" s="307"/>
      <c r="W527" s="307"/>
      <c r="X527" s="141"/>
      <c r="Y527" s="307"/>
      <c r="Z527" s="307"/>
      <c r="AA527" s="307"/>
      <c r="AB527" s="307"/>
    </row>
    <row r="528" spans="1:28" ht="17.399999999999999">
      <c r="A528" s="307"/>
      <c r="B528" s="307"/>
      <c r="C528" s="307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307"/>
      <c r="R528" s="307"/>
      <c r="S528" s="307"/>
      <c r="T528" s="307"/>
      <c r="U528" s="307"/>
      <c r="V528" s="307"/>
      <c r="W528" s="307"/>
      <c r="X528" s="141"/>
      <c r="Y528" s="307"/>
      <c r="Z528" s="307"/>
      <c r="AA528" s="307"/>
      <c r="AB528" s="307"/>
    </row>
    <row r="529" spans="1:28" ht="17.399999999999999">
      <c r="A529" s="307"/>
      <c r="B529" s="307"/>
      <c r="C529" s="307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307"/>
      <c r="R529" s="307"/>
      <c r="S529" s="307"/>
      <c r="T529" s="307"/>
      <c r="U529" s="307"/>
      <c r="V529" s="307"/>
      <c r="W529" s="307"/>
      <c r="X529" s="141"/>
      <c r="Y529" s="307"/>
      <c r="Z529" s="307"/>
      <c r="AA529" s="307"/>
      <c r="AB529" s="307"/>
    </row>
    <row r="530" spans="1:28" ht="17.399999999999999">
      <c r="A530" s="307"/>
      <c r="B530" s="307"/>
      <c r="C530" s="307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307"/>
      <c r="R530" s="307"/>
      <c r="S530" s="307"/>
      <c r="T530" s="307"/>
      <c r="U530" s="307"/>
      <c r="V530" s="307"/>
      <c r="W530" s="307"/>
      <c r="X530" s="141"/>
      <c r="Y530" s="307"/>
      <c r="Z530" s="307"/>
      <c r="AA530" s="307"/>
      <c r="AB530" s="307"/>
    </row>
    <row r="531" spans="1:28" ht="17.399999999999999">
      <c r="A531" s="307"/>
      <c r="B531" s="307"/>
      <c r="C531" s="307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307"/>
      <c r="R531" s="307"/>
      <c r="S531" s="307"/>
      <c r="T531" s="307"/>
      <c r="U531" s="307"/>
      <c r="V531" s="307"/>
      <c r="W531" s="307"/>
      <c r="X531" s="141"/>
      <c r="Y531" s="307"/>
      <c r="Z531" s="307"/>
      <c r="AA531" s="307"/>
      <c r="AB531" s="307"/>
    </row>
    <row r="532" spans="1:28" ht="17.399999999999999">
      <c r="A532" s="307"/>
      <c r="B532" s="307"/>
      <c r="C532" s="307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307"/>
      <c r="R532" s="307"/>
      <c r="S532" s="307"/>
      <c r="T532" s="307"/>
      <c r="U532" s="307"/>
      <c r="V532" s="307"/>
      <c r="W532" s="307"/>
      <c r="X532" s="141"/>
      <c r="Y532" s="307"/>
      <c r="Z532" s="307"/>
      <c r="AA532" s="307"/>
      <c r="AB532" s="307"/>
    </row>
    <row r="533" spans="1:28" ht="17.399999999999999">
      <c r="A533" s="307"/>
      <c r="B533" s="307"/>
      <c r="C533" s="307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307"/>
      <c r="R533" s="307"/>
      <c r="S533" s="307"/>
      <c r="T533" s="307"/>
      <c r="U533" s="307"/>
      <c r="V533" s="307"/>
      <c r="W533" s="307"/>
      <c r="X533" s="141"/>
      <c r="Y533" s="307"/>
      <c r="Z533" s="307"/>
      <c r="AA533" s="307"/>
      <c r="AB533" s="307"/>
    </row>
    <row r="534" spans="1:28" ht="17.399999999999999">
      <c r="A534" s="307"/>
      <c r="B534" s="307"/>
      <c r="C534" s="307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307"/>
      <c r="R534" s="307"/>
      <c r="S534" s="307"/>
      <c r="T534" s="307"/>
      <c r="U534" s="307"/>
      <c r="V534" s="307"/>
      <c r="W534" s="307"/>
      <c r="X534" s="141"/>
      <c r="Y534" s="307"/>
      <c r="Z534" s="307"/>
      <c r="AA534" s="307"/>
      <c r="AB534" s="307"/>
    </row>
    <row r="535" spans="1:28" ht="17.399999999999999">
      <c r="A535" s="307"/>
      <c r="B535" s="307"/>
      <c r="C535" s="307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307"/>
      <c r="R535" s="307"/>
      <c r="S535" s="307"/>
      <c r="T535" s="307"/>
      <c r="U535" s="307"/>
      <c r="V535" s="307"/>
      <c r="W535" s="307"/>
      <c r="X535" s="141"/>
      <c r="Y535" s="307"/>
      <c r="Z535" s="307"/>
      <c r="AA535" s="307"/>
      <c r="AB535" s="307"/>
    </row>
    <row r="536" spans="1:28" ht="17.399999999999999">
      <c r="A536" s="307"/>
      <c r="B536" s="307"/>
      <c r="C536" s="307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307"/>
      <c r="R536" s="307"/>
      <c r="S536" s="307"/>
      <c r="T536" s="307"/>
      <c r="U536" s="307"/>
      <c r="V536" s="307"/>
      <c r="W536" s="307"/>
      <c r="X536" s="141"/>
      <c r="Y536" s="307"/>
      <c r="Z536" s="307"/>
      <c r="AA536" s="307"/>
      <c r="AB536" s="307"/>
    </row>
    <row r="537" spans="1:28" ht="17.399999999999999">
      <c r="A537" s="307"/>
      <c r="B537" s="307"/>
      <c r="C537" s="307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307"/>
      <c r="R537" s="307"/>
      <c r="S537" s="307"/>
      <c r="T537" s="307"/>
      <c r="U537" s="307"/>
      <c r="V537" s="307"/>
      <c r="W537" s="307"/>
      <c r="X537" s="141"/>
      <c r="Y537" s="307"/>
      <c r="Z537" s="307"/>
      <c r="AA537" s="307"/>
      <c r="AB537" s="307"/>
    </row>
    <row r="538" spans="1:28" ht="17.399999999999999">
      <c r="A538" s="307"/>
      <c r="B538" s="307"/>
      <c r="C538" s="307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307"/>
      <c r="R538" s="307"/>
      <c r="S538" s="307"/>
      <c r="T538" s="307"/>
      <c r="U538" s="307"/>
      <c r="V538" s="307"/>
      <c r="W538" s="307"/>
      <c r="X538" s="141"/>
      <c r="Y538" s="307"/>
      <c r="Z538" s="307"/>
      <c r="AA538" s="307"/>
      <c r="AB538" s="307"/>
    </row>
    <row r="539" spans="1:28" ht="17.399999999999999">
      <c r="A539" s="307"/>
      <c r="B539" s="307"/>
      <c r="C539" s="307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307"/>
      <c r="R539" s="307"/>
      <c r="S539" s="307"/>
      <c r="T539" s="307"/>
      <c r="U539" s="307"/>
      <c r="V539" s="307"/>
      <c r="W539" s="307"/>
      <c r="X539" s="141"/>
      <c r="Y539" s="307"/>
      <c r="Z539" s="307"/>
      <c r="AA539" s="307"/>
      <c r="AB539" s="307"/>
    </row>
    <row r="540" spans="1:28" ht="17.399999999999999">
      <c r="A540" s="307"/>
      <c r="B540" s="307"/>
      <c r="C540" s="307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307"/>
      <c r="R540" s="307"/>
      <c r="S540" s="307"/>
      <c r="T540" s="307"/>
      <c r="U540" s="307"/>
      <c r="V540" s="307"/>
      <c r="W540" s="307"/>
      <c r="X540" s="141"/>
      <c r="Y540" s="307"/>
      <c r="Z540" s="307"/>
      <c r="AA540" s="307"/>
      <c r="AB540" s="307"/>
    </row>
    <row r="541" spans="1:28" ht="17.399999999999999">
      <c r="A541" s="307"/>
      <c r="B541" s="307"/>
      <c r="C541" s="307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307"/>
      <c r="R541" s="307"/>
      <c r="S541" s="307"/>
      <c r="T541" s="307"/>
      <c r="U541" s="307"/>
      <c r="V541" s="307"/>
      <c r="W541" s="307"/>
      <c r="X541" s="141"/>
      <c r="Y541" s="307"/>
      <c r="Z541" s="307"/>
      <c r="AA541" s="307"/>
      <c r="AB541" s="307"/>
    </row>
    <row r="542" spans="1:28" ht="17.399999999999999">
      <c r="A542" s="307"/>
      <c r="B542" s="307"/>
      <c r="C542" s="307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307"/>
      <c r="R542" s="307"/>
      <c r="S542" s="307"/>
      <c r="T542" s="307"/>
      <c r="U542" s="307"/>
      <c r="V542" s="307"/>
      <c r="W542" s="307"/>
      <c r="X542" s="141"/>
      <c r="Y542" s="307"/>
      <c r="Z542" s="307"/>
      <c r="AA542" s="307"/>
      <c r="AB542" s="307"/>
    </row>
    <row r="543" spans="1:28" ht="17.399999999999999">
      <c r="A543" s="307"/>
      <c r="B543" s="307"/>
      <c r="C543" s="307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307"/>
      <c r="R543" s="307"/>
      <c r="S543" s="307"/>
      <c r="T543" s="307"/>
      <c r="U543" s="307"/>
      <c r="V543" s="307"/>
      <c r="W543" s="307"/>
      <c r="X543" s="141"/>
      <c r="Y543" s="307"/>
      <c r="Z543" s="307"/>
      <c r="AA543" s="307"/>
      <c r="AB543" s="307"/>
    </row>
    <row r="544" spans="1:28" ht="17.399999999999999">
      <c r="A544" s="307"/>
      <c r="B544" s="307"/>
      <c r="C544" s="307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307"/>
      <c r="R544" s="307"/>
      <c r="S544" s="307"/>
      <c r="T544" s="307"/>
      <c r="U544" s="307"/>
      <c r="V544" s="307"/>
      <c r="W544" s="307"/>
      <c r="X544" s="141"/>
      <c r="Y544" s="307"/>
      <c r="Z544" s="307"/>
      <c r="AA544" s="307"/>
      <c r="AB544" s="307"/>
    </row>
    <row r="545" spans="1:28" ht="17.399999999999999">
      <c r="A545" s="307"/>
      <c r="B545" s="307"/>
      <c r="C545" s="307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307"/>
      <c r="R545" s="307"/>
      <c r="S545" s="307"/>
      <c r="T545" s="307"/>
      <c r="U545" s="307"/>
      <c r="V545" s="307"/>
      <c r="W545" s="307"/>
      <c r="X545" s="141"/>
      <c r="Y545" s="307"/>
      <c r="Z545" s="307"/>
      <c r="AA545" s="307"/>
      <c r="AB545" s="307"/>
    </row>
    <row r="546" spans="1:28" ht="17.399999999999999">
      <c r="A546" s="307"/>
      <c r="B546" s="307"/>
      <c r="C546" s="307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307"/>
      <c r="R546" s="307"/>
      <c r="S546" s="307"/>
      <c r="T546" s="307"/>
      <c r="U546" s="307"/>
      <c r="V546" s="307"/>
      <c r="W546" s="307"/>
      <c r="X546" s="141"/>
      <c r="Y546" s="307"/>
      <c r="Z546" s="307"/>
      <c r="AA546" s="307"/>
      <c r="AB546" s="307"/>
    </row>
    <row r="547" spans="1:28" ht="17.399999999999999">
      <c r="A547" s="307"/>
      <c r="B547" s="307"/>
      <c r="C547" s="307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307"/>
      <c r="R547" s="307"/>
      <c r="S547" s="307"/>
      <c r="T547" s="307"/>
      <c r="U547" s="307"/>
      <c r="V547" s="307"/>
      <c r="W547" s="307"/>
      <c r="X547" s="141"/>
      <c r="Y547" s="307"/>
      <c r="Z547" s="307"/>
      <c r="AA547" s="307"/>
      <c r="AB547" s="307"/>
    </row>
    <row r="548" spans="1:28" ht="17.399999999999999">
      <c r="A548" s="307"/>
      <c r="B548" s="307"/>
      <c r="C548" s="307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307"/>
      <c r="R548" s="307"/>
      <c r="S548" s="307"/>
      <c r="T548" s="307"/>
      <c r="U548" s="307"/>
      <c r="V548" s="307"/>
      <c r="W548" s="307"/>
      <c r="X548" s="141"/>
      <c r="Y548" s="307"/>
      <c r="Z548" s="307"/>
      <c r="AA548" s="307"/>
      <c r="AB548" s="307"/>
    </row>
    <row r="549" spans="1:28" ht="17.399999999999999">
      <c r="A549" s="307"/>
      <c r="B549" s="307"/>
      <c r="C549" s="307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307"/>
      <c r="R549" s="307"/>
      <c r="S549" s="307"/>
      <c r="T549" s="307"/>
      <c r="U549" s="307"/>
      <c r="V549" s="307"/>
      <c r="W549" s="307"/>
      <c r="X549" s="141"/>
      <c r="Y549" s="307"/>
      <c r="Z549" s="307"/>
      <c r="AA549" s="307"/>
      <c r="AB549" s="307"/>
    </row>
    <row r="550" spans="1:28" ht="17.399999999999999">
      <c r="A550" s="307"/>
      <c r="B550" s="307"/>
      <c r="C550" s="307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307"/>
      <c r="R550" s="307"/>
      <c r="S550" s="307"/>
      <c r="T550" s="307"/>
      <c r="U550" s="307"/>
      <c r="V550" s="307"/>
      <c r="W550" s="307"/>
      <c r="X550" s="141"/>
      <c r="Y550" s="307"/>
      <c r="Z550" s="307"/>
      <c r="AA550" s="307"/>
      <c r="AB550" s="307"/>
    </row>
    <row r="551" spans="1:28" ht="17.399999999999999">
      <c r="A551" s="307"/>
      <c r="B551" s="307"/>
      <c r="C551" s="307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307"/>
      <c r="R551" s="307"/>
      <c r="S551" s="307"/>
      <c r="T551" s="307"/>
      <c r="U551" s="307"/>
      <c r="V551" s="307"/>
      <c r="W551" s="307"/>
      <c r="X551" s="141"/>
      <c r="Y551" s="307"/>
      <c r="Z551" s="307"/>
      <c r="AA551" s="307"/>
      <c r="AB551" s="307"/>
    </row>
    <row r="552" spans="1:28" ht="17.399999999999999">
      <c r="A552" s="307"/>
      <c r="B552" s="307"/>
      <c r="C552" s="307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307"/>
      <c r="R552" s="307"/>
      <c r="S552" s="307"/>
      <c r="T552" s="307"/>
      <c r="U552" s="307"/>
      <c r="V552" s="307"/>
      <c r="W552" s="307"/>
      <c r="X552" s="141"/>
      <c r="Y552" s="307"/>
      <c r="Z552" s="307"/>
      <c r="AA552" s="307"/>
      <c r="AB552" s="307"/>
    </row>
    <row r="553" spans="1:28" ht="17.399999999999999">
      <c r="A553" s="307"/>
      <c r="B553" s="307"/>
      <c r="C553" s="307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307"/>
      <c r="R553" s="307"/>
      <c r="S553" s="307"/>
      <c r="T553" s="307"/>
      <c r="U553" s="307"/>
      <c r="V553" s="307"/>
      <c r="W553" s="307"/>
      <c r="X553" s="141"/>
      <c r="Y553" s="307"/>
      <c r="Z553" s="307"/>
      <c r="AA553" s="307"/>
      <c r="AB553" s="307"/>
    </row>
    <row r="554" spans="1:28" ht="17.399999999999999">
      <c r="A554" s="307"/>
      <c r="B554" s="307"/>
      <c r="C554" s="307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307"/>
      <c r="R554" s="307"/>
      <c r="S554" s="307"/>
      <c r="T554" s="307"/>
      <c r="U554" s="307"/>
      <c r="V554" s="307"/>
      <c r="W554" s="307"/>
      <c r="X554" s="141"/>
      <c r="Y554" s="307"/>
      <c r="Z554" s="307"/>
      <c r="AA554" s="307"/>
      <c r="AB554" s="307"/>
    </row>
    <row r="555" spans="1:28" ht="17.399999999999999">
      <c r="A555" s="307"/>
      <c r="B555" s="307"/>
      <c r="C555" s="307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307"/>
      <c r="R555" s="307"/>
      <c r="S555" s="307"/>
      <c r="T555" s="307"/>
      <c r="U555" s="307"/>
      <c r="V555" s="307"/>
      <c r="W555" s="307"/>
      <c r="X555" s="141"/>
      <c r="Y555" s="307"/>
      <c r="Z555" s="307"/>
      <c r="AA555" s="307"/>
      <c r="AB555" s="307"/>
    </row>
    <row r="556" spans="1:28" ht="17.399999999999999">
      <c r="A556" s="307"/>
      <c r="B556" s="307"/>
      <c r="C556" s="307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307"/>
      <c r="R556" s="307"/>
      <c r="S556" s="307"/>
      <c r="T556" s="307"/>
      <c r="U556" s="307"/>
      <c r="V556" s="307"/>
      <c r="W556" s="307"/>
      <c r="X556" s="141"/>
      <c r="Y556" s="307"/>
      <c r="Z556" s="307"/>
      <c r="AA556" s="307"/>
      <c r="AB556" s="307"/>
    </row>
    <row r="557" spans="1:28" ht="17.399999999999999">
      <c r="A557" s="307"/>
      <c r="B557" s="307"/>
      <c r="C557" s="307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307"/>
      <c r="R557" s="307"/>
      <c r="S557" s="307"/>
      <c r="T557" s="307"/>
      <c r="U557" s="307"/>
      <c r="V557" s="307"/>
      <c r="W557" s="307"/>
      <c r="X557" s="141"/>
      <c r="Y557" s="307"/>
      <c r="Z557" s="307"/>
      <c r="AA557" s="307"/>
      <c r="AB557" s="307"/>
    </row>
    <row r="558" spans="1:28" ht="17.399999999999999">
      <c r="A558" s="307"/>
      <c r="B558" s="307"/>
      <c r="C558" s="307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307"/>
      <c r="R558" s="307"/>
      <c r="S558" s="307"/>
      <c r="T558" s="307"/>
      <c r="U558" s="307"/>
      <c r="V558" s="307"/>
      <c r="W558" s="307"/>
      <c r="X558" s="141"/>
      <c r="Y558" s="307"/>
      <c r="Z558" s="307"/>
      <c r="AA558" s="307"/>
      <c r="AB558" s="307"/>
    </row>
    <row r="559" spans="1:28" ht="17.399999999999999">
      <c r="A559" s="307"/>
      <c r="B559" s="307"/>
      <c r="C559" s="307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307"/>
      <c r="R559" s="307"/>
      <c r="S559" s="307"/>
      <c r="T559" s="307"/>
      <c r="U559" s="307"/>
      <c r="V559" s="307"/>
      <c r="W559" s="307"/>
      <c r="X559" s="141"/>
      <c r="Y559" s="307"/>
      <c r="Z559" s="307"/>
      <c r="AA559" s="307"/>
      <c r="AB559" s="307"/>
    </row>
    <row r="560" spans="1:28" ht="17.399999999999999">
      <c r="A560" s="307"/>
      <c r="B560" s="307"/>
      <c r="C560" s="307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307"/>
      <c r="R560" s="307"/>
      <c r="S560" s="307"/>
      <c r="T560" s="307"/>
      <c r="U560" s="307"/>
      <c r="V560" s="307"/>
      <c r="W560" s="307"/>
      <c r="X560" s="141"/>
      <c r="Y560" s="307"/>
      <c r="Z560" s="307"/>
      <c r="AA560" s="307"/>
      <c r="AB560" s="307"/>
    </row>
    <row r="561" spans="1:28" ht="17.399999999999999">
      <c r="A561" s="307"/>
      <c r="B561" s="307"/>
      <c r="C561" s="307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307"/>
      <c r="R561" s="307"/>
      <c r="S561" s="307"/>
      <c r="T561" s="307"/>
      <c r="U561" s="307"/>
      <c r="V561" s="307"/>
      <c r="W561" s="307"/>
      <c r="X561" s="141"/>
      <c r="Y561" s="307"/>
      <c r="Z561" s="307"/>
      <c r="AA561" s="307"/>
      <c r="AB561" s="307"/>
    </row>
    <row r="562" spans="1:28" ht="17.399999999999999">
      <c r="A562" s="307"/>
      <c r="B562" s="307"/>
      <c r="C562" s="307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307"/>
      <c r="R562" s="307"/>
      <c r="S562" s="307"/>
      <c r="T562" s="307"/>
      <c r="U562" s="307"/>
      <c r="V562" s="307"/>
      <c r="W562" s="307"/>
      <c r="X562" s="141"/>
      <c r="Y562" s="307"/>
      <c r="Z562" s="307"/>
      <c r="AA562" s="307"/>
      <c r="AB562" s="307"/>
    </row>
    <row r="563" spans="1:28" ht="17.399999999999999">
      <c r="A563" s="307"/>
      <c r="B563" s="307"/>
      <c r="C563" s="307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307"/>
      <c r="R563" s="307"/>
      <c r="S563" s="307"/>
      <c r="T563" s="307"/>
      <c r="U563" s="307"/>
      <c r="V563" s="307"/>
      <c r="W563" s="307"/>
      <c r="X563" s="141"/>
      <c r="Y563" s="307"/>
      <c r="Z563" s="307"/>
      <c r="AA563" s="307"/>
      <c r="AB563" s="307"/>
    </row>
    <row r="564" spans="1:28" ht="17.399999999999999">
      <c r="A564" s="307"/>
      <c r="B564" s="307"/>
      <c r="C564" s="307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307"/>
      <c r="R564" s="307"/>
      <c r="S564" s="307"/>
      <c r="T564" s="307"/>
      <c r="U564" s="307"/>
      <c r="V564" s="307"/>
      <c r="W564" s="307"/>
      <c r="X564" s="141"/>
      <c r="Y564" s="307"/>
      <c r="Z564" s="307"/>
      <c r="AA564" s="307"/>
      <c r="AB564" s="307"/>
    </row>
    <row r="565" spans="1:28" ht="17.399999999999999">
      <c r="A565" s="307"/>
      <c r="B565" s="307"/>
      <c r="C565" s="307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307"/>
      <c r="R565" s="307"/>
      <c r="S565" s="307"/>
      <c r="T565" s="307"/>
      <c r="U565" s="307"/>
      <c r="V565" s="307"/>
      <c r="W565" s="307"/>
      <c r="X565" s="141"/>
      <c r="Y565" s="307"/>
      <c r="Z565" s="307"/>
      <c r="AA565" s="307"/>
      <c r="AB565" s="307"/>
    </row>
    <row r="566" spans="1:28" ht="17.399999999999999">
      <c r="A566" s="307"/>
      <c r="B566" s="307"/>
      <c r="C566" s="307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307"/>
      <c r="R566" s="307"/>
      <c r="S566" s="307"/>
      <c r="T566" s="307"/>
      <c r="U566" s="307"/>
      <c r="V566" s="307"/>
      <c r="W566" s="307"/>
      <c r="X566" s="141"/>
      <c r="Y566" s="307"/>
      <c r="Z566" s="307"/>
      <c r="AA566" s="307"/>
      <c r="AB566" s="307"/>
    </row>
    <row r="567" spans="1:28" ht="17.399999999999999">
      <c r="A567" s="307"/>
      <c r="B567" s="307"/>
      <c r="C567" s="307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307"/>
      <c r="R567" s="307"/>
      <c r="S567" s="307"/>
      <c r="T567" s="307"/>
      <c r="U567" s="307"/>
      <c r="V567" s="307"/>
      <c r="W567" s="307"/>
      <c r="X567" s="141"/>
      <c r="Y567" s="307"/>
      <c r="Z567" s="307"/>
      <c r="AA567" s="307"/>
      <c r="AB567" s="307"/>
    </row>
    <row r="568" spans="1:28" ht="17.399999999999999">
      <c r="A568" s="307"/>
      <c r="B568" s="307"/>
      <c r="C568" s="307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307"/>
      <c r="R568" s="307"/>
      <c r="S568" s="307"/>
      <c r="T568" s="307"/>
      <c r="U568" s="307"/>
      <c r="V568" s="307"/>
      <c r="W568" s="307"/>
      <c r="X568" s="141"/>
      <c r="Y568" s="307"/>
      <c r="Z568" s="307"/>
      <c r="AA568" s="307"/>
      <c r="AB568" s="307"/>
    </row>
    <row r="569" spans="1:28" ht="17.399999999999999">
      <c r="A569" s="307"/>
      <c r="B569" s="307"/>
      <c r="C569" s="307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307"/>
      <c r="R569" s="307"/>
      <c r="S569" s="307"/>
      <c r="T569" s="307"/>
      <c r="U569" s="307"/>
      <c r="V569" s="307"/>
      <c r="W569" s="307"/>
      <c r="X569" s="141"/>
      <c r="Y569" s="307"/>
      <c r="Z569" s="307"/>
      <c r="AA569" s="307"/>
      <c r="AB569" s="307"/>
    </row>
    <row r="570" spans="1:28" ht="17.399999999999999">
      <c r="A570" s="307"/>
      <c r="B570" s="307"/>
      <c r="C570" s="307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307"/>
      <c r="R570" s="307"/>
      <c r="S570" s="307"/>
      <c r="T570" s="307"/>
      <c r="U570" s="307"/>
      <c r="V570" s="307"/>
      <c r="W570" s="307"/>
      <c r="X570" s="141"/>
      <c r="Y570" s="307"/>
      <c r="Z570" s="307"/>
      <c r="AA570" s="307"/>
      <c r="AB570" s="307"/>
    </row>
    <row r="571" spans="1:28" ht="17.399999999999999">
      <c r="A571" s="307"/>
      <c r="B571" s="307"/>
      <c r="C571" s="307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307"/>
      <c r="R571" s="307"/>
      <c r="S571" s="307"/>
      <c r="T571" s="307"/>
      <c r="U571" s="307"/>
      <c r="V571" s="307"/>
      <c r="W571" s="307"/>
      <c r="X571" s="141"/>
      <c r="Y571" s="307"/>
      <c r="Z571" s="307"/>
      <c r="AA571" s="307"/>
      <c r="AB571" s="307"/>
    </row>
    <row r="572" spans="1:28" ht="17.399999999999999">
      <c r="A572" s="307"/>
      <c r="B572" s="307"/>
      <c r="C572" s="307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307"/>
      <c r="R572" s="307"/>
      <c r="S572" s="307"/>
      <c r="T572" s="307"/>
      <c r="U572" s="307"/>
      <c r="V572" s="307"/>
      <c r="W572" s="307"/>
      <c r="X572" s="141"/>
      <c r="Y572" s="307"/>
      <c r="Z572" s="307"/>
      <c r="AA572" s="307"/>
      <c r="AB572" s="307"/>
    </row>
    <row r="573" spans="1:28" ht="17.399999999999999">
      <c r="A573" s="307"/>
      <c r="B573" s="307"/>
      <c r="C573" s="307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307"/>
      <c r="R573" s="307"/>
      <c r="S573" s="307"/>
      <c r="T573" s="307"/>
      <c r="U573" s="307"/>
      <c r="V573" s="307"/>
      <c r="W573" s="307"/>
      <c r="X573" s="141"/>
      <c r="Y573" s="307"/>
      <c r="Z573" s="307"/>
      <c r="AA573" s="307"/>
      <c r="AB573" s="307"/>
    </row>
    <row r="574" spans="1:28" ht="17.399999999999999">
      <c r="A574" s="307"/>
      <c r="B574" s="307"/>
      <c r="C574" s="307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307"/>
      <c r="R574" s="307"/>
      <c r="S574" s="307"/>
      <c r="T574" s="307"/>
      <c r="U574" s="307"/>
      <c r="V574" s="307"/>
      <c r="W574" s="307"/>
      <c r="X574" s="141"/>
      <c r="Y574" s="307"/>
      <c r="Z574" s="307"/>
      <c r="AA574" s="307"/>
      <c r="AB574" s="307"/>
    </row>
    <row r="575" spans="1:28" ht="17.399999999999999">
      <c r="A575" s="307"/>
      <c r="B575" s="307"/>
      <c r="C575" s="307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307"/>
      <c r="R575" s="307"/>
      <c r="S575" s="307"/>
      <c r="T575" s="307"/>
      <c r="U575" s="307"/>
      <c r="V575" s="307"/>
      <c r="W575" s="307"/>
      <c r="X575" s="141"/>
      <c r="Y575" s="307"/>
      <c r="Z575" s="307"/>
      <c r="AA575" s="307"/>
      <c r="AB575" s="307"/>
    </row>
    <row r="576" spans="1:28" ht="17.399999999999999">
      <c r="A576" s="307"/>
      <c r="B576" s="307"/>
      <c r="C576" s="307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307"/>
      <c r="R576" s="307"/>
      <c r="S576" s="307"/>
      <c r="T576" s="307"/>
      <c r="U576" s="307"/>
      <c r="V576" s="307"/>
      <c r="W576" s="307"/>
      <c r="X576" s="141"/>
      <c r="Y576" s="307"/>
      <c r="Z576" s="307"/>
      <c r="AA576" s="307"/>
      <c r="AB576" s="307"/>
    </row>
    <row r="577" spans="1:28" ht="17.399999999999999">
      <c r="A577" s="307"/>
      <c r="B577" s="307"/>
      <c r="C577" s="307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307"/>
      <c r="R577" s="307"/>
      <c r="S577" s="307"/>
      <c r="T577" s="307"/>
      <c r="U577" s="307"/>
      <c r="V577" s="307"/>
      <c r="W577" s="307"/>
      <c r="X577" s="141"/>
      <c r="Y577" s="307"/>
      <c r="Z577" s="307"/>
      <c r="AA577" s="307"/>
      <c r="AB577" s="307"/>
    </row>
    <row r="578" spans="1:28" ht="17.399999999999999">
      <c r="A578" s="307"/>
      <c r="B578" s="307"/>
      <c r="C578" s="307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307"/>
      <c r="R578" s="307"/>
      <c r="S578" s="307"/>
      <c r="T578" s="307"/>
      <c r="U578" s="307"/>
      <c r="V578" s="307"/>
      <c r="W578" s="307"/>
      <c r="X578" s="141"/>
      <c r="Y578" s="307"/>
      <c r="Z578" s="307"/>
      <c r="AA578" s="307"/>
      <c r="AB578" s="307"/>
    </row>
    <row r="579" spans="1:28" ht="17.399999999999999">
      <c r="A579" s="307"/>
      <c r="B579" s="307"/>
      <c r="C579" s="307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307"/>
      <c r="R579" s="307"/>
      <c r="S579" s="307"/>
      <c r="T579" s="307"/>
      <c r="U579" s="307"/>
      <c r="V579" s="307"/>
      <c r="W579" s="307"/>
      <c r="X579" s="141"/>
      <c r="Y579" s="307"/>
      <c r="Z579" s="307"/>
      <c r="AA579" s="307"/>
      <c r="AB579" s="307"/>
    </row>
    <row r="580" spans="1:28" ht="17.399999999999999">
      <c r="A580" s="307"/>
      <c r="B580" s="307"/>
      <c r="C580" s="307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307"/>
      <c r="R580" s="307"/>
      <c r="S580" s="307"/>
      <c r="T580" s="307"/>
      <c r="U580" s="307"/>
      <c r="V580" s="307"/>
      <c r="W580" s="307"/>
      <c r="X580" s="141"/>
      <c r="Y580" s="307"/>
      <c r="Z580" s="307"/>
      <c r="AA580" s="307"/>
      <c r="AB580" s="307"/>
    </row>
    <row r="581" spans="1:28" ht="17.399999999999999">
      <c r="A581" s="307"/>
      <c r="B581" s="307"/>
      <c r="C581" s="307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307"/>
      <c r="R581" s="307"/>
      <c r="S581" s="307"/>
      <c r="T581" s="307"/>
      <c r="U581" s="307"/>
      <c r="V581" s="307"/>
      <c r="W581" s="307"/>
      <c r="X581" s="141"/>
      <c r="Y581" s="307"/>
      <c r="Z581" s="307"/>
      <c r="AA581" s="307"/>
      <c r="AB581" s="307"/>
    </row>
    <row r="582" spans="1:28" ht="17.399999999999999">
      <c r="A582" s="307"/>
      <c r="B582" s="307"/>
      <c r="C582" s="307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307"/>
      <c r="R582" s="307"/>
      <c r="S582" s="307"/>
      <c r="T582" s="307"/>
      <c r="U582" s="307"/>
      <c r="V582" s="307"/>
      <c r="W582" s="307"/>
      <c r="X582" s="141"/>
      <c r="Y582" s="307"/>
      <c r="Z582" s="307"/>
      <c r="AA582" s="307"/>
      <c r="AB582" s="307"/>
    </row>
    <row r="583" spans="1:28" ht="17.399999999999999">
      <c r="A583" s="307"/>
      <c r="B583" s="307"/>
      <c r="C583" s="307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307"/>
      <c r="R583" s="307"/>
      <c r="S583" s="307"/>
      <c r="T583" s="307"/>
      <c r="U583" s="307"/>
      <c r="V583" s="307"/>
      <c r="W583" s="307"/>
      <c r="X583" s="141"/>
      <c r="Y583" s="307"/>
      <c r="Z583" s="307"/>
      <c r="AA583" s="307"/>
      <c r="AB583" s="307"/>
    </row>
    <row r="584" spans="1:28" ht="17.399999999999999">
      <c r="A584" s="307"/>
      <c r="B584" s="307"/>
      <c r="C584" s="307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307"/>
      <c r="R584" s="307"/>
      <c r="S584" s="307"/>
      <c r="T584" s="307"/>
      <c r="U584" s="307"/>
      <c r="V584" s="307"/>
      <c r="W584" s="307"/>
      <c r="X584" s="141"/>
      <c r="Y584" s="307"/>
      <c r="Z584" s="307"/>
      <c r="AA584" s="307"/>
      <c r="AB584" s="307"/>
    </row>
    <row r="585" spans="1:28" ht="17.399999999999999">
      <c r="A585" s="307"/>
      <c r="B585" s="307"/>
      <c r="C585" s="307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307"/>
      <c r="R585" s="307"/>
      <c r="S585" s="307"/>
      <c r="T585" s="307"/>
      <c r="U585" s="307"/>
      <c r="V585" s="307"/>
      <c r="W585" s="307"/>
      <c r="X585" s="141"/>
      <c r="Y585" s="307"/>
      <c r="Z585" s="307"/>
      <c r="AA585" s="307"/>
      <c r="AB585" s="307"/>
    </row>
    <row r="586" spans="1:28" ht="17.399999999999999">
      <c r="A586" s="307"/>
      <c r="B586" s="307"/>
      <c r="C586" s="307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307"/>
      <c r="R586" s="307"/>
      <c r="S586" s="307"/>
      <c r="T586" s="307"/>
      <c r="U586" s="307"/>
      <c r="V586" s="307"/>
      <c r="W586" s="307"/>
      <c r="X586" s="141"/>
      <c r="Y586" s="307"/>
      <c r="Z586" s="307"/>
      <c r="AA586" s="307"/>
      <c r="AB586" s="307"/>
    </row>
    <row r="587" spans="1:28" ht="17.399999999999999">
      <c r="A587" s="307"/>
      <c r="B587" s="307"/>
      <c r="C587" s="307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307"/>
      <c r="R587" s="307"/>
      <c r="S587" s="307"/>
      <c r="T587" s="307"/>
      <c r="U587" s="307"/>
      <c r="V587" s="307"/>
      <c r="W587" s="307"/>
      <c r="X587" s="141"/>
      <c r="Y587" s="307"/>
      <c r="Z587" s="307"/>
      <c r="AA587" s="307"/>
      <c r="AB587" s="307"/>
    </row>
    <row r="588" spans="1:28" ht="17.399999999999999">
      <c r="A588" s="307"/>
      <c r="B588" s="307"/>
      <c r="C588" s="307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307"/>
      <c r="R588" s="307"/>
      <c r="S588" s="307"/>
      <c r="T588" s="307"/>
      <c r="U588" s="307"/>
      <c r="V588" s="307"/>
      <c r="W588" s="307"/>
      <c r="X588" s="141"/>
      <c r="Y588" s="307"/>
      <c r="Z588" s="307"/>
      <c r="AA588" s="307"/>
      <c r="AB588" s="307"/>
    </row>
    <row r="589" spans="1:28" ht="17.399999999999999">
      <c r="A589" s="307"/>
      <c r="B589" s="307"/>
      <c r="C589" s="307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307"/>
      <c r="R589" s="307"/>
      <c r="S589" s="307"/>
      <c r="T589" s="307"/>
      <c r="U589" s="307"/>
      <c r="V589" s="307"/>
      <c r="W589" s="307"/>
      <c r="X589" s="141"/>
      <c r="Y589" s="307"/>
      <c r="Z589" s="307"/>
      <c r="AA589" s="307"/>
      <c r="AB589" s="307"/>
    </row>
    <row r="590" spans="1:28" ht="17.399999999999999">
      <c r="A590" s="307"/>
      <c r="B590" s="307"/>
      <c r="C590" s="307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307"/>
      <c r="R590" s="307"/>
      <c r="S590" s="307"/>
      <c r="T590" s="307"/>
      <c r="U590" s="307"/>
      <c r="V590" s="307"/>
      <c r="W590" s="307"/>
      <c r="X590" s="141"/>
      <c r="Y590" s="307"/>
      <c r="Z590" s="307"/>
      <c r="AA590" s="307"/>
      <c r="AB590" s="307"/>
    </row>
    <row r="591" spans="1:28" ht="17.399999999999999">
      <c r="A591" s="307"/>
      <c r="B591" s="307"/>
      <c r="C591" s="307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307"/>
      <c r="R591" s="307"/>
      <c r="S591" s="307"/>
      <c r="T591" s="307"/>
      <c r="U591" s="307"/>
      <c r="V591" s="307"/>
      <c r="W591" s="307"/>
      <c r="X591" s="141"/>
      <c r="Y591" s="307"/>
      <c r="Z591" s="307"/>
      <c r="AA591" s="307"/>
      <c r="AB591" s="307"/>
    </row>
    <row r="592" spans="1:28" ht="17.399999999999999">
      <c r="A592" s="307"/>
      <c r="B592" s="307"/>
      <c r="C592" s="307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307"/>
      <c r="R592" s="307"/>
      <c r="S592" s="307"/>
      <c r="T592" s="307"/>
      <c r="U592" s="307"/>
      <c r="V592" s="307"/>
      <c r="W592" s="307"/>
      <c r="X592" s="141"/>
      <c r="Y592" s="307"/>
      <c r="Z592" s="307"/>
      <c r="AA592" s="307"/>
      <c r="AB592" s="307"/>
    </row>
    <row r="593" spans="1:28" ht="17.399999999999999">
      <c r="A593" s="307"/>
      <c r="B593" s="307"/>
      <c r="C593" s="307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307"/>
      <c r="R593" s="307"/>
      <c r="S593" s="307"/>
      <c r="T593" s="307"/>
      <c r="U593" s="307"/>
      <c r="V593" s="307"/>
      <c r="W593" s="307"/>
      <c r="X593" s="141"/>
      <c r="Y593" s="307"/>
      <c r="Z593" s="307"/>
      <c r="AA593" s="307"/>
      <c r="AB593" s="307"/>
    </row>
    <row r="594" spans="1:28" ht="17.399999999999999">
      <c r="A594" s="307"/>
      <c r="B594" s="307"/>
      <c r="C594" s="307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307"/>
      <c r="R594" s="307"/>
      <c r="S594" s="307"/>
      <c r="T594" s="307"/>
      <c r="U594" s="307"/>
      <c r="V594" s="307"/>
      <c r="W594" s="307"/>
      <c r="X594" s="141"/>
      <c r="Y594" s="307"/>
      <c r="Z594" s="307"/>
      <c r="AA594" s="307"/>
      <c r="AB594" s="307"/>
    </row>
    <row r="595" spans="1:28" ht="17.399999999999999">
      <c r="A595" s="307"/>
      <c r="B595" s="307"/>
      <c r="C595" s="307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307"/>
      <c r="R595" s="307"/>
      <c r="S595" s="307"/>
      <c r="T595" s="307"/>
      <c r="U595" s="307"/>
      <c r="V595" s="307"/>
      <c r="W595" s="307"/>
      <c r="X595" s="141"/>
      <c r="Y595" s="307"/>
      <c r="Z595" s="307"/>
      <c r="AA595" s="307"/>
      <c r="AB595" s="307"/>
    </row>
    <row r="596" spans="1:28" ht="17.399999999999999">
      <c r="A596" s="307"/>
      <c r="B596" s="307"/>
      <c r="C596" s="307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307"/>
      <c r="R596" s="307"/>
      <c r="S596" s="307"/>
      <c r="T596" s="307"/>
      <c r="U596" s="307"/>
      <c r="V596" s="307"/>
      <c r="W596" s="307"/>
      <c r="X596" s="141"/>
      <c r="Y596" s="307"/>
      <c r="Z596" s="307"/>
      <c r="AA596" s="307"/>
      <c r="AB596" s="307"/>
    </row>
    <row r="597" spans="1:28" ht="17.399999999999999">
      <c r="A597" s="307"/>
      <c r="B597" s="307"/>
      <c r="C597" s="307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307"/>
      <c r="R597" s="307"/>
      <c r="S597" s="307"/>
      <c r="T597" s="307"/>
      <c r="U597" s="307"/>
      <c r="V597" s="307"/>
      <c r="W597" s="307"/>
      <c r="X597" s="141"/>
      <c r="Y597" s="307"/>
      <c r="Z597" s="307"/>
      <c r="AA597" s="307"/>
      <c r="AB597" s="307"/>
    </row>
    <row r="598" spans="1:28" ht="17.399999999999999">
      <c r="A598" s="307"/>
      <c r="B598" s="307"/>
      <c r="C598" s="307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307"/>
      <c r="R598" s="307"/>
      <c r="S598" s="307"/>
      <c r="T598" s="307"/>
      <c r="U598" s="307"/>
      <c r="V598" s="307"/>
      <c r="W598" s="307"/>
      <c r="X598" s="141"/>
      <c r="Y598" s="307"/>
      <c r="Z598" s="307"/>
      <c r="AA598" s="307"/>
      <c r="AB598" s="307"/>
    </row>
    <row r="599" spans="1:28" ht="17.399999999999999">
      <c r="A599" s="307"/>
      <c r="B599" s="307"/>
      <c r="C599" s="307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307"/>
      <c r="R599" s="307"/>
      <c r="S599" s="307"/>
      <c r="T599" s="307"/>
      <c r="U599" s="307"/>
      <c r="V599" s="307"/>
      <c r="W599" s="307"/>
      <c r="X599" s="141"/>
      <c r="Y599" s="307"/>
      <c r="Z599" s="307"/>
      <c r="AA599" s="307"/>
      <c r="AB599" s="307"/>
    </row>
    <row r="600" spans="1:28" ht="17.399999999999999">
      <c r="A600" s="307"/>
      <c r="B600" s="307"/>
      <c r="C600" s="307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307"/>
      <c r="R600" s="307"/>
      <c r="S600" s="307"/>
      <c r="T600" s="307"/>
      <c r="U600" s="307"/>
      <c r="V600" s="307"/>
      <c r="W600" s="307"/>
      <c r="X600" s="141"/>
      <c r="Y600" s="307"/>
      <c r="Z600" s="307"/>
      <c r="AA600" s="307"/>
      <c r="AB600" s="307"/>
    </row>
    <row r="601" spans="1:28" ht="17.399999999999999">
      <c r="A601" s="307"/>
      <c r="B601" s="307"/>
      <c r="C601" s="307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307"/>
      <c r="R601" s="307"/>
      <c r="S601" s="307"/>
      <c r="T601" s="307"/>
      <c r="U601" s="307"/>
      <c r="V601" s="307"/>
      <c r="W601" s="307"/>
      <c r="X601" s="141"/>
      <c r="Y601" s="307"/>
      <c r="Z601" s="307"/>
      <c r="AA601" s="307"/>
      <c r="AB601" s="307"/>
    </row>
    <row r="602" spans="1:28" ht="17.399999999999999">
      <c r="A602" s="307"/>
      <c r="B602" s="307"/>
      <c r="C602" s="307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307"/>
      <c r="R602" s="307"/>
      <c r="S602" s="307"/>
      <c r="T602" s="307"/>
      <c r="U602" s="307"/>
      <c r="V602" s="307"/>
      <c r="W602" s="307"/>
      <c r="X602" s="141"/>
      <c r="Y602" s="307"/>
      <c r="Z602" s="307"/>
      <c r="AA602" s="307"/>
      <c r="AB602" s="307"/>
    </row>
    <row r="603" spans="1:28" ht="17.399999999999999">
      <c r="A603" s="307"/>
      <c r="B603" s="307"/>
      <c r="C603" s="307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307"/>
      <c r="R603" s="307"/>
      <c r="S603" s="307"/>
      <c r="T603" s="307"/>
      <c r="U603" s="307"/>
      <c r="V603" s="307"/>
      <c r="W603" s="307"/>
      <c r="X603" s="141"/>
      <c r="Y603" s="307"/>
      <c r="Z603" s="307"/>
      <c r="AA603" s="307"/>
      <c r="AB603" s="307"/>
    </row>
    <row r="604" spans="1:28" ht="17.399999999999999">
      <c r="A604" s="307"/>
      <c r="B604" s="307"/>
      <c r="C604" s="307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307"/>
      <c r="R604" s="307"/>
      <c r="S604" s="307"/>
      <c r="T604" s="307"/>
      <c r="U604" s="307"/>
      <c r="V604" s="307"/>
      <c r="W604" s="307"/>
      <c r="X604" s="141"/>
      <c r="Y604" s="307"/>
      <c r="Z604" s="307"/>
      <c r="AA604" s="307"/>
      <c r="AB604" s="307"/>
    </row>
    <row r="605" spans="1:28" ht="17.399999999999999">
      <c r="A605" s="307"/>
      <c r="B605" s="307"/>
      <c r="C605" s="307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307"/>
      <c r="R605" s="307"/>
      <c r="S605" s="307"/>
      <c r="T605" s="307"/>
      <c r="U605" s="307"/>
      <c r="V605" s="307"/>
      <c r="W605" s="307"/>
      <c r="X605" s="141"/>
      <c r="Y605" s="307"/>
      <c r="Z605" s="307"/>
      <c r="AA605" s="307"/>
      <c r="AB605" s="307"/>
    </row>
    <row r="606" spans="1:28" ht="17.399999999999999">
      <c r="A606" s="307"/>
      <c r="B606" s="307"/>
      <c r="C606" s="307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307"/>
      <c r="R606" s="307"/>
      <c r="S606" s="307"/>
      <c r="T606" s="307"/>
      <c r="U606" s="307"/>
      <c r="V606" s="307"/>
      <c r="W606" s="307"/>
      <c r="X606" s="141"/>
      <c r="Y606" s="307"/>
      <c r="Z606" s="307"/>
      <c r="AA606" s="307"/>
      <c r="AB606" s="307"/>
    </row>
    <row r="607" spans="1:28" ht="17.399999999999999">
      <c r="A607" s="307"/>
      <c r="B607" s="307"/>
      <c r="C607" s="307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307"/>
      <c r="R607" s="307"/>
      <c r="S607" s="307"/>
      <c r="T607" s="307"/>
      <c r="U607" s="307"/>
      <c r="V607" s="307"/>
      <c r="W607" s="307"/>
      <c r="X607" s="141"/>
      <c r="Y607" s="307"/>
      <c r="Z607" s="307"/>
      <c r="AA607" s="307"/>
      <c r="AB607" s="307"/>
    </row>
    <row r="608" spans="1:28" ht="17.399999999999999">
      <c r="A608" s="307"/>
      <c r="B608" s="307"/>
      <c r="C608" s="307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307"/>
      <c r="R608" s="307"/>
      <c r="S608" s="307"/>
      <c r="T608" s="307"/>
      <c r="U608" s="307"/>
      <c r="V608" s="307"/>
      <c r="W608" s="307"/>
      <c r="X608" s="141"/>
      <c r="Y608" s="307"/>
      <c r="Z608" s="307"/>
      <c r="AA608" s="307"/>
      <c r="AB608" s="307"/>
    </row>
    <row r="609" spans="1:28" ht="17.399999999999999">
      <c r="A609" s="307"/>
      <c r="B609" s="307"/>
      <c r="C609" s="307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307"/>
      <c r="R609" s="307"/>
      <c r="S609" s="307"/>
      <c r="T609" s="307"/>
      <c r="U609" s="307"/>
      <c r="V609" s="307"/>
      <c r="W609" s="307"/>
      <c r="X609" s="141"/>
      <c r="Y609" s="307"/>
      <c r="Z609" s="307"/>
      <c r="AA609" s="307"/>
      <c r="AB609" s="307"/>
    </row>
    <row r="610" spans="1:28" ht="17.399999999999999">
      <c r="A610" s="307"/>
      <c r="B610" s="307"/>
      <c r="C610" s="307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307"/>
      <c r="R610" s="307"/>
      <c r="S610" s="307"/>
      <c r="T610" s="307"/>
      <c r="U610" s="307"/>
      <c r="V610" s="307"/>
      <c r="W610" s="307"/>
      <c r="X610" s="141"/>
      <c r="Y610" s="307"/>
      <c r="Z610" s="307"/>
      <c r="AA610" s="307"/>
      <c r="AB610" s="307"/>
    </row>
    <row r="611" spans="1:28" ht="17.399999999999999">
      <c r="A611" s="307"/>
      <c r="B611" s="307"/>
      <c r="C611" s="307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307"/>
      <c r="R611" s="307"/>
      <c r="S611" s="307"/>
      <c r="T611" s="307"/>
      <c r="U611" s="307"/>
      <c r="V611" s="307"/>
      <c r="W611" s="307"/>
      <c r="X611" s="141"/>
      <c r="Y611" s="307"/>
      <c r="Z611" s="307"/>
      <c r="AA611" s="307"/>
      <c r="AB611" s="307"/>
    </row>
    <row r="612" spans="1:28" ht="17.399999999999999">
      <c r="A612" s="307"/>
      <c r="B612" s="307"/>
      <c r="C612" s="307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307"/>
      <c r="R612" s="307"/>
      <c r="S612" s="307"/>
      <c r="T612" s="307"/>
      <c r="U612" s="307"/>
      <c r="V612" s="307"/>
      <c r="W612" s="307"/>
      <c r="X612" s="141"/>
      <c r="Y612" s="307"/>
      <c r="Z612" s="307"/>
      <c r="AA612" s="307"/>
      <c r="AB612" s="307"/>
    </row>
    <row r="613" spans="1:28" ht="17.399999999999999">
      <c r="A613" s="307"/>
      <c r="B613" s="307"/>
      <c r="C613" s="307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307"/>
      <c r="R613" s="307"/>
      <c r="S613" s="307"/>
      <c r="T613" s="307"/>
      <c r="U613" s="307"/>
      <c r="V613" s="307"/>
      <c r="W613" s="307"/>
      <c r="X613" s="141"/>
      <c r="Y613" s="307"/>
      <c r="Z613" s="307"/>
      <c r="AA613" s="307"/>
      <c r="AB613" s="307"/>
    </row>
    <row r="614" spans="1:28" ht="17.399999999999999">
      <c r="A614" s="307"/>
      <c r="B614" s="307"/>
      <c r="C614" s="307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307"/>
      <c r="R614" s="307"/>
      <c r="S614" s="307"/>
      <c r="T614" s="307"/>
      <c r="U614" s="307"/>
      <c r="V614" s="307"/>
      <c r="W614" s="307"/>
      <c r="X614" s="141"/>
      <c r="Y614" s="307"/>
      <c r="Z614" s="307"/>
      <c r="AA614" s="307"/>
      <c r="AB614" s="307"/>
    </row>
    <row r="615" spans="1:28" ht="17.399999999999999">
      <c r="A615" s="307"/>
      <c r="B615" s="307"/>
      <c r="C615" s="307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307"/>
      <c r="R615" s="307"/>
      <c r="S615" s="307"/>
      <c r="T615" s="307"/>
      <c r="U615" s="307"/>
      <c r="V615" s="307"/>
      <c r="W615" s="307"/>
      <c r="X615" s="141"/>
      <c r="Y615" s="307"/>
      <c r="Z615" s="307"/>
      <c r="AA615" s="307"/>
      <c r="AB615" s="307"/>
    </row>
    <row r="616" spans="1:28" ht="17.399999999999999">
      <c r="A616" s="307"/>
      <c r="B616" s="307"/>
      <c r="C616" s="307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307"/>
      <c r="R616" s="307"/>
      <c r="S616" s="307"/>
      <c r="T616" s="307"/>
      <c r="U616" s="307"/>
      <c r="V616" s="307"/>
      <c r="W616" s="307"/>
      <c r="X616" s="141"/>
      <c r="Y616" s="307"/>
      <c r="Z616" s="307"/>
      <c r="AA616" s="307"/>
      <c r="AB616" s="307"/>
    </row>
    <row r="617" spans="1:28" ht="17.399999999999999">
      <c r="A617" s="307"/>
      <c r="B617" s="307"/>
      <c r="C617" s="307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307"/>
      <c r="R617" s="307"/>
      <c r="S617" s="307"/>
      <c r="T617" s="307"/>
      <c r="U617" s="307"/>
      <c r="V617" s="307"/>
      <c r="W617" s="307"/>
      <c r="X617" s="141"/>
      <c r="Y617" s="307"/>
      <c r="Z617" s="307"/>
      <c r="AA617" s="307"/>
      <c r="AB617" s="307"/>
    </row>
    <row r="618" spans="1:28" ht="17.399999999999999">
      <c r="A618" s="307"/>
      <c r="B618" s="307"/>
      <c r="C618" s="307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307"/>
      <c r="R618" s="307"/>
      <c r="S618" s="307"/>
      <c r="T618" s="307"/>
      <c r="U618" s="307"/>
      <c r="V618" s="307"/>
      <c r="W618" s="307"/>
      <c r="X618" s="141"/>
      <c r="Y618" s="307"/>
      <c r="Z618" s="307"/>
      <c r="AA618" s="307"/>
      <c r="AB618" s="307"/>
    </row>
    <row r="619" spans="1:28" ht="17.399999999999999">
      <c r="A619" s="307"/>
      <c r="B619" s="307"/>
      <c r="C619" s="307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307"/>
      <c r="R619" s="307"/>
      <c r="S619" s="307"/>
      <c r="T619" s="307"/>
      <c r="U619" s="307"/>
      <c r="V619" s="307"/>
      <c r="W619" s="307"/>
      <c r="X619" s="141"/>
      <c r="Y619" s="307"/>
      <c r="Z619" s="307"/>
      <c r="AA619" s="307"/>
      <c r="AB619" s="307"/>
    </row>
    <row r="620" spans="1:28" ht="17.399999999999999">
      <c r="A620" s="307"/>
      <c r="B620" s="307"/>
      <c r="C620" s="307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307"/>
      <c r="R620" s="307"/>
      <c r="S620" s="307"/>
      <c r="T620" s="307"/>
      <c r="U620" s="307"/>
      <c r="V620" s="307"/>
      <c r="W620" s="307"/>
      <c r="X620" s="141"/>
      <c r="Y620" s="307"/>
      <c r="Z620" s="307"/>
      <c r="AA620" s="307"/>
      <c r="AB620" s="307"/>
    </row>
    <row r="621" spans="1:28" ht="17.399999999999999">
      <c r="A621" s="307"/>
      <c r="B621" s="307"/>
      <c r="C621" s="307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307"/>
      <c r="R621" s="307"/>
      <c r="S621" s="307"/>
      <c r="T621" s="307"/>
      <c r="U621" s="307"/>
      <c r="V621" s="307"/>
      <c r="W621" s="307"/>
      <c r="X621" s="141"/>
      <c r="Y621" s="307"/>
      <c r="Z621" s="307"/>
      <c r="AA621" s="307"/>
      <c r="AB621" s="307"/>
    </row>
    <row r="622" spans="1:28" ht="17.399999999999999">
      <c r="A622" s="307"/>
      <c r="B622" s="307"/>
      <c r="C622" s="307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307"/>
      <c r="R622" s="307"/>
      <c r="S622" s="307"/>
      <c r="T622" s="307"/>
      <c r="U622" s="307"/>
      <c r="V622" s="307"/>
      <c r="W622" s="307"/>
      <c r="X622" s="141"/>
      <c r="Y622" s="307"/>
      <c r="Z622" s="307"/>
      <c r="AA622" s="307"/>
      <c r="AB622" s="307"/>
    </row>
    <row r="623" spans="1:28" ht="17.399999999999999">
      <c r="A623" s="307"/>
      <c r="B623" s="307"/>
      <c r="C623" s="307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307"/>
      <c r="R623" s="307"/>
      <c r="S623" s="307"/>
      <c r="T623" s="307"/>
      <c r="U623" s="307"/>
      <c r="V623" s="307"/>
      <c r="W623" s="307"/>
      <c r="X623" s="141"/>
      <c r="Y623" s="307"/>
      <c r="Z623" s="307"/>
      <c r="AA623" s="307"/>
      <c r="AB623" s="307"/>
    </row>
    <row r="624" spans="1:28" ht="17.399999999999999">
      <c r="A624" s="307"/>
      <c r="B624" s="307"/>
      <c r="C624" s="307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307"/>
      <c r="R624" s="307"/>
      <c r="S624" s="307"/>
      <c r="T624" s="307"/>
      <c r="U624" s="307"/>
      <c r="V624" s="307"/>
      <c r="W624" s="307"/>
      <c r="X624" s="141"/>
      <c r="Y624" s="307"/>
      <c r="Z624" s="307"/>
      <c r="AA624" s="307"/>
      <c r="AB624" s="307"/>
    </row>
    <row r="625" spans="1:28" ht="17.399999999999999">
      <c r="A625" s="307"/>
      <c r="B625" s="307"/>
      <c r="C625" s="307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307"/>
      <c r="R625" s="307"/>
      <c r="S625" s="307"/>
      <c r="T625" s="307"/>
      <c r="U625" s="307"/>
      <c r="V625" s="307"/>
      <c r="W625" s="307"/>
      <c r="X625" s="141"/>
      <c r="Y625" s="307"/>
      <c r="Z625" s="307"/>
      <c r="AA625" s="307"/>
      <c r="AB625" s="307"/>
    </row>
    <row r="626" spans="1:28" ht="17.399999999999999">
      <c r="A626" s="307"/>
      <c r="B626" s="307"/>
      <c r="C626" s="307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307"/>
      <c r="R626" s="307"/>
      <c r="S626" s="307"/>
      <c r="T626" s="307"/>
      <c r="U626" s="307"/>
      <c r="V626" s="307"/>
      <c r="W626" s="307"/>
      <c r="X626" s="141"/>
      <c r="Y626" s="307"/>
      <c r="Z626" s="307"/>
      <c r="AA626" s="307"/>
      <c r="AB626" s="307"/>
    </row>
    <row r="627" spans="1:28" ht="17.399999999999999">
      <c r="A627" s="307"/>
      <c r="B627" s="307"/>
      <c r="C627" s="307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307"/>
      <c r="R627" s="307"/>
      <c r="S627" s="307"/>
      <c r="T627" s="307"/>
      <c r="U627" s="307"/>
      <c r="V627" s="307"/>
      <c r="W627" s="307"/>
      <c r="X627" s="141"/>
      <c r="Y627" s="307"/>
      <c r="Z627" s="307"/>
      <c r="AA627" s="307"/>
      <c r="AB627" s="307"/>
    </row>
    <row r="628" spans="1:28" ht="17.399999999999999">
      <c r="A628" s="307"/>
      <c r="B628" s="307"/>
      <c r="C628" s="307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307"/>
      <c r="R628" s="307"/>
      <c r="S628" s="307"/>
      <c r="T628" s="307"/>
      <c r="U628" s="307"/>
      <c r="V628" s="307"/>
      <c r="W628" s="307"/>
      <c r="X628" s="141"/>
      <c r="Y628" s="307"/>
      <c r="Z628" s="307"/>
      <c r="AA628" s="307"/>
      <c r="AB628" s="307"/>
    </row>
    <row r="629" spans="1:28" ht="17.399999999999999">
      <c r="A629" s="307"/>
      <c r="B629" s="307"/>
      <c r="C629" s="307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307"/>
      <c r="R629" s="307"/>
      <c r="S629" s="307"/>
      <c r="T629" s="307"/>
      <c r="U629" s="307"/>
      <c r="V629" s="307"/>
      <c r="W629" s="307"/>
      <c r="X629" s="141"/>
      <c r="Y629" s="307"/>
      <c r="Z629" s="307"/>
      <c r="AA629" s="307"/>
      <c r="AB629" s="307"/>
    </row>
    <row r="630" spans="1:28" ht="17.399999999999999">
      <c r="A630" s="307"/>
      <c r="B630" s="307"/>
      <c r="C630" s="307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307"/>
      <c r="R630" s="307"/>
      <c r="S630" s="307"/>
      <c r="T630" s="307"/>
      <c r="U630" s="307"/>
      <c r="V630" s="307"/>
      <c r="W630" s="307"/>
      <c r="X630" s="141"/>
      <c r="Y630" s="307"/>
      <c r="Z630" s="307"/>
      <c r="AA630" s="307"/>
      <c r="AB630" s="307"/>
    </row>
    <row r="631" spans="1:28" ht="17.399999999999999">
      <c r="A631" s="307"/>
      <c r="B631" s="307"/>
      <c r="C631" s="307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307"/>
      <c r="R631" s="307"/>
      <c r="S631" s="307"/>
      <c r="T631" s="307"/>
      <c r="U631" s="307"/>
      <c r="V631" s="307"/>
      <c r="W631" s="307"/>
      <c r="X631" s="141"/>
      <c r="Y631" s="307"/>
      <c r="Z631" s="307"/>
      <c r="AA631" s="307"/>
      <c r="AB631" s="307"/>
    </row>
    <row r="632" spans="1:28" ht="17.399999999999999">
      <c r="A632" s="307"/>
      <c r="B632" s="307"/>
      <c r="C632" s="307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307"/>
      <c r="R632" s="307"/>
      <c r="S632" s="307"/>
      <c r="T632" s="307"/>
      <c r="U632" s="307"/>
      <c r="V632" s="307"/>
      <c r="W632" s="307"/>
      <c r="X632" s="141"/>
      <c r="Y632" s="307"/>
      <c r="Z632" s="307"/>
      <c r="AA632" s="307"/>
      <c r="AB632" s="307"/>
    </row>
    <row r="633" spans="1:28" ht="17.399999999999999">
      <c r="A633" s="307"/>
      <c r="B633" s="307"/>
      <c r="C633" s="307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307"/>
      <c r="R633" s="307"/>
      <c r="S633" s="307"/>
      <c r="T633" s="307"/>
      <c r="U633" s="307"/>
      <c r="V633" s="307"/>
      <c r="W633" s="307"/>
      <c r="X633" s="141"/>
      <c r="Y633" s="307"/>
      <c r="Z633" s="307"/>
      <c r="AA633" s="307"/>
      <c r="AB633" s="307"/>
    </row>
    <row r="634" spans="1:28" ht="17.399999999999999">
      <c r="A634" s="307"/>
      <c r="B634" s="307"/>
      <c r="C634" s="307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307"/>
      <c r="R634" s="307"/>
      <c r="S634" s="307"/>
      <c r="T634" s="307"/>
      <c r="U634" s="307"/>
      <c r="V634" s="307"/>
      <c r="W634" s="307"/>
      <c r="X634" s="141"/>
      <c r="Y634" s="307"/>
      <c r="Z634" s="307"/>
      <c r="AA634" s="307"/>
      <c r="AB634" s="307"/>
    </row>
    <row r="635" spans="1:28" ht="17.399999999999999">
      <c r="A635" s="307"/>
      <c r="B635" s="307"/>
      <c r="C635" s="307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307"/>
      <c r="R635" s="307"/>
      <c r="S635" s="307"/>
      <c r="T635" s="307"/>
      <c r="U635" s="307"/>
      <c r="V635" s="307"/>
      <c r="W635" s="307"/>
      <c r="X635" s="141"/>
      <c r="Y635" s="307"/>
      <c r="Z635" s="307"/>
      <c r="AA635" s="307"/>
      <c r="AB635" s="307"/>
    </row>
    <row r="636" spans="1:28" ht="17.399999999999999">
      <c r="A636" s="307"/>
      <c r="B636" s="307"/>
      <c r="C636" s="307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307"/>
      <c r="R636" s="307"/>
      <c r="S636" s="307"/>
      <c r="T636" s="307"/>
      <c r="U636" s="307"/>
      <c r="V636" s="307"/>
      <c r="W636" s="307"/>
      <c r="X636" s="141"/>
      <c r="Y636" s="307"/>
      <c r="Z636" s="307"/>
      <c r="AA636" s="307"/>
      <c r="AB636" s="307"/>
    </row>
    <row r="637" spans="1:28" ht="17.399999999999999">
      <c r="A637" s="307"/>
      <c r="B637" s="307"/>
      <c r="C637" s="307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307"/>
      <c r="R637" s="307"/>
      <c r="S637" s="307"/>
      <c r="T637" s="307"/>
      <c r="U637" s="307"/>
      <c r="V637" s="307"/>
      <c r="W637" s="307"/>
      <c r="X637" s="141"/>
      <c r="Y637" s="307"/>
      <c r="Z637" s="307"/>
      <c r="AA637" s="307"/>
      <c r="AB637" s="307"/>
    </row>
    <row r="638" spans="1:28" ht="17.399999999999999">
      <c r="A638" s="307"/>
      <c r="B638" s="307"/>
      <c r="C638" s="307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307"/>
      <c r="R638" s="307"/>
      <c r="S638" s="307"/>
      <c r="T638" s="307"/>
      <c r="U638" s="307"/>
      <c r="V638" s="307"/>
      <c r="W638" s="307"/>
      <c r="X638" s="141"/>
      <c r="Y638" s="307"/>
      <c r="Z638" s="307"/>
      <c r="AA638" s="307"/>
      <c r="AB638" s="307"/>
    </row>
    <row r="639" spans="1:28" ht="17.399999999999999">
      <c r="A639" s="307"/>
      <c r="B639" s="307"/>
      <c r="C639" s="307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307"/>
      <c r="R639" s="307"/>
      <c r="S639" s="307"/>
      <c r="T639" s="307"/>
      <c r="U639" s="307"/>
      <c r="V639" s="307"/>
      <c r="W639" s="307"/>
      <c r="X639" s="141"/>
      <c r="Y639" s="307"/>
      <c r="Z639" s="307"/>
      <c r="AA639" s="307"/>
      <c r="AB639" s="307"/>
    </row>
    <row r="640" spans="1:28" ht="17.399999999999999">
      <c r="A640" s="307"/>
      <c r="B640" s="307"/>
      <c r="C640" s="307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307"/>
      <c r="R640" s="307"/>
      <c r="S640" s="307"/>
      <c r="T640" s="307"/>
      <c r="U640" s="307"/>
      <c r="V640" s="307"/>
      <c r="W640" s="307"/>
      <c r="X640" s="141"/>
      <c r="Y640" s="307"/>
      <c r="Z640" s="307"/>
      <c r="AA640" s="307"/>
      <c r="AB640" s="307"/>
    </row>
    <row r="641" spans="1:28" ht="17.399999999999999">
      <c r="A641" s="307"/>
      <c r="B641" s="307"/>
      <c r="C641" s="307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307"/>
      <c r="R641" s="307"/>
      <c r="S641" s="307"/>
      <c r="T641" s="307"/>
      <c r="U641" s="307"/>
      <c r="V641" s="307"/>
      <c r="W641" s="307"/>
      <c r="X641" s="141"/>
      <c r="Y641" s="307"/>
      <c r="Z641" s="307"/>
      <c r="AA641" s="307"/>
      <c r="AB641" s="307"/>
    </row>
    <row r="642" spans="1:28" ht="17.399999999999999">
      <c r="A642" s="307"/>
      <c r="B642" s="307"/>
      <c r="C642" s="307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307"/>
      <c r="R642" s="307"/>
      <c r="S642" s="307"/>
      <c r="T642" s="307"/>
      <c r="U642" s="307"/>
      <c r="V642" s="307"/>
      <c r="W642" s="307"/>
      <c r="X642" s="141"/>
      <c r="Y642" s="307"/>
      <c r="Z642" s="307"/>
      <c r="AA642" s="307"/>
      <c r="AB642" s="307"/>
    </row>
    <row r="643" spans="1:28" ht="17.399999999999999">
      <c r="A643" s="307"/>
      <c r="B643" s="307"/>
      <c r="C643" s="307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307"/>
      <c r="R643" s="307"/>
      <c r="S643" s="307"/>
      <c r="T643" s="307"/>
      <c r="U643" s="307"/>
      <c r="V643" s="307"/>
      <c r="W643" s="307"/>
      <c r="X643" s="141"/>
      <c r="Y643" s="307"/>
      <c r="Z643" s="307"/>
      <c r="AA643" s="307"/>
      <c r="AB643" s="307"/>
    </row>
    <row r="644" spans="1:28" ht="17.399999999999999">
      <c r="A644" s="307"/>
      <c r="B644" s="307"/>
      <c r="C644" s="307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307"/>
      <c r="R644" s="307"/>
      <c r="S644" s="307"/>
      <c r="T644" s="307"/>
      <c r="U644" s="307"/>
      <c r="V644" s="307"/>
      <c r="W644" s="307"/>
      <c r="X644" s="141"/>
      <c r="Y644" s="307"/>
      <c r="Z644" s="307"/>
      <c r="AA644" s="307"/>
      <c r="AB644" s="307"/>
    </row>
    <row r="645" spans="1:28" ht="17.399999999999999">
      <c r="A645" s="307"/>
      <c r="B645" s="307"/>
      <c r="C645" s="307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307"/>
      <c r="R645" s="307"/>
      <c r="S645" s="307"/>
      <c r="T645" s="307"/>
      <c r="U645" s="307"/>
      <c r="V645" s="307"/>
      <c r="W645" s="307"/>
      <c r="X645" s="141"/>
      <c r="Y645" s="307"/>
      <c r="Z645" s="307"/>
      <c r="AA645" s="307"/>
      <c r="AB645" s="307"/>
    </row>
    <row r="646" spans="1:28" ht="17.399999999999999">
      <c r="A646" s="307"/>
      <c r="B646" s="307"/>
      <c r="C646" s="307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307"/>
      <c r="R646" s="307"/>
      <c r="S646" s="307"/>
      <c r="T646" s="307"/>
      <c r="U646" s="307"/>
      <c r="V646" s="307"/>
      <c r="W646" s="307"/>
      <c r="X646" s="141"/>
      <c r="Y646" s="307"/>
      <c r="Z646" s="307"/>
      <c r="AA646" s="307"/>
      <c r="AB646" s="307"/>
    </row>
    <row r="647" spans="1:28" ht="17.399999999999999">
      <c r="A647" s="307"/>
      <c r="B647" s="307"/>
      <c r="C647" s="307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307"/>
      <c r="R647" s="307"/>
      <c r="S647" s="307"/>
      <c r="T647" s="307"/>
      <c r="U647" s="307"/>
      <c r="V647" s="307"/>
      <c r="W647" s="307"/>
      <c r="X647" s="141"/>
      <c r="Y647" s="307"/>
      <c r="Z647" s="307"/>
      <c r="AA647" s="307"/>
      <c r="AB647" s="307"/>
    </row>
    <row r="648" spans="1:28" ht="17.399999999999999">
      <c r="A648" s="307"/>
      <c r="B648" s="307"/>
      <c r="C648" s="307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307"/>
      <c r="R648" s="307"/>
      <c r="S648" s="307"/>
      <c r="T648" s="307"/>
      <c r="U648" s="307"/>
      <c r="V648" s="307"/>
      <c r="W648" s="307"/>
      <c r="X648" s="141"/>
      <c r="Y648" s="307"/>
      <c r="Z648" s="307"/>
      <c r="AA648" s="307"/>
      <c r="AB648" s="307"/>
    </row>
    <row r="649" spans="1:28" ht="17.399999999999999">
      <c r="A649" s="307"/>
      <c r="B649" s="307"/>
      <c r="C649" s="307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307"/>
      <c r="R649" s="307"/>
      <c r="S649" s="307"/>
      <c r="T649" s="307"/>
      <c r="U649" s="307"/>
      <c r="V649" s="307"/>
      <c r="W649" s="307"/>
      <c r="X649" s="141"/>
      <c r="Y649" s="307"/>
      <c r="Z649" s="307"/>
      <c r="AA649" s="307"/>
      <c r="AB649" s="307"/>
    </row>
    <row r="650" spans="1:28" ht="17.399999999999999">
      <c r="A650" s="307"/>
      <c r="B650" s="307"/>
      <c r="C650" s="307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307"/>
      <c r="R650" s="307"/>
      <c r="S650" s="307"/>
      <c r="T650" s="307"/>
      <c r="U650" s="307"/>
      <c r="V650" s="307"/>
      <c r="W650" s="307"/>
      <c r="X650" s="141"/>
      <c r="Y650" s="307"/>
      <c r="Z650" s="307"/>
      <c r="AA650" s="307"/>
      <c r="AB650" s="307"/>
    </row>
    <row r="651" spans="1:28" ht="17.399999999999999">
      <c r="A651" s="307"/>
      <c r="B651" s="307"/>
      <c r="C651" s="307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307"/>
      <c r="R651" s="307"/>
      <c r="S651" s="307"/>
      <c r="T651" s="307"/>
      <c r="U651" s="307"/>
      <c r="V651" s="307"/>
      <c r="W651" s="307"/>
      <c r="X651" s="141"/>
      <c r="Y651" s="307"/>
      <c r="Z651" s="307"/>
      <c r="AA651" s="307"/>
      <c r="AB651" s="307"/>
    </row>
    <row r="652" spans="1:28" ht="17.399999999999999">
      <c r="A652" s="307"/>
      <c r="B652" s="307"/>
      <c r="C652" s="307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307"/>
      <c r="R652" s="307"/>
      <c r="S652" s="307"/>
      <c r="T652" s="307"/>
      <c r="U652" s="307"/>
      <c r="V652" s="307"/>
      <c r="W652" s="307"/>
      <c r="X652" s="141"/>
      <c r="Y652" s="307"/>
      <c r="Z652" s="307"/>
      <c r="AA652" s="307"/>
      <c r="AB652" s="307"/>
    </row>
    <row r="653" spans="1:28" ht="17.399999999999999">
      <c r="A653" s="307"/>
      <c r="B653" s="307"/>
      <c r="C653" s="307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307"/>
      <c r="R653" s="307"/>
      <c r="S653" s="307"/>
      <c r="T653" s="307"/>
      <c r="U653" s="307"/>
      <c r="V653" s="307"/>
      <c r="W653" s="307"/>
      <c r="X653" s="141"/>
      <c r="Y653" s="307"/>
      <c r="Z653" s="307"/>
      <c r="AA653" s="307"/>
      <c r="AB653" s="307"/>
    </row>
    <row r="654" spans="1:28" ht="17.399999999999999">
      <c r="A654" s="307"/>
      <c r="B654" s="307"/>
      <c r="C654" s="307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307"/>
      <c r="R654" s="307"/>
      <c r="S654" s="307"/>
      <c r="T654" s="307"/>
      <c r="U654" s="307"/>
      <c r="V654" s="307"/>
      <c r="W654" s="307"/>
      <c r="X654" s="141"/>
      <c r="Y654" s="307"/>
      <c r="Z654" s="307"/>
      <c r="AA654" s="307"/>
      <c r="AB654" s="307"/>
    </row>
    <row r="655" spans="1:28" ht="17.399999999999999">
      <c r="A655" s="307"/>
      <c r="B655" s="307"/>
      <c r="C655" s="307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307"/>
      <c r="R655" s="307"/>
      <c r="S655" s="307"/>
      <c r="T655" s="307"/>
      <c r="U655" s="307"/>
      <c r="V655" s="307"/>
      <c r="W655" s="307"/>
      <c r="X655" s="141"/>
      <c r="Y655" s="307"/>
      <c r="Z655" s="307"/>
      <c r="AA655" s="307"/>
      <c r="AB655" s="307"/>
    </row>
    <row r="656" spans="1:28" ht="17.399999999999999">
      <c r="A656" s="307"/>
      <c r="B656" s="307"/>
      <c r="C656" s="307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307"/>
      <c r="R656" s="307"/>
      <c r="S656" s="307"/>
      <c r="T656" s="307"/>
      <c r="U656" s="307"/>
      <c r="V656" s="307"/>
      <c r="W656" s="307"/>
      <c r="X656" s="141"/>
      <c r="Y656" s="307"/>
      <c r="Z656" s="307"/>
      <c r="AA656" s="307"/>
      <c r="AB656" s="307"/>
    </row>
    <row r="657" spans="1:28" ht="17.399999999999999">
      <c r="A657" s="307"/>
      <c r="B657" s="307"/>
      <c r="C657" s="307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307"/>
      <c r="R657" s="307"/>
      <c r="S657" s="307"/>
      <c r="T657" s="307"/>
      <c r="U657" s="307"/>
      <c r="V657" s="307"/>
      <c r="W657" s="307"/>
      <c r="X657" s="141"/>
      <c r="Y657" s="307"/>
      <c r="Z657" s="307"/>
      <c r="AA657" s="307"/>
      <c r="AB657" s="307"/>
    </row>
    <row r="658" spans="1:28" ht="17.399999999999999">
      <c r="A658" s="307"/>
      <c r="B658" s="307"/>
      <c r="C658" s="307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307"/>
      <c r="R658" s="307"/>
      <c r="S658" s="307"/>
      <c r="T658" s="307"/>
      <c r="U658" s="307"/>
      <c r="V658" s="307"/>
      <c r="W658" s="307"/>
      <c r="X658" s="141"/>
      <c r="Y658" s="307"/>
      <c r="Z658" s="307"/>
      <c r="AA658" s="307"/>
      <c r="AB658" s="307"/>
    </row>
    <row r="659" spans="1:28" ht="17.399999999999999">
      <c r="A659" s="307"/>
      <c r="B659" s="307"/>
      <c r="C659" s="307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307"/>
      <c r="R659" s="307"/>
      <c r="S659" s="307"/>
      <c r="T659" s="307"/>
      <c r="U659" s="307"/>
      <c r="V659" s="307"/>
      <c r="W659" s="307"/>
      <c r="X659" s="141"/>
      <c r="Y659" s="307"/>
      <c r="Z659" s="307"/>
      <c r="AA659" s="307"/>
      <c r="AB659" s="307"/>
    </row>
    <row r="660" spans="1:28" ht="17.399999999999999">
      <c r="A660" s="307"/>
      <c r="B660" s="307"/>
      <c r="C660" s="307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307"/>
      <c r="R660" s="307"/>
      <c r="S660" s="307"/>
      <c r="T660" s="307"/>
      <c r="U660" s="307"/>
      <c r="V660" s="307"/>
      <c r="W660" s="307"/>
      <c r="X660" s="141"/>
      <c r="Y660" s="307"/>
      <c r="Z660" s="307"/>
      <c r="AA660" s="307"/>
      <c r="AB660" s="307"/>
    </row>
    <row r="661" spans="1:28" ht="17.399999999999999">
      <c r="A661" s="307"/>
      <c r="B661" s="307"/>
      <c r="C661" s="307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307"/>
      <c r="R661" s="307"/>
      <c r="S661" s="307"/>
      <c r="T661" s="307"/>
      <c r="U661" s="307"/>
      <c r="V661" s="307"/>
      <c r="W661" s="307"/>
      <c r="X661" s="141"/>
      <c r="Y661" s="307"/>
      <c r="Z661" s="307"/>
      <c r="AA661" s="307"/>
      <c r="AB661" s="307"/>
    </row>
    <row r="662" spans="1:28" ht="17.399999999999999">
      <c r="A662" s="307"/>
      <c r="B662" s="307"/>
      <c r="C662" s="307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307"/>
      <c r="R662" s="307"/>
      <c r="S662" s="307"/>
      <c r="T662" s="307"/>
      <c r="U662" s="307"/>
      <c r="V662" s="307"/>
      <c r="W662" s="307"/>
      <c r="X662" s="141"/>
      <c r="Y662" s="307"/>
      <c r="Z662" s="307"/>
      <c r="AA662" s="307"/>
      <c r="AB662" s="307"/>
    </row>
    <row r="663" spans="1:28" ht="17.399999999999999">
      <c r="A663" s="307"/>
      <c r="B663" s="307"/>
      <c r="C663" s="307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307"/>
      <c r="R663" s="307"/>
      <c r="S663" s="307"/>
      <c r="T663" s="307"/>
      <c r="U663" s="307"/>
      <c r="V663" s="307"/>
      <c r="W663" s="307"/>
      <c r="X663" s="141"/>
      <c r="Y663" s="307"/>
      <c r="Z663" s="307"/>
      <c r="AA663" s="307"/>
      <c r="AB663" s="307"/>
    </row>
    <row r="664" spans="1:28" ht="17.399999999999999">
      <c r="A664" s="307"/>
      <c r="B664" s="307"/>
      <c r="C664" s="307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307"/>
      <c r="R664" s="307"/>
      <c r="S664" s="307"/>
      <c r="T664" s="307"/>
      <c r="U664" s="307"/>
      <c r="V664" s="307"/>
      <c r="W664" s="307"/>
      <c r="X664" s="141"/>
      <c r="Y664" s="307"/>
      <c r="Z664" s="307"/>
      <c r="AA664" s="307"/>
      <c r="AB664" s="307"/>
    </row>
    <row r="665" spans="1:28" ht="17.399999999999999">
      <c r="A665" s="307"/>
      <c r="B665" s="307"/>
      <c r="C665" s="307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307"/>
      <c r="R665" s="307"/>
      <c r="S665" s="307"/>
      <c r="T665" s="307"/>
      <c r="U665" s="307"/>
      <c r="V665" s="307"/>
      <c r="W665" s="307"/>
      <c r="X665" s="141"/>
      <c r="Y665" s="307"/>
      <c r="Z665" s="307"/>
      <c r="AA665" s="307"/>
      <c r="AB665" s="307"/>
    </row>
    <row r="666" spans="1:28" ht="17.399999999999999">
      <c r="A666" s="307"/>
      <c r="B666" s="307"/>
      <c r="C666" s="307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307"/>
      <c r="R666" s="307"/>
      <c r="S666" s="307"/>
      <c r="T666" s="307"/>
      <c r="U666" s="307"/>
      <c r="V666" s="307"/>
      <c r="W666" s="307"/>
      <c r="X666" s="141"/>
      <c r="Y666" s="307"/>
      <c r="Z666" s="307"/>
      <c r="AA666" s="307"/>
      <c r="AB666" s="307"/>
    </row>
    <row r="667" spans="1:28" ht="17.399999999999999">
      <c r="A667" s="307"/>
      <c r="B667" s="307"/>
      <c r="C667" s="307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307"/>
      <c r="R667" s="307"/>
      <c r="S667" s="307"/>
      <c r="T667" s="307"/>
      <c r="U667" s="307"/>
      <c r="V667" s="307"/>
      <c r="W667" s="307"/>
      <c r="X667" s="141"/>
      <c r="Y667" s="307"/>
      <c r="Z667" s="307"/>
      <c r="AA667" s="307"/>
      <c r="AB667" s="307"/>
    </row>
    <row r="668" spans="1:28" ht="17.399999999999999">
      <c r="A668" s="307"/>
      <c r="B668" s="307"/>
      <c r="C668" s="307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307"/>
      <c r="R668" s="307"/>
      <c r="S668" s="307"/>
      <c r="T668" s="307"/>
      <c r="U668" s="307"/>
      <c r="V668" s="307"/>
      <c r="W668" s="307"/>
      <c r="X668" s="141"/>
      <c r="Y668" s="307"/>
      <c r="Z668" s="307"/>
      <c r="AA668" s="307"/>
      <c r="AB668" s="307"/>
    </row>
    <row r="669" spans="1:28" ht="17.399999999999999">
      <c r="A669" s="307"/>
      <c r="B669" s="307"/>
      <c r="C669" s="307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307"/>
      <c r="R669" s="307"/>
      <c r="S669" s="307"/>
      <c r="T669" s="307"/>
      <c r="U669" s="307"/>
      <c r="V669" s="307"/>
      <c r="W669" s="307"/>
      <c r="X669" s="141"/>
      <c r="Y669" s="307"/>
      <c r="Z669" s="307"/>
      <c r="AA669" s="307"/>
      <c r="AB669" s="307"/>
    </row>
    <row r="670" spans="1:28" ht="17.399999999999999">
      <c r="A670" s="307"/>
      <c r="B670" s="307"/>
      <c r="C670" s="307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307"/>
      <c r="R670" s="307"/>
      <c r="S670" s="307"/>
      <c r="T670" s="307"/>
      <c r="U670" s="307"/>
      <c r="V670" s="307"/>
      <c r="W670" s="307"/>
      <c r="X670" s="141"/>
      <c r="Y670" s="307"/>
      <c r="Z670" s="307"/>
      <c r="AA670" s="307"/>
      <c r="AB670" s="307"/>
    </row>
    <row r="671" spans="1:28" ht="17.399999999999999">
      <c r="A671" s="307"/>
      <c r="B671" s="307"/>
      <c r="C671" s="307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307"/>
      <c r="R671" s="307"/>
      <c r="S671" s="307"/>
      <c r="T671" s="307"/>
      <c r="U671" s="307"/>
      <c r="V671" s="307"/>
      <c r="W671" s="307"/>
      <c r="X671" s="141"/>
      <c r="Y671" s="307"/>
      <c r="Z671" s="307"/>
      <c r="AA671" s="307"/>
      <c r="AB671" s="307"/>
    </row>
    <row r="672" spans="1:28" ht="17.399999999999999">
      <c r="A672" s="307"/>
      <c r="B672" s="307"/>
      <c r="C672" s="307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307"/>
      <c r="R672" s="307"/>
      <c r="S672" s="307"/>
      <c r="T672" s="307"/>
      <c r="U672" s="307"/>
      <c r="V672" s="307"/>
      <c r="W672" s="307"/>
      <c r="X672" s="141"/>
      <c r="Y672" s="307"/>
      <c r="Z672" s="307"/>
      <c r="AA672" s="307"/>
      <c r="AB672" s="307"/>
    </row>
    <row r="673" spans="1:28" ht="17.399999999999999">
      <c r="A673" s="307"/>
      <c r="B673" s="307"/>
      <c r="C673" s="307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307"/>
      <c r="R673" s="307"/>
      <c r="S673" s="307"/>
      <c r="T673" s="307"/>
      <c r="U673" s="307"/>
      <c r="V673" s="307"/>
      <c r="W673" s="307"/>
      <c r="X673" s="141"/>
      <c r="Y673" s="307"/>
      <c r="Z673" s="307"/>
      <c r="AA673" s="307"/>
      <c r="AB673" s="307"/>
    </row>
    <row r="674" spans="1:28" ht="17.399999999999999">
      <c r="A674" s="307"/>
      <c r="B674" s="307"/>
      <c r="C674" s="307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307"/>
      <c r="R674" s="307"/>
      <c r="S674" s="307"/>
      <c r="T674" s="307"/>
      <c r="U674" s="307"/>
      <c r="V674" s="307"/>
      <c r="W674" s="307"/>
      <c r="X674" s="141"/>
      <c r="Y674" s="307"/>
      <c r="Z674" s="307"/>
      <c r="AA674" s="307"/>
      <c r="AB674" s="307"/>
    </row>
    <row r="675" spans="1:28" ht="17.399999999999999">
      <c r="A675" s="307"/>
      <c r="B675" s="307"/>
      <c r="C675" s="307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307"/>
      <c r="R675" s="307"/>
      <c r="S675" s="307"/>
      <c r="T675" s="307"/>
      <c r="U675" s="307"/>
      <c r="V675" s="307"/>
      <c r="W675" s="307"/>
      <c r="X675" s="141"/>
      <c r="Y675" s="307"/>
      <c r="Z675" s="307"/>
      <c r="AA675" s="307"/>
      <c r="AB675" s="307"/>
    </row>
    <row r="676" spans="1:28" ht="17.399999999999999">
      <c r="A676" s="307"/>
      <c r="B676" s="307"/>
      <c r="C676" s="307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307"/>
      <c r="R676" s="307"/>
      <c r="S676" s="307"/>
      <c r="T676" s="307"/>
      <c r="U676" s="307"/>
      <c r="V676" s="307"/>
      <c r="W676" s="307"/>
      <c r="X676" s="141"/>
      <c r="Y676" s="307"/>
      <c r="Z676" s="307"/>
      <c r="AA676" s="307"/>
      <c r="AB676" s="307"/>
    </row>
    <row r="677" spans="1:28" ht="17.399999999999999">
      <c r="A677" s="307"/>
      <c r="B677" s="307"/>
      <c r="C677" s="307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307"/>
      <c r="R677" s="307"/>
      <c r="S677" s="307"/>
      <c r="T677" s="307"/>
      <c r="U677" s="307"/>
      <c r="V677" s="307"/>
      <c r="W677" s="307"/>
      <c r="X677" s="141"/>
      <c r="Y677" s="307"/>
      <c r="Z677" s="307"/>
      <c r="AA677" s="307"/>
      <c r="AB677" s="307"/>
    </row>
    <row r="678" spans="1:28" ht="17.399999999999999">
      <c r="A678" s="307"/>
      <c r="B678" s="307"/>
      <c r="C678" s="307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307"/>
      <c r="R678" s="307"/>
      <c r="S678" s="307"/>
      <c r="T678" s="307"/>
      <c r="U678" s="307"/>
      <c r="V678" s="307"/>
      <c r="W678" s="307"/>
      <c r="X678" s="141"/>
      <c r="Y678" s="307"/>
      <c r="Z678" s="307"/>
      <c r="AA678" s="307"/>
      <c r="AB678" s="307"/>
    </row>
    <row r="679" spans="1:28" ht="17.399999999999999">
      <c r="A679" s="307"/>
      <c r="B679" s="307"/>
      <c r="C679" s="307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307"/>
      <c r="R679" s="307"/>
      <c r="S679" s="307"/>
      <c r="T679" s="307"/>
      <c r="U679" s="307"/>
      <c r="V679" s="307"/>
      <c r="W679" s="307"/>
      <c r="X679" s="141"/>
      <c r="Y679" s="307"/>
      <c r="Z679" s="307"/>
      <c r="AA679" s="307"/>
      <c r="AB679" s="307"/>
    </row>
    <row r="680" spans="1:28" ht="17.399999999999999">
      <c r="A680" s="307"/>
      <c r="B680" s="307"/>
      <c r="C680" s="307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307"/>
      <c r="R680" s="307"/>
      <c r="S680" s="307"/>
      <c r="T680" s="307"/>
      <c r="U680" s="307"/>
      <c r="V680" s="307"/>
      <c r="W680" s="307"/>
      <c r="X680" s="141"/>
      <c r="Y680" s="307"/>
      <c r="Z680" s="307"/>
      <c r="AA680" s="307"/>
      <c r="AB680" s="307"/>
    </row>
    <row r="681" spans="1:28" ht="17.399999999999999">
      <c r="A681" s="307"/>
      <c r="B681" s="307"/>
      <c r="C681" s="307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307"/>
      <c r="R681" s="307"/>
      <c r="S681" s="307"/>
      <c r="T681" s="307"/>
      <c r="U681" s="307"/>
      <c r="V681" s="307"/>
      <c r="W681" s="307"/>
      <c r="X681" s="141"/>
      <c r="Y681" s="307"/>
      <c r="Z681" s="307"/>
      <c r="AA681" s="307"/>
      <c r="AB681" s="307"/>
    </row>
    <row r="682" spans="1:28" ht="17.399999999999999">
      <c r="A682" s="307"/>
      <c r="B682" s="307"/>
      <c r="C682" s="307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307"/>
      <c r="R682" s="307"/>
      <c r="S682" s="307"/>
      <c r="T682" s="307"/>
      <c r="U682" s="307"/>
      <c r="V682" s="307"/>
      <c r="W682" s="307"/>
      <c r="X682" s="141"/>
      <c r="Y682" s="307"/>
      <c r="Z682" s="307"/>
      <c r="AA682" s="307"/>
      <c r="AB682" s="307"/>
    </row>
    <row r="683" spans="1:28" ht="17.399999999999999">
      <c r="A683" s="307"/>
      <c r="B683" s="307"/>
      <c r="C683" s="307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307"/>
      <c r="R683" s="307"/>
      <c r="S683" s="307"/>
      <c r="T683" s="307"/>
      <c r="U683" s="307"/>
      <c r="V683" s="307"/>
      <c r="W683" s="307"/>
      <c r="X683" s="141"/>
      <c r="Y683" s="307"/>
      <c r="Z683" s="307"/>
      <c r="AA683" s="307"/>
      <c r="AB683" s="307"/>
    </row>
    <row r="684" spans="1:28" ht="17.399999999999999">
      <c r="A684" s="307"/>
      <c r="B684" s="307"/>
      <c r="C684" s="307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307"/>
      <c r="R684" s="307"/>
      <c r="S684" s="307"/>
      <c r="T684" s="307"/>
      <c r="U684" s="307"/>
      <c r="V684" s="307"/>
      <c r="W684" s="307"/>
      <c r="X684" s="141"/>
      <c r="Y684" s="307"/>
      <c r="Z684" s="307"/>
      <c r="AA684" s="307"/>
      <c r="AB684" s="307"/>
    </row>
    <row r="685" spans="1:28" ht="17.399999999999999">
      <c r="A685" s="307"/>
      <c r="B685" s="307"/>
      <c r="C685" s="307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307"/>
      <c r="R685" s="307"/>
      <c r="S685" s="307"/>
      <c r="T685" s="307"/>
      <c r="U685" s="307"/>
      <c r="V685" s="307"/>
      <c r="W685" s="307"/>
      <c r="X685" s="141"/>
      <c r="Y685" s="307"/>
      <c r="Z685" s="307"/>
      <c r="AA685" s="307"/>
      <c r="AB685" s="307"/>
    </row>
    <row r="686" spans="1:28" ht="17.399999999999999">
      <c r="A686" s="307"/>
      <c r="B686" s="307"/>
      <c r="C686" s="307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307"/>
      <c r="R686" s="307"/>
      <c r="S686" s="307"/>
      <c r="T686" s="307"/>
      <c r="U686" s="307"/>
      <c r="V686" s="307"/>
      <c r="W686" s="307"/>
      <c r="X686" s="141"/>
      <c r="Y686" s="307"/>
      <c r="Z686" s="307"/>
      <c r="AA686" s="307"/>
      <c r="AB686" s="307"/>
    </row>
    <row r="687" spans="1:28" ht="17.399999999999999">
      <c r="A687" s="307"/>
      <c r="B687" s="307"/>
      <c r="C687" s="307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307"/>
      <c r="R687" s="307"/>
      <c r="S687" s="307"/>
      <c r="T687" s="307"/>
      <c r="U687" s="307"/>
      <c r="V687" s="307"/>
      <c r="W687" s="307"/>
      <c r="X687" s="141"/>
      <c r="Y687" s="307"/>
      <c r="Z687" s="307"/>
      <c r="AA687" s="307"/>
      <c r="AB687" s="307"/>
    </row>
    <row r="688" spans="1:28" ht="17.399999999999999">
      <c r="A688" s="307"/>
      <c r="B688" s="307"/>
      <c r="C688" s="307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307"/>
      <c r="R688" s="307"/>
      <c r="S688" s="307"/>
      <c r="T688" s="307"/>
      <c r="U688" s="307"/>
      <c r="V688" s="307"/>
      <c r="W688" s="307"/>
      <c r="X688" s="141"/>
      <c r="Y688" s="307"/>
      <c r="Z688" s="307"/>
      <c r="AA688" s="307"/>
      <c r="AB688" s="307"/>
    </row>
    <row r="689" spans="1:28" ht="17.399999999999999">
      <c r="A689" s="307"/>
      <c r="B689" s="307"/>
      <c r="C689" s="307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307"/>
      <c r="R689" s="307"/>
      <c r="S689" s="307"/>
      <c r="T689" s="307"/>
      <c r="U689" s="307"/>
      <c r="V689" s="307"/>
      <c r="W689" s="307"/>
      <c r="X689" s="141"/>
      <c r="Y689" s="307"/>
      <c r="Z689" s="307"/>
      <c r="AA689" s="307"/>
      <c r="AB689" s="307"/>
    </row>
    <row r="690" spans="1:28" ht="17.399999999999999">
      <c r="A690" s="307"/>
      <c r="B690" s="307"/>
      <c r="C690" s="307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307"/>
      <c r="R690" s="307"/>
      <c r="S690" s="307"/>
      <c r="T690" s="307"/>
      <c r="U690" s="307"/>
      <c r="V690" s="307"/>
      <c r="W690" s="307"/>
      <c r="X690" s="141"/>
      <c r="Y690" s="307"/>
      <c r="Z690" s="307"/>
      <c r="AA690" s="307"/>
      <c r="AB690" s="307"/>
    </row>
    <row r="691" spans="1:28" ht="17.399999999999999">
      <c r="A691" s="307"/>
      <c r="B691" s="307"/>
      <c r="C691" s="307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307"/>
      <c r="R691" s="307"/>
      <c r="S691" s="307"/>
      <c r="T691" s="307"/>
      <c r="U691" s="307"/>
      <c r="V691" s="307"/>
      <c r="W691" s="307"/>
      <c r="X691" s="141"/>
      <c r="Y691" s="307"/>
      <c r="Z691" s="307"/>
      <c r="AA691" s="307"/>
      <c r="AB691" s="307"/>
    </row>
    <row r="692" spans="1:28" ht="17.399999999999999">
      <c r="A692" s="307"/>
      <c r="B692" s="307"/>
      <c r="C692" s="307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307"/>
      <c r="R692" s="307"/>
      <c r="S692" s="307"/>
      <c r="T692" s="307"/>
      <c r="U692" s="307"/>
      <c r="V692" s="307"/>
      <c r="W692" s="307"/>
      <c r="X692" s="141"/>
      <c r="Y692" s="307"/>
      <c r="Z692" s="307"/>
      <c r="AA692" s="307"/>
      <c r="AB692" s="307"/>
    </row>
    <row r="693" spans="1:28" ht="17.399999999999999">
      <c r="A693" s="307"/>
      <c r="B693" s="307"/>
      <c r="C693" s="307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307"/>
      <c r="R693" s="307"/>
      <c r="S693" s="307"/>
      <c r="T693" s="307"/>
      <c r="U693" s="307"/>
      <c r="V693" s="307"/>
      <c r="W693" s="307"/>
      <c r="X693" s="141"/>
      <c r="Y693" s="307"/>
      <c r="Z693" s="307"/>
      <c r="AA693" s="307"/>
      <c r="AB693" s="307"/>
    </row>
    <row r="694" spans="1:28" ht="17.399999999999999">
      <c r="A694" s="307"/>
      <c r="B694" s="307"/>
      <c r="C694" s="307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307"/>
      <c r="R694" s="307"/>
      <c r="S694" s="307"/>
      <c r="T694" s="307"/>
      <c r="U694" s="307"/>
      <c r="V694" s="307"/>
      <c r="W694" s="307"/>
      <c r="X694" s="141"/>
      <c r="Y694" s="307"/>
      <c r="Z694" s="307"/>
      <c r="AA694" s="307"/>
      <c r="AB694" s="307"/>
    </row>
    <row r="695" spans="1:28" ht="17.399999999999999">
      <c r="A695" s="307"/>
      <c r="B695" s="307"/>
      <c r="C695" s="307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307"/>
      <c r="R695" s="307"/>
      <c r="S695" s="307"/>
      <c r="T695" s="307"/>
      <c r="U695" s="307"/>
      <c r="V695" s="307"/>
      <c r="W695" s="307"/>
      <c r="X695" s="141"/>
      <c r="Y695" s="307"/>
      <c r="Z695" s="307"/>
      <c r="AA695" s="307"/>
      <c r="AB695" s="307"/>
    </row>
    <row r="696" spans="1:28" ht="17.399999999999999">
      <c r="A696" s="307"/>
      <c r="B696" s="307"/>
      <c r="C696" s="307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307"/>
      <c r="R696" s="307"/>
      <c r="S696" s="307"/>
      <c r="T696" s="307"/>
      <c r="U696" s="307"/>
      <c r="V696" s="307"/>
      <c r="W696" s="307"/>
      <c r="X696" s="141"/>
      <c r="Y696" s="307"/>
      <c r="Z696" s="307"/>
      <c r="AA696" s="307"/>
      <c r="AB696" s="307"/>
    </row>
    <row r="697" spans="1:28" ht="17.399999999999999">
      <c r="A697" s="307"/>
      <c r="B697" s="307"/>
      <c r="C697" s="307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307"/>
      <c r="R697" s="307"/>
      <c r="S697" s="307"/>
      <c r="T697" s="307"/>
      <c r="U697" s="307"/>
      <c r="V697" s="307"/>
      <c r="W697" s="307"/>
      <c r="X697" s="141"/>
      <c r="Y697" s="307"/>
      <c r="Z697" s="307"/>
      <c r="AA697" s="307"/>
      <c r="AB697" s="307"/>
    </row>
    <row r="698" spans="1:28" ht="17.399999999999999">
      <c r="A698" s="307"/>
      <c r="B698" s="307"/>
      <c r="C698" s="307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307"/>
      <c r="R698" s="307"/>
      <c r="S698" s="307"/>
      <c r="T698" s="307"/>
      <c r="U698" s="307"/>
      <c r="V698" s="307"/>
      <c r="W698" s="307"/>
      <c r="X698" s="141"/>
      <c r="Y698" s="307"/>
      <c r="Z698" s="307"/>
      <c r="AA698" s="307"/>
      <c r="AB698" s="307"/>
    </row>
    <row r="699" spans="1:28" ht="17.399999999999999">
      <c r="A699" s="307"/>
      <c r="B699" s="307"/>
      <c r="C699" s="307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307"/>
      <c r="R699" s="307"/>
      <c r="S699" s="307"/>
      <c r="T699" s="307"/>
      <c r="U699" s="307"/>
      <c r="V699" s="307"/>
      <c r="W699" s="307"/>
      <c r="X699" s="141"/>
      <c r="Y699" s="307"/>
      <c r="Z699" s="307"/>
      <c r="AA699" s="307"/>
      <c r="AB699" s="307"/>
    </row>
    <row r="700" spans="1:28" ht="17.399999999999999">
      <c r="A700" s="307"/>
      <c r="B700" s="307"/>
      <c r="C700" s="307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307"/>
      <c r="R700" s="307"/>
      <c r="S700" s="307"/>
      <c r="T700" s="307"/>
      <c r="U700" s="307"/>
      <c r="V700" s="307"/>
      <c r="W700" s="307"/>
      <c r="X700" s="141"/>
      <c r="Y700" s="307"/>
      <c r="Z700" s="307"/>
      <c r="AA700" s="307"/>
      <c r="AB700" s="307"/>
    </row>
    <row r="701" spans="1:28" ht="17.399999999999999">
      <c r="A701" s="307"/>
      <c r="B701" s="307"/>
      <c r="C701" s="307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307"/>
      <c r="R701" s="307"/>
      <c r="S701" s="307"/>
      <c r="T701" s="307"/>
      <c r="U701" s="307"/>
      <c r="V701" s="307"/>
      <c r="W701" s="307"/>
      <c r="X701" s="141"/>
      <c r="Y701" s="307"/>
      <c r="Z701" s="307"/>
      <c r="AA701" s="307"/>
      <c r="AB701" s="307"/>
    </row>
    <row r="702" spans="1:28" ht="17.399999999999999">
      <c r="A702" s="307"/>
      <c r="B702" s="307"/>
      <c r="C702" s="307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307"/>
      <c r="R702" s="307"/>
      <c r="S702" s="307"/>
      <c r="T702" s="307"/>
      <c r="U702" s="307"/>
      <c r="V702" s="307"/>
      <c r="W702" s="307"/>
      <c r="X702" s="141"/>
      <c r="Y702" s="307"/>
      <c r="Z702" s="307"/>
      <c r="AA702" s="307"/>
      <c r="AB702" s="307"/>
    </row>
    <row r="703" spans="1:28" ht="17.399999999999999">
      <c r="A703" s="307"/>
      <c r="B703" s="307"/>
      <c r="C703" s="307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307"/>
      <c r="R703" s="307"/>
      <c r="S703" s="307"/>
      <c r="T703" s="307"/>
      <c r="U703" s="307"/>
      <c r="V703" s="307"/>
      <c r="W703" s="307"/>
      <c r="X703" s="141"/>
      <c r="Y703" s="307"/>
      <c r="Z703" s="307"/>
      <c r="AA703" s="307"/>
      <c r="AB703" s="307"/>
    </row>
    <row r="704" spans="1:28" ht="17.399999999999999">
      <c r="A704" s="307"/>
      <c r="B704" s="307"/>
      <c r="C704" s="307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307"/>
      <c r="R704" s="307"/>
      <c r="S704" s="307"/>
      <c r="T704" s="307"/>
      <c r="U704" s="307"/>
      <c r="V704" s="307"/>
      <c r="W704" s="307"/>
      <c r="X704" s="141"/>
      <c r="Y704" s="307"/>
      <c r="Z704" s="307"/>
      <c r="AA704" s="307"/>
      <c r="AB704" s="307"/>
    </row>
    <row r="705" spans="1:28" ht="17.399999999999999">
      <c r="A705" s="307"/>
      <c r="B705" s="307"/>
      <c r="C705" s="307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307"/>
      <c r="R705" s="307"/>
      <c r="S705" s="307"/>
      <c r="T705" s="307"/>
      <c r="U705" s="307"/>
      <c r="V705" s="307"/>
      <c r="W705" s="307"/>
      <c r="X705" s="141"/>
      <c r="Y705" s="307"/>
      <c r="Z705" s="307"/>
      <c r="AA705" s="307"/>
      <c r="AB705" s="307"/>
    </row>
    <row r="706" spans="1:28" ht="17.399999999999999">
      <c r="A706" s="307"/>
      <c r="B706" s="307"/>
      <c r="C706" s="307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307"/>
      <c r="R706" s="307"/>
      <c r="S706" s="307"/>
      <c r="T706" s="307"/>
      <c r="U706" s="307"/>
      <c r="V706" s="307"/>
      <c r="W706" s="307"/>
      <c r="X706" s="141"/>
      <c r="Y706" s="307"/>
      <c r="Z706" s="307"/>
      <c r="AA706" s="307"/>
      <c r="AB706" s="307"/>
    </row>
    <row r="707" spans="1:28" ht="17.399999999999999">
      <c r="A707" s="307"/>
      <c r="B707" s="307"/>
      <c r="C707" s="307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307"/>
      <c r="R707" s="307"/>
      <c r="S707" s="307"/>
      <c r="T707" s="307"/>
      <c r="U707" s="307"/>
      <c r="V707" s="307"/>
      <c r="W707" s="307"/>
      <c r="X707" s="141"/>
      <c r="Y707" s="307"/>
      <c r="Z707" s="307"/>
      <c r="AA707" s="307"/>
      <c r="AB707" s="307"/>
    </row>
    <row r="708" spans="1:28" ht="17.399999999999999">
      <c r="A708" s="307"/>
      <c r="B708" s="307"/>
      <c r="C708" s="307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307"/>
      <c r="R708" s="307"/>
      <c r="S708" s="307"/>
      <c r="T708" s="307"/>
      <c r="U708" s="307"/>
      <c r="V708" s="307"/>
      <c r="W708" s="307"/>
      <c r="X708" s="141"/>
      <c r="Y708" s="307"/>
      <c r="Z708" s="307"/>
      <c r="AA708" s="307"/>
      <c r="AB708" s="307"/>
    </row>
    <row r="709" spans="1:28" ht="17.399999999999999">
      <c r="A709" s="307"/>
      <c r="B709" s="307"/>
      <c r="C709" s="307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307"/>
      <c r="R709" s="307"/>
      <c r="S709" s="307"/>
      <c r="T709" s="307"/>
      <c r="U709" s="307"/>
      <c r="V709" s="307"/>
      <c r="W709" s="307"/>
      <c r="X709" s="141"/>
      <c r="Y709" s="307"/>
      <c r="Z709" s="307"/>
      <c r="AA709" s="307"/>
      <c r="AB709" s="307"/>
    </row>
    <row r="710" spans="1:28" ht="17.399999999999999">
      <c r="A710" s="307"/>
      <c r="B710" s="307"/>
      <c r="C710" s="307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307"/>
      <c r="R710" s="307"/>
      <c r="S710" s="307"/>
      <c r="T710" s="307"/>
      <c r="U710" s="307"/>
      <c r="V710" s="307"/>
      <c r="W710" s="307"/>
      <c r="X710" s="141"/>
      <c r="Y710" s="307"/>
      <c r="Z710" s="307"/>
      <c r="AA710" s="307"/>
      <c r="AB710" s="307"/>
    </row>
    <row r="711" spans="1:28" ht="17.399999999999999">
      <c r="A711" s="307"/>
      <c r="B711" s="307"/>
      <c r="C711" s="307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307"/>
      <c r="R711" s="307"/>
      <c r="S711" s="307"/>
      <c r="T711" s="307"/>
      <c r="U711" s="307"/>
      <c r="V711" s="307"/>
      <c r="W711" s="307"/>
      <c r="X711" s="141"/>
      <c r="Y711" s="307"/>
      <c r="Z711" s="307"/>
      <c r="AA711" s="307"/>
      <c r="AB711" s="307"/>
    </row>
    <row r="712" spans="1:28" ht="17.399999999999999">
      <c r="A712" s="307"/>
      <c r="B712" s="307"/>
      <c r="C712" s="307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307"/>
      <c r="R712" s="307"/>
      <c r="S712" s="307"/>
      <c r="T712" s="307"/>
      <c r="U712" s="307"/>
      <c r="V712" s="307"/>
      <c r="W712" s="307"/>
      <c r="X712" s="141"/>
      <c r="Y712" s="307"/>
      <c r="Z712" s="307"/>
      <c r="AA712" s="307"/>
      <c r="AB712" s="307"/>
    </row>
    <row r="713" spans="1:28" ht="17.399999999999999">
      <c r="A713" s="307"/>
      <c r="B713" s="307"/>
      <c r="C713" s="307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307"/>
      <c r="R713" s="307"/>
      <c r="S713" s="307"/>
      <c r="T713" s="307"/>
      <c r="U713" s="307"/>
      <c r="V713" s="307"/>
      <c r="W713" s="307"/>
      <c r="X713" s="141"/>
      <c r="Y713" s="307"/>
      <c r="Z713" s="307"/>
      <c r="AA713" s="307"/>
      <c r="AB713" s="307"/>
    </row>
    <row r="714" spans="1:28" ht="17.399999999999999">
      <c r="A714" s="307"/>
      <c r="B714" s="307"/>
      <c r="C714" s="307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307"/>
      <c r="R714" s="307"/>
      <c r="S714" s="307"/>
      <c r="T714" s="307"/>
      <c r="U714" s="307"/>
      <c r="V714" s="307"/>
      <c r="W714" s="307"/>
      <c r="X714" s="141"/>
      <c r="Y714" s="307"/>
      <c r="Z714" s="307"/>
      <c r="AA714" s="307"/>
      <c r="AB714" s="307"/>
    </row>
    <row r="715" spans="1:28" ht="17.399999999999999">
      <c r="A715" s="307"/>
      <c r="B715" s="307"/>
      <c r="C715" s="307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307"/>
      <c r="R715" s="307"/>
      <c r="S715" s="307"/>
      <c r="T715" s="307"/>
      <c r="U715" s="307"/>
      <c r="V715" s="307"/>
      <c r="W715" s="307"/>
      <c r="X715" s="141"/>
      <c r="Y715" s="307"/>
      <c r="Z715" s="307"/>
      <c r="AA715" s="307"/>
      <c r="AB715" s="307"/>
    </row>
    <row r="716" spans="1:28" ht="17.399999999999999">
      <c r="A716" s="307"/>
      <c r="B716" s="307"/>
      <c r="C716" s="307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307"/>
      <c r="R716" s="307"/>
      <c r="S716" s="307"/>
      <c r="T716" s="307"/>
      <c r="U716" s="307"/>
      <c r="V716" s="307"/>
      <c r="W716" s="307"/>
      <c r="X716" s="141"/>
      <c r="Y716" s="307"/>
      <c r="Z716" s="307"/>
      <c r="AA716" s="307"/>
      <c r="AB716" s="307"/>
    </row>
    <row r="717" spans="1:28" ht="17.399999999999999">
      <c r="A717" s="307"/>
      <c r="B717" s="307"/>
      <c r="C717" s="307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307"/>
      <c r="R717" s="307"/>
      <c r="S717" s="307"/>
      <c r="T717" s="307"/>
      <c r="U717" s="307"/>
      <c r="V717" s="307"/>
      <c r="W717" s="307"/>
      <c r="X717" s="141"/>
      <c r="Y717" s="307"/>
      <c r="Z717" s="307"/>
      <c r="AA717" s="307"/>
      <c r="AB717" s="307"/>
    </row>
    <row r="718" spans="1:28" ht="17.399999999999999">
      <c r="A718" s="307"/>
      <c r="B718" s="307"/>
      <c r="C718" s="307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307"/>
      <c r="R718" s="307"/>
      <c r="S718" s="307"/>
      <c r="T718" s="307"/>
      <c r="U718" s="307"/>
      <c r="V718" s="307"/>
      <c r="W718" s="307"/>
      <c r="X718" s="141"/>
      <c r="Y718" s="307"/>
      <c r="Z718" s="307"/>
      <c r="AA718" s="307"/>
      <c r="AB718" s="307"/>
    </row>
    <row r="719" spans="1:28" ht="17.399999999999999">
      <c r="A719" s="307"/>
      <c r="B719" s="307"/>
      <c r="C719" s="307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307"/>
      <c r="R719" s="307"/>
      <c r="S719" s="307"/>
      <c r="T719" s="307"/>
      <c r="U719" s="307"/>
      <c r="V719" s="307"/>
      <c r="W719" s="307"/>
      <c r="X719" s="141"/>
      <c r="Y719" s="307"/>
      <c r="Z719" s="307"/>
      <c r="AA719" s="307"/>
      <c r="AB719" s="307"/>
    </row>
    <row r="720" spans="1:28" ht="17.399999999999999">
      <c r="A720" s="307"/>
      <c r="B720" s="307"/>
      <c r="C720" s="307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307"/>
      <c r="R720" s="307"/>
      <c r="S720" s="307"/>
      <c r="T720" s="307"/>
      <c r="U720" s="307"/>
      <c r="V720" s="307"/>
      <c r="W720" s="307"/>
      <c r="X720" s="141"/>
      <c r="Y720" s="307"/>
      <c r="Z720" s="307"/>
      <c r="AA720" s="307"/>
      <c r="AB720" s="307"/>
    </row>
    <row r="721" spans="1:28" ht="17.399999999999999">
      <c r="A721" s="307"/>
      <c r="B721" s="307"/>
      <c r="C721" s="307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307"/>
      <c r="R721" s="307"/>
      <c r="S721" s="307"/>
      <c r="T721" s="307"/>
      <c r="U721" s="307"/>
      <c r="V721" s="307"/>
      <c r="W721" s="307"/>
      <c r="X721" s="141"/>
      <c r="Y721" s="307"/>
      <c r="Z721" s="307"/>
      <c r="AA721" s="307"/>
      <c r="AB721" s="307"/>
    </row>
    <row r="722" spans="1:28" ht="17.399999999999999">
      <c r="A722" s="307"/>
      <c r="B722" s="307"/>
      <c r="C722" s="307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307"/>
      <c r="R722" s="307"/>
      <c r="S722" s="307"/>
      <c r="T722" s="307"/>
      <c r="U722" s="307"/>
      <c r="V722" s="307"/>
      <c r="W722" s="307"/>
      <c r="X722" s="141"/>
      <c r="Y722" s="307"/>
      <c r="Z722" s="307"/>
      <c r="AA722" s="307"/>
      <c r="AB722" s="307"/>
    </row>
    <row r="723" spans="1:28" ht="17.399999999999999">
      <c r="A723" s="307"/>
      <c r="B723" s="307"/>
      <c r="C723" s="307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307"/>
      <c r="R723" s="307"/>
      <c r="S723" s="307"/>
      <c r="T723" s="307"/>
      <c r="U723" s="307"/>
      <c r="V723" s="307"/>
      <c r="W723" s="307"/>
      <c r="X723" s="141"/>
      <c r="Y723" s="307"/>
      <c r="Z723" s="307"/>
      <c r="AA723" s="307"/>
      <c r="AB723" s="307"/>
    </row>
    <row r="724" spans="1:28" ht="17.399999999999999">
      <c r="A724" s="307"/>
      <c r="B724" s="307"/>
      <c r="C724" s="307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307"/>
      <c r="R724" s="307"/>
      <c r="S724" s="307"/>
      <c r="T724" s="307"/>
      <c r="U724" s="307"/>
      <c r="V724" s="307"/>
      <c r="W724" s="307"/>
      <c r="X724" s="141"/>
      <c r="Y724" s="307"/>
      <c r="Z724" s="307"/>
      <c r="AA724" s="307"/>
      <c r="AB724" s="307"/>
    </row>
    <row r="725" spans="1:28" ht="17.399999999999999">
      <c r="A725" s="307"/>
      <c r="B725" s="307"/>
      <c r="C725" s="307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307"/>
      <c r="R725" s="307"/>
      <c r="S725" s="307"/>
      <c r="T725" s="307"/>
      <c r="U725" s="307"/>
      <c r="V725" s="307"/>
      <c r="W725" s="307"/>
      <c r="X725" s="141"/>
      <c r="Y725" s="307"/>
      <c r="Z725" s="307"/>
      <c r="AA725" s="307"/>
      <c r="AB725" s="307"/>
    </row>
    <row r="726" spans="1:28" ht="17.399999999999999">
      <c r="A726" s="307"/>
      <c r="B726" s="307"/>
      <c r="C726" s="307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307"/>
      <c r="R726" s="307"/>
      <c r="S726" s="307"/>
      <c r="T726" s="307"/>
      <c r="U726" s="307"/>
      <c r="V726" s="307"/>
      <c r="W726" s="307"/>
      <c r="X726" s="141"/>
      <c r="Y726" s="307"/>
      <c r="Z726" s="307"/>
      <c r="AA726" s="307"/>
      <c r="AB726" s="307"/>
    </row>
    <row r="727" spans="1:28" ht="17.399999999999999">
      <c r="A727" s="307"/>
      <c r="B727" s="307"/>
      <c r="C727" s="307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307"/>
      <c r="R727" s="307"/>
      <c r="S727" s="307"/>
      <c r="T727" s="307"/>
      <c r="U727" s="307"/>
      <c r="V727" s="307"/>
      <c r="W727" s="307"/>
      <c r="X727" s="141"/>
      <c r="Y727" s="307"/>
      <c r="Z727" s="307"/>
      <c r="AA727" s="307"/>
      <c r="AB727" s="307"/>
    </row>
    <row r="728" spans="1:28" ht="17.399999999999999">
      <c r="A728" s="307"/>
      <c r="B728" s="307"/>
      <c r="C728" s="307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307"/>
      <c r="R728" s="307"/>
      <c r="S728" s="307"/>
      <c r="T728" s="307"/>
      <c r="U728" s="307"/>
      <c r="V728" s="307"/>
      <c r="W728" s="307"/>
      <c r="X728" s="141"/>
      <c r="Y728" s="307"/>
      <c r="Z728" s="307"/>
      <c r="AA728" s="307"/>
      <c r="AB728" s="307"/>
    </row>
    <row r="729" spans="1:28" ht="17.399999999999999">
      <c r="A729" s="307"/>
      <c r="B729" s="307"/>
      <c r="C729" s="307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307"/>
      <c r="R729" s="307"/>
      <c r="S729" s="307"/>
      <c r="T729" s="307"/>
      <c r="U729" s="307"/>
      <c r="V729" s="307"/>
      <c r="W729" s="307"/>
      <c r="X729" s="141"/>
      <c r="Y729" s="307"/>
      <c r="Z729" s="307"/>
      <c r="AA729" s="307"/>
      <c r="AB729" s="307"/>
    </row>
    <row r="730" spans="1:28" ht="17.399999999999999">
      <c r="A730" s="307"/>
      <c r="B730" s="307"/>
      <c r="C730" s="307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307"/>
      <c r="R730" s="307"/>
      <c r="S730" s="307"/>
      <c r="T730" s="307"/>
      <c r="U730" s="307"/>
      <c r="V730" s="307"/>
      <c r="W730" s="307"/>
      <c r="X730" s="141"/>
      <c r="Y730" s="307"/>
      <c r="Z730" s="307"/>
      <c r="AA730" s="307"/>
      <c r="AB730" s="307"/>
    </row>
    <row r="731" spans="1:28" ht="17.399999999999999">
      <c r="A731" s="307"/>
      <c r="B731" s="307"/>
      <c r="C731" s="307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307"/>
      <c r="R731" s="307"/>
      <c r="S731" s="307"/>
      <c r="T731" s="307"/>
      <c r="U731" s="307"/>
      <c r="V731" s="307"/>
      <c r="W731" s="307"/>
      <c r="X731" s="141"/>
      <c r="Y731" s="307"/>
      <c r="Z731" s="307"/>
      <c r="AA731" s="307"/>
      <c r="AB731" s="307"/>
    </row>
    <row r="732" spans="1:28" ht="17.399999999999999">
      <c r="A732" s="307"/>
      <c r="B732" s="307"/>
      <c r="C732" s="307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307"/>
      <c r="R732" s="307"/>
      <c r="S732" s="307"/>
      <c r="T732" s="307"/>
      <c r="U732" s="307"/>
      <c r="V732" s="307"/>
      <c r="W732" s="307"/>
      <c r="X732" s="141"/>
      <c r="Y732" s="307"/>
      <c r="Z732" s="307"/>
      <c r="AA732" s="307"/>
      <c r="AB732" s="307"/>
    </row>
    <row r="733" spans="1:28" ht="17.399999999999999">
      <c r="A733" s="307"/>
      <c r="B733" s="307"/>
      <c r="C733" s="307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307"/>
      <c r="R733" s="307"/>
      <c r="S733" s="307"/>
      <c r="T733" s="307"/>
      <c r="U733" s="307"/>
      <c r="V733" s="307"/>
      <c r="W733" s="307"/>
      <c r="X733" s="141"/>
      <c r="Y733" s="307"/>
      <c r="Z733" s="307"/>
      <c r="AA733" s="307"/>
      <c r="AB733" s="307"/>
    </row>
    <row r="734" spans="1:28" ht="17.399999999999999">
      <c r="A734" s="307"/>
      <c r="B734" s="307"/>
      <c r="C734" s="307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307"/>
      <c r="R734" s="307"/>
      <c r="S734" s="307"/>
      <c r="T734" s="307"/>
      <c r="U734" s="307"/>
      <c r="V734" s="307"/>
      <c r="W734" s="307"/>
      <c r="X734" s="141"/>
      <c r="Y734" s="307"/>
      <c r="Z734" s="307"/>
      <c r="AA734" s="307"/>
      <c r="AB734" s="307"/>
    </row>
    <row r="735" spans="1:28" ht="17.399999999999999">
      <c r="A735" s="307"/>
      <c r="B735" s="307"/>
      <c r="C735" s="307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307"/>
      <c r="R735" s="307"/>
      <c r="S735" s="307"/>
      <c r="T735" s="307"/>
      <c r="U735" s="307"/>
      <c r="V735" s="307"/>
      <c r="W735" s="307"/>
      <c r="X735" s="141"/>
      <c r="Y735" s="307"/>
      <c r="Z735" s="307"/>
      <c r="AA735" s="307"/>
      <c r="AB735" s="307"/>
    </row>
    <row r="736" spans="1:28" ht="17.399999999999999">
      <c r="A736" s="307"/>
      <c r="B736" s="307"/>
      <c r="C736" s="307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307"/>
      <c r="R736" s="307"/>
      <c r="S736" s="307"/>
      <c r="T736" s="307"/>
      <c r="U736" s="307"/>
      <c r="V736" s="307"/>
      <c r="W736" s="307"/>
      <c r="X736" s="141"/>
      <c r="Y736" s="307"/>
      <c r="Z736" s="307"/>
      <c r="AA736" s="307"/>
      <c r="AB736" s="307"/>
    </row>
    <row r="737" spans="1:28" ht="17.399999999999999">
      <c r="A737" s="307"/>
      <c r="B737" s="307"/>
      <c r="C737" s="307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307"/>
      <c r="R737" s="307"/>
      <c r="S737" s="307"/>
      <c r="T737" s="307"/>
      <c r="U737" s="307"/>
      <c r="V737" s="307"/>
      <c r="W737" s="307"/>
      <c r="X737" s="141"/>
      <c r="Y737" s="307"/>
      <c r="Z737" s="307"/>
      <c r="AA737" s="307"/>
      <c r="AB737" s="307"/>
    </row>
    <row r="738" spans="1:28" ht="17.399999999999999">
      <c r="A738" s="307"/>
      <c r="B738" s="307"/>
      <c r="C738" s="307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307"/>
      <c r="R738" s="307"/>
      <c r="S738" s="307"/>
      <c r="T738" s="307"/>
      <c r="U738" s="307"/>
      <c r="V738" s="307"/>
      <c r="W738" s="307"/>
      <c r="X738" s="141"/>
      <c r="Y738" s="307"/>
      <c r="Z738" s="307"/>
      <c r="AA738" s="307"/>
      <c r="AB738" s="307"/>
    </row>
    <row r="739" spans="1:28" ht="17.399999999999999">
      <c r="A739" s="307"/>
      <c r="B739" s="307"/>
      <c r="C739" s="307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307"/>
      <c r="R739" s="307"/>
      <c r="S739" s="307"/>
      <c r="T739" s="307"/>
      <c r="U739" s="307"/>
      <c r="V739" s="307"/>
      <c r="W739" s="307"/>
      <c r="X739" s="141"/>
      <c r="Y739" s="307"/>
      <c r="Z739" s="307"/>
      <c r="AA739" s="307"/>
      <c r="AB739" s="307"/>
    </row>
    <row r="740" spans="1:28" ht="17.399999999999999">
      <c r="A740" s="307"/>
      <c r="B740" s="307"/>
      <c r="C740" s="307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307"/>
      <c r="R740" s="307"/>
      <c r="S740" s="307"/>
      <c r="T740" s="307"/>
      <c r="U740" s="307"/>
      <c r="V740" s="307"/>
      <c r="W740" s="307"/>
      <c r="X740" s="141"/>
      <c r="Y740" s="307"/>
      <c r="Z740" s="307"/>
      <c r="AA740" s="307"/>
      <c r="AB740" s="307"/>
    </row>
    <row r="741" spans="1:28" ht="17.399999999999999">
      <c r="A741" s="307"/>
      <c r="B741" s="307"/>
      <c r="C741" s="307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307"/>
      <c r="R741" s="307"/>
      <c r="S741" s="307"/>
      <c r="T741" s="307"/>
      <c r="U741" s="307"/>
      <c r="V741" s="307"/>
      <c r="W741" s="307"/>
      <c r="X741" s="141"/>
      <c r="Y741" s="307"/>
      <c r="Z741" s="307"/>
      <c r="AA741" s="307"/>
      <c r="AB741" s="307"/>
    </row>
    <row r="742" spans="1:28" ht="17.399999999999999">
      <c r="A742" s="307"/>
      <c r="B742" s="307"/>
      <c r="C742" s="307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307"/>
      <c r="R742" s="307"/>
      <c r="S742" s="307"/>
      <c r="T742" s="307"/>
      <c r="U742" s="307"/>
      <c r="V742" s="307"/>
      <c r="W742" s="307"/>
      <c r="X742" s="141"/>
      <c r="Y742" s="307"/>
      <c r="Z742" s="307"/>
      <c r="AA742" s="307"/>
      <c r="AB742" s="307"/>
    </row>
    <row r="743" spans="1:28" ht="17.399999999999999">
      <c r="A743" s="307"/>
      <c r="B743" s="307"/>
      <c r="C743" s="307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307"/>
      <c r="R743" s="307"/>
      <c r="S743" s="307"/>
      <c r="T743" s="307"/>
      <c r="U743" s="307"/>
      <c r="V743" s="307"/>
      <c r="W743" s="307"/>
      <c r="X743" s="141"/>
      <c r="Y743" s="307"/>
      <c r="Z743" s="307"/>
      <c r="AA743" s="307"/>
      <c r="AB743" s="307"/>
    </row>
    <row r="744" spans="1:28" ht="17.399999999999999">
      <c r="A744" s="307"/>
      <c r="B744" s="307"/>
      <c r="C744" s="307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307"/>
      <c r="R744" s="307"/>
      <c r="S744" s="307"/>
      <c r="T744" s="307"/>
      <c r="U744" s="307"/>
      <c r="V744" s="307"/>
      <c r="W744" s="307"/>
      <c r="X744" s="141"/>
      <c r="Y744" s="307"/>
      <c r="Z744" s="307"/>
      <c r="AA744" s="307"/>
      <c r="AB744" s="307"/>
    </row>
    <row r="745" spans="1:28" ht="17.399999999999999">
      <c r="A745" s="307"/>
      <c r="B745" s="307"/>
      <c r="C745" s="307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307"/>
      <c r="R745" s="307"/>
      <c r="S745" s="307"/>
      <c r="T745" s="307"/>
      <c r="U745" s="307"/>
      <c r="V745" s="307"/>
      <c r="W745" s="307"/>
      <c r="X745" s="141"/>
      <c r="Y745" s="307"/>
      <c r="Z745" s="307"/>
      <c r="AA745" s="307"/>
      <c r="AB745" s="307"/>
    </row>
    <row r="746" spans="1:28" ht="17.399999999999999">
      <c r="A746" s="307"/>
      <c r="B746" s="307"/>
      <c r="C746" s="307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307"/>
      <c r="R746" s="307"/>
      <c r="S746" s="307"/>
      <c r="T746" s="307"/>
      <c r="U746" s="307"/>
      <c r="V746" s="307"/>
      <c r="W746" s="307"/>
      <c r="X746" s="141"/>
      <c r="Y746" s="307"/>
      <c r="Z746" s="307"/>
      <c r="AA746" s="307"/>
      <c r="AB746" s="307"/>
    </row>
    <row r="747" spans="1:28" ht="17.399999999999999">
      <c r="A747" s="307"/>
      <c r="B747" s="307"/>
      <c r="C747" s="307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307"/>
      <c r="R747" s="307"/>
      <c r="S747" s="307"/>
      <c r="T747" s="307"/>
      <c r="U747" s="307"/>
      <c r="V747" s="307"/>
      <c r="W747" s="307"/>
      <c r="X747" s="141"/>
      <c r="Y747" s="307"/>
      <c r="Z747" s="307"/>
      <c r="AA747" s="307"/>
      <c r="AB747" s="307"/>
    </row>
    <row r="748" spans="1:28" ht="17.399999999999999">
      <c r="A748" s="307"/>
      <c r="B748" s="307"/>
      <c r="C748" s="307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307"/>
      <c r="R748" s="307"/>
      <c r="S748" s="307"/>
      <c r="T748" s="307"/>
      <c r="U748" s="307"/>
      <c r="V748" s="307"/>
      <c r="W748" s="307"/>
      <c r="X748" s="141"/>
      <c r="Y748" s="307"/>
      <c r="Z748" s="307"/>
      <c r="AA748" s="307"/>
      <c r="AB748" s="307"/>
    </row>
    <row r="749" spans="1:28" ht="17.399999999999999">
      <c r="A749" s="307"/>
      <c r="B749" s="307"/>
      <c r="C749" s="307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307"/>
      <c r="R749" s="307"/>
      <c r="S749" s="307"/>
      <c r="T749" s="307"/>
      <c r="U749" s="307"/>
      <c r="V749" s="307"/>
      <c r="W749" s="307"/>
      <c r="X749" s="141"/>
      <c r="Y749" s="307"/>
      <c r="Z749" s="307"/>
      <c r="AA749" s="307"/>
      <c r="AB749" s="307"/>
    </row>
    <row r="750" spans="1:28" ht="17.399999999999999">
      <c r="A750" s="307"/>
      <c r="B750" s="307"/>
      <c r="C750" s="307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307"/>
      <c r="R750" s="307"/>
      <c r="S750" s="307"/>
      <c r="T750" s="307"/>
      <c r="U750" s="307"/>
      <c r="V750" s="307"/>
      <c r="W750" s="307"/>
      <c r="X750" s="141"/>
      <c r="Y750" s="307"/>
      <c r="Z750" s="307"/>
      <c r="AA750" s="307"/>
      <c r="AB750" s="307"/>
    </row>
    <row r="751" spans="1:28" ht="17.399999999999999">
      <c r="A751" s="307"/>
      <c r="B751" s="307"/>
      <c r="C751" s="307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307"/>
      <c r="R751" s="307"/>
      <c r="S751" s="307"/>
      <c r="T751" s="307"/>
      <c r="U751" s="307"/>
      <c r="V751" s="307"/>
      <c r="W751" s="307"/>
      <c r="X751" s="141"/>
      <c r="Y751" s="307"/>
      <c r="Z751" s="307"/>
      <c r="AA751" s="307"/>
      <c r="AB751" s="307"/>
    </row>
    <row r="752" spans="1:28" ht="17.399999999999999">
      <c r="A752" s="307"/>
      <c r="B752" s="307"/>
      <c r="C752" s="307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307"/>
      <c r="R752" s="307"/>
      <c r="S752" s="307"/>
      <c r="T752" s="307"/>
      <c r="U752" s="307"/>
      <c r="V752" s="307"/>
      <c r="W752" s="307"/>
      <c r="X752" s="141"/>
      <c r="Y752" s="307"/>
      <c r="Z752" s="307"/>
      <c r="AA752" s="307"/>
      <c r="AB752" s="307"/>
    </row>
    <row r="753" spans="1:28" ht="17.399999999999999">
      <c r="A753" s="307"/>
      <c r="B753" s="307"/>
      <c r="C753" s="307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307"/>
      <c r="R753" s="307"/>
      <c r="S753" s="307"/>
      <c r="T753" s="307"/>
      <c r="U753" s="307"/>
      <c r="V753" s="307"/>
      <c r="W753" s="307"/>
      <c r="X753" s="141"/>
      <c r="Y753" s="307"/>
      <c r="Z753" s="307"/>
      <c r="AA753" s="307"/>
      <c r="AB753" s="307"/>
    </row>
    <row r="754" spans="1:28" ht="17.399999999999999">
      <c r="A754" s="307"/>
      <c r="B754" s="307"/>
      <c r="C754" s="307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307"/>
      <c r="R754" s="307"/>
      <c r="S754" s="307"/>
      <c r="T754" s="307"/>
      <c r="U754" s="307"/>
      <c r="V754" s="307"/>
      <c r="W754" s="307"/>
      <c r="X754" s="141"/>
      <c r="Y754" s="307"/>
      <c r="Z754" s="307"/>
      <c r="AA754" s="307"/>
      <c r="AB754" s="307"/>
    </row>
    <row r="755" spans="1:28" ht="17.399999999999999">
      <c r="A755" s="307"/>
      <c r="B755" s="307"/>
      <c r="C755" s="307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307"/>
      <c r="R755" s="307"/>
      <c r="S755" s="307"/>
      <c r="T755" s="307"/>
      <c r="U755" s="307"/>
      <c r="V755" s="307"/>
      <c r="W755" s="307"/>
      <c r="X755" s="141"/>
      <c r="Y755" s="307"/>
      <c r="Z755" s="307"/>
      <c r="AA755" s="307"/>
      <c r="AB755" s="307"/>
    </row>
    <row r="756" spans="1:28" ht="17.399999999999999">
      <c r="A756" s="307"/>
      <c r="B756" s="307"/>
      <c r="C756" s="307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307"/>
      <c r="R756" s="307"/>
      <c r="S756" s="307"/>
      <c r="T756" s="307"/>
      <c r="U756" s="307"/>
      <c r="V756" s="307"/>
      <c r="W756" s="307"/>
      <c r="X756" s="141"/>
      <c r="Y756" s="307"/>
      <c r="Z756" s="307"/>
      <c r="AA756" s="307"/>
      <c r="AB756" s="307"/>
    </row>
    <row r="757" spans="1:28" ht="17.399999999999999">
      <c r="A757" s="307"/>
      <c r="B757" s="307"/>
      <c r="C757" s="307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307"/>
      <c r="R757" s="307"/>
      <c r="S757" s="307"/>
      <c r="T757" s="307"/>
      <c r="U757" s="307"/>
      <c r="V757" s="307"/>
      <c r="W757" s="307"/>
      <c r="X757" s="141"/>
      <c r="Y757" s="307"/>
      <c r="Z757" s="307"/>
      <c r="AA757" s="307"/>
      <c r="AB757" s="307"/>
    </row>
    <row r="758" spans="1:28" ht="17.399999999999999">
      <c r="A758" s="307"/>
      <c r="B758" s="307"/>
      <c r="C758" s="307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307"/>
      <c r="R758" s="307"/>
      <c r="S758" s="307"/>
      <c r="T758" s="307"/>
      <c r="U758" s="307"/>
      <c r="V758" s="307"/>
      <c r="W758" s="307"/>
      <c r="X758" s="141"/>
      <c r="Y758" s="307"/>
      <c r="Z758" s="307"/>
      <c r="AA758" s="307"/>
      <c r="AB758" s="307"/>
    </row>
    <row r="759" spans="1:28" ht="17.399999999999999">
      <c r="A759" s="307"/>
      <c r="B759" s="307"/>
      <c r="C759" s="307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307"/>
      <c r="R759" s="307"/>
      <c r="S759" s="307"/>
      <c r="T759" s="307"/>
      <c r="U759" s="307"/>
      <c r="V759" s="307"/>
      <c r="W759" s="307"/>
      <c r="X759" s="141"/>
      <c r="Y759" s="307"/>
      <c r="Z759" s="307"/>
      <c r="AA759" s="307"/>
      <c r="AB759" s="307"/>
    </row>
    <row r="760" spans="1:28" ht="17.399999999999999">
      <c r="A760" s="307"/>
      <c r="B760" s="307"/>
      <c r="C760" s="307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307"/>
      <c r="R760" s="307"/>
      <c r="S760" s="307"/>
      <c r="T760" s="307"/>
      <c r="U760" s="307"/>
      <c r="V760" s="307"/>
      <c r="W760" s="307"/>
      <c r="X760" s="141"/>
      <c r="Y760" s="307"/>
      <c r="Z760" s="307"/>
      <c r="AA760" s="307"/>
      <c r="AB760" s="307"/>
    </row>
    <row r="761" spans="1:28" ht="17.399999999999999">
      <c r="A761" s="307"/>
      <c r="B761" s="307"/>
      <c r="C761" s="307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307"/>
      <c r="R761" s="307"/>
      <c r="S761" s="307"/>
      <c r="T761" s="307"/>
      <c r="U761" s="307"/>
      <c r="V761" s="307"/>
      <c r="W761" s="307"/>
      <c r="X761" s="141"/>
      <c r="Y761" s="307"/>
      <c r="Z761" s="307"/>
      <c r="AA761" s="307"/>
      <c r="AB761" s="307"/>
    </row>
    <row r="762" spans="1:28" ht="17.399999999999999">
      <c r="A762" s="307"/>
      <c r="B762" s="307"/>
      <c r="C762" s="307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307"/>
      <c r="R762" s="307"/>
      <c r="S762" s="307"/>
      <c r="T762" s="307"/>
      <c r="U762" s="307"/>
      <c r="V762" s="307"/>
      <c r="W762" s="307"/>
      <c r="X762" s="141"/>
      <c r="Y762" s="307"/>
      <c r="Z762" s="307"/>
      <c r="AA762" s="307"/>
      <c r="AB762" s="307"/>
    </row>
    <row r="763" spans="1:28" ht="17.399999999999999">
      <c r="A763" s="307"/>
      <c r="B763" s="307"/>
      <c r="C763" s="307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307"/>
      <c r="R763" s="307"/>
      <c r="S763" s="307"/>
      <c r="T763" s="307"/>
      <c r="U763" s="307"/>
      <c r="V763" s="307"/>
      <c r="W763" s="307"/>
      <c r="X763" s="141"/>
      <c r="Y763" s="307"/>
      <c r="Z763" s="307"/>
      <c r="AA763" s="307"/>
      <c r="AB763" s="307"/>
    </row>
    <row r="764" spans="1:28" ht="17.399999999999999">
      <c r="A764" s="307"/>
      <c r="B764" s="307"/>
      <c r="C764" s="307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307"/>
      <c r="R764" s="307"/>
      <c r="S764" s="307"/>
      <c r="T764" s="307"/>
      <c r="U764" s="307"/>
      <c r="V764" s="307"/>
      <c r="W764" s="307"/>
      <c r="X764" s="141"/>
      <c r="Y764" s="307"/>
      <c r="Z764" s="307"/>
      <c r="AA764" s="307"/>
      <c r="AB764" s="307"/>
    </row>
    <row r="765" spans="1:28" ht="17.399999999999999">
      <c r="A765" s="307"/>
      <c r="B765" s="307"/>
      <c r="C765" s="307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307"/>
      <c r="R765" s="307"/>
      <c r="S765" s="307"/>
      <c r="T765" s="307"/>
      <c r="U765" s="307"/>
      <c r="V765" s="307"/>
      <c r="W765" s="307"/>
      <c r="X765" s="141"/>
      <c r="Y765" s="307"/>
      <c r="Z765" s="307"/>
      <c r="AA765" s="307"/>
      <c r="AB765" s="307"/>
    </row>
    <row r="766" spans="1:28" ht="17.399999999999999">
      <c r="A766" s="307"/>
      <c r="B766" s="307"/>
      <c r="C766" s="307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307"/>
      <c r="R766" s="307"/>
      <c r="S766" s="307"/>
      <c r="T766" s="307"/>
      <c r="U766" s="307"/>
      <c r="V766" s="307"/>
      <c r="W766" s="307"/>
      <c r="X766" s="141"/>
      <c r="Y766" s="307"/>
      <c r="Z766" s="307"/>
      <c r="AA766" s="307"/>
      <c r="AB766" s="307"/>
    </row>
    <row r="767" spans="1:28" ht="17.399999999999999">
      <c r="A767" s="307"/>
      <c r="B767" s="307"/>
      <c r="C767" s="307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307"/>
      <c r="R767" s="307"/>
      <c r="S767" s="307"/>
      <c r="T767" s="307"/>
      <c r="U767" s="307"/>
      <c r="V767" s="307"/>
      <c r="W767" s="307"/>
      <c r="X767" s="141"/>
      <c r="Y767" s="307"/>
      <c r="Z767" s="307"/>
      <c r="AA767" s="307"/>
      <c r="AB767" s="307"/>
    </row>
    <row r="768" spans="1:28" ht="17.399999999999999">
      <c r="A768" s="307"/>
      <c r="B768" s="307"/>
      <c r="C768" s="307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307"/>
      <c r="R768" s="307"/>
      <c r="S768" s="307"/>
      <c r="T768" s="307"/>
      <c r="U768" s="307"/>
      <c r="V768" s="307"/>
      <c r="W768" s="307"/>
      <c r="X768" s="141"/>
      <c r="Y768" s="307"/>
      <c r="Z768" s="307"/>
      <c r="AA768" s="307"/>
      <c r="AB768" s="307"/>
    </row>
    <row r="769" spans="1:28" ht="17.399999999999999">
      <c r="A769" s="307"/>
      <c r="B769" s="307"/>
      <c r="C769" s="307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307"/>
      <c r="R769" s="307"/>
      <c r="S769" s="307"/>
      <c r="T769" s="307"/>
      <c r="U769" s="307"/>
      <c r="V769" s="307"/>
      <c r="W769" s="307"/>
      <c r="X769" s="141"/>
      <c r="Y769" s="307"/>
      <c r="Z769" s="307"/>
      <c r="AA769" s="307"/>
      <c r="AB769" s="307"/>
    </row>
    <row r="770" spans="1:28" ht="17.399999999999999">
      <c r="A770" s="307"/>
      <c r="B770" s="307"/>
      <c r="C770" s="307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307"/>
      <c r="R770" s="307"/>
      <c r="S770" s="307"/>
      <c r="T770" s="307"/>
      <c r="U770" s="307"/>
      <c r="V770" s="307"/>
      <c r="W770" s="307"/>
      <c r="X770" s="141"/>
      <c r="Y770" s="307"/>
      <c r="Z770" s="307"/>
      <c r="AA770" s="307"/>
      <c r="AB770" s="307"/>
    </row>
    <row r="771" spans="1:28" ht="17.399999999999999">
      <c r="A771" s="307"/>
      <c r="B771" s="307"/>
      <c r="C771" s="307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307"/>
      <c r="R771" s="307"/>
      <c r="S771" s="307"/>
      <c r="T771" s="307"/>
      <c r="U771" s="307"/>
      <c r="V771" s="307"/>
      <c r="W771" s="307"/>
      <c r="X771" s="141"/>
      <c r="Y771" s="307"/>
      <c r="Z771" s="307"/>
      <c r="AA771" s="307"/>
      <c r="AB771" s="307"/>
    </row>
    <row r="772" spans="1:28" ht="17.399999999999999">
      <c r="A772" s="307"/>
      <c r="B772" s="307"/>
      <c r="C772" s="307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307"/>
      <c r="R772" s="307"/>
      <c r="S772" s="307"/>
      <c r="T772" s="307"/>
      <c r="U772" s="307"/>
      <c r="V772" s="307"/>
      <c r="W772" s="307"/>
      <c r="X772" s="141"/>
      <c r="Y772" s="307"/>
      <c r="Z772" s="307"/>
      <c r="AA772" s="307"/>
      <c r="AB772" s="307"/>
    </row>
    <row r="773" spans="1:28" ht="17.399999999999999">
      <c r="A773" s="307"/>
      <c r="B773" s="307"/>
      <c r="C773" s="307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307"/>
      <c r="R773" s="307"/>
      <c r="S773" s="307"/>
      <c r="T773" s="307"/>
      <c r="U773" s="307"/>
      <c r="V773" s="307"/>
      <c r="W773" s="307"/>
      <c r="X773" s="141"/>
      <c r="Y773" s="307"/>
      <c r="Z773" s="307"/>
      <c r="AA773" s="307"/>
      <c r="AB773" s="307"/>
    </row>
    <row r="774" spans="1:28" ht="17.399999999999999">
      <c r="A774" s="307"/>
      <c r="B774" s="307"/>
      <c r="C774" s="307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307"/>
      <c r="R774" s="307"/>
      <c r="S774" s="307"/>
      <c r="T774" s="307"/>
      <c r="U774" s="307"/>
      <c r="V774" s="307"/>
      <c r="W774" s="307"/>
      <c r="X774" s="141"/>
      <c r="Y774" s="307"/>
      <c r="Z774" s="307"/>
      <c r="AA774" s="307"/>
      <c r="AB774" s="307"/>
    </row>
    <row r="775" spans="1:28" ht="17.399999999999999">
      <c r="A775" s="307"/>
      <c r="B775" s="307"/>
      <c r="C775" s="307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307"/>
      <c r="R775" s="307"/>
      <c r="S775" s="307"/>
      <c r="T775" s="307"/>
      <c r="U775" s="307"/>
      <c r="V775" s="307"/>
      <c r="W775" s="307"/>
      <c r="X775" s="141"/>
      <c r="Y775" s="307"/>
      <c r="Z775" s="307"/>
      <c r="AA775" s="307"/>
      <c r="AB775" s="307"/>
    </row>
    <row r="776" spans="1:28" ht="17.399999999999999">
      <c r="A776" s="307"/>
      <c r="B776" s="307"/>
      <c r="C776" s="307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307"/>
      <c r="R776" s="307"/>
      <c r="S776" s="307"/>
      <c r="T776" s="307"/>
      <c r="U776" s="307"/>
      <c r="V776" s="307"/>
      <c r="W776" s="307"/>
      <c r="X776" s="141"/>
      <c r="Y776" s="307"/>
      <c r="Z776" s="307"/>
      <c r="AA776" s="307"/>
      <c r="AB776" s="307"/>
    </row>
    <row r="777" spans="1:28" ht="17.399999999999999">
      <c r="A777" s="307"/>
      <c r="B777" s="307"/>
      <c r="C777" s="307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307"/>
      <c r="R777" s="307"/>
      <c r="S777" s="307"/>
      <c r="T777" s="307"/>
      <c r="U777" s="307"/>
      <c r="V777" s="307"/>
      <c r="W777" s="307"/>
      <c r="X777" s="141"/>
      <c r="Y777" s="307"/>
      <c r="Z777" s="307"/>
      <c r="AA777" s="307"/>
      <c r="AB777" s="307"/>
    </row>
    <row r="778" spans="1:28" ht="17.399999999999999">
      <c r="A778" s="307"/>
      <c r="B778" s="307"/>
      <c r="C778" s="307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307"/>
      <c r="R778" s="307"/>
      <c r="S778" s="307"/>
      <c r="T778" s="307"/>
      <c r="U778" s="307"/>
      <c r="V778" s="307"/>
      <c r="W778" s="307"/>
      <c r="X778" s="141"/>
      <c r="Y778" s="307"/>
      <c r="Z778" s="307"/>
      <c r="AA778" s="307"/>
      <c r="AB778" s="307"/>
    </row>
    <row r="779" spans="1:28" ht="17.399999999999999">
      <c r="A779" s="307"/>
      <c r="B779" s="307"/>
      <c r="C779" s="307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307"/>
      <c r="R779" s="307"/>
      <c r="S779" s="307"/>
      <c r="T779" s="307"/>
      <c r="U779" s="307"/>
      <c r="V779" s="307"/>
      <c r="W779" s="307"/>
      <c r="X779" s="141"/>
      <c r="Y779" s="307"/>
      <c r="Z779" s="307"/>
      <c r="AA779" s="307"/>
      <c r="AB779" s="307"/>
    </row>
    <row r="780" spans="1:28" ht="17.399999999999999">
      <c r="A780" s="307"/>
      <c r="B780" s="307"/>
      <c r="C780" s="307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307"/>
      <c r="R780" s="307"/>
      <c r="S780" s="307"/>
      <c r="T780" s="307"/>
      <c r="U780" s="307"/>
      <c r="V780" s="307"/>
      <c r="W780" s="307"/>
      <c r="X780" s="141"/>
      <c r="Y780" s="307"/>
      <c r="Z780" s="307"/>
      <c r="AA780" s="307"/>
      <c r="AB780" s="307"/>
    </row>
    <row r="781" spans="1:28" ht="17.399999999999999">
      <c r="A781" s="307"/>
      <c r="B781" s="307"/>
      <c r="C781" s="307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307"/>
      <c r="R781" s="307"/>
      <c r="S781" s="307"/>
      <c r="T781" s="307"/>
      <c r="U781" s="307"/>
      <c r="V781" s="307"/>
      <c r="W781" s="307"/>
      <c r="X781" s="141"/>
      <c r="Y781" s="307"/>
      <c r="Z781" s="307"/>
      <c r="AA781" s="307"/>
      <c r="AB781" s="307"/>
    </row>
    <row r="782" spans="1:28" ht="17.399999999999999">
      <c r="A782" s="307"/>
      <c r="B782" s="307"/>
      <c r="C782" s="307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307"/>
      <c r="R782" s="307"/>
      <c r="S782" s="307"/>
      <c r="T782" s="307"/>
      <c r="U782" s="307"/>
      <c r="V782" s="307"/>
      <c r="W782" s="307"/>
      <c r="X782" s="141"/>
      <c r="Y782" s="307"/>
      <c r="Z782" s="307"/>
      <c r="AA782" s="307"/>
      <c r="AB782" s="307"/>
    </row>
    <row r="783" spans="1:28" ht="17.399999999999999">
      <c r="A783" s="307"/>
      <c r="B783" s="307"/>
      <c r="C783" s="307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307"/>
      <c r="R783" s="307"/>
      <c r="S783" s="307"/>
      <c r="T783" s="307"/>
      <c r="U783" s="307"/>
      <c r="V783" s="307"/>
      <c r="W783" s="307"/>
      <c r="X783" s="141"/>
      <c r="Y783" s="307"/>
      <c r="Z783" s="307"/>
      <c r="AA783" s="307"/>
      <c r="AB783" s="307"/>
    </row>
    <row r="784" spans="1:28" ht="17.399999999999999">
      <c r="A784" s="307"/>
      <c r="B784" s="307"/>
      <c r="C784" s="307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307"/>
      <c r="R784" s="307"/>
      <c r="S784" s="307"/>
      <c r="T784" s="307"/>
      <c r="U784" s="307"/>
      <c r="V784" s="307"/>
      <c r="W784" s="307"/>
      <c r="X784" s="141"/>
      <c r="Y784" s="307"/>
      <c r="Z784" s="307"/>
      <c r="AA784" s="307"/>
      <c r="AB784" s="307"/>
    </row>
    <row r="785" spans="1:28" ht="17.399999999999999">
      <c r="A785" s="307"/>
      <c r="B785" s="307"/>
      <c r="C785" s="307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307"/>
      <c r="R785" s="307"/>
      <c r="S785" s="307"/>
      <c r="T785" s="307"/>
      <c r="U785" s="307"/>
      <c r="V785" s="307"/>
      <c r="W785" s="307"/>
      <c r="X785" s="141"/>
      <c r="Y785" s="307"/>
      <c r="Z785" s="307"/>
      <c r="AA785" s="307"/>
      <c r="AB785" s="307"/>
    </row>
    <row r="786" spans="1:28" ht="17.399999999999999">
      <c r="A786" s="307"/>
      <c r="B786" s="307"/>
      <c r="C786" s="307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307"/>
      <c r="R786" s="307"/>
      <c r="S786" s="307"/>
      <c r="T786" s="307"/>
      <c r="U786" s="307"/>
      <c r="V786" s="307"/>
      <c r="W786" s="307"/>
      <c r="X786" s="141"/>
      <c r="Y786" s="307"/>
      <c r="Z786" s="307"/>
      <c r="AA786" s="307"/>
      <c r="AB786" s="307"/>
    </row>
    <row r="787" spans="1:28" ht="17.399999999999999">
      <c r="A787" s="307"/>
      <c r="B787" s="307"/>
      <c r="C787" s="307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307"/>
      <c r="R787" s="307"/>
      <c r="S787" s="307"/>
      <c r="T787" s="307"/>
      <c r="U787" s="307"/>
      <c r="V787" s="307"/>
      <c r="W787" s="307"/>
      <c r="X787" s="141"/>
      <c r="Y787" s="307"/>
      <c r="Z787" s="307"/>
      <c r="AA787" s="307"/>
      <c r="AB787" s="307"/>
    </row>
    <row r="788" spans="1:28" ht="17.399999999999999">
      <c r="A788" s="307"/>
      <c r="B788" s="307"/>
      <c r="C788" s="307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307"/>
      <c r="R788" s="307"/>
      <c r="S788" s="307"/>
      <c r="T788" s="307"/>
      <c r="U788" s="307"/>
      <c r="V788" s="307"/>
      <c r="W788" s="307"/>
      <c r="X788" s="141"/>
      <c r="Y788" s="307"/>
      <c r="Z788" s="307"/>
      <c r="AA788" s="307"/>
      <c r="AB788" s="307"/>
    </row>
    <row r="789" spans="1:28" ht="17.399999999999999">
      <c r="A789" s="307"/>
      <c r="B789" s="307"/>
      <c r="C789" s="307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307"/>
      <c r="R789" s="307"/>
      <c r="S789" s="307"/>
      <c r="T789" s="307"/>
      <c r="U789" s="307"/>
      <c r="V789" s="307"/>
      <c r="W789" s="307"/>
      <c r="X789" s="141"/>
      <c r="Y789" s="307"/>
      <c r="Z789" s="307"/>
      <c r="AA789" s="307"/>
      <c r="AB789" s="307"/>
    </row>
    <row r="790" spans="1:28" ht="17.399999999999999">
      <c r="A790" s="307"/>
      <c r="B790" s="307"/>
      <c r="C790" s="307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307"/>
      <c r="R790" s="307"/>
      <c r="S790" s="307"/>
      <c r="T790" s="307"/>
      <c r="U790" s="307"/>
      <c r="V790" s="307"/>
      <c r="W790" s="307"/>
      <c r="X790" s="141"/>
      <c r="Y790" s="307"/>
      <c r="Z790" s="307"/>
      <c r="AA790" s="307"/>
      <c r="AB790" s="307"/>
    </row>
    <row r="791" spans="1:28" ht="17.399999999999999">
      <c r="A791" s="307"/>
      <c r="B791" s="307"/>
      <c r="C791" s="307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307"/>
      <c r="R791" s="307"/>
      <c r="S791" s="307"/>
      <c r="T791" s="307"/>
      <c r="U791" s="307"/>
      <c r="V791" s="307"/>
      <c r="W791" s="307"/>
      <c r="X791" s="141"/>
      <c r="Y791" s="307"/>
      <c r="Z791" s="307"/>
      <c r="AA791" s="307"/>
      <c r="AB791" s="307"/>
    </row>
    <row r="792" spans="1:28" ht="17.399999999999999">
      <c r="A792" s="307"/>
      <c r="B792" s="307"/>
      <c r="C792" s="307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307"/>
      <c r="R792" s="307"/>
      <c r="S792" s="307"/>
      <c r="T792" s="307"/>
      <c r="U792" s="307"/>
      <c r="V792" s="307"/>
      <c r="W792" s="307"/>
      <c r="X792" s="141"/>
      <c r="Y792" s="307"/>
      <c r="Z792" s="307"/>
      <c r="AA792" s="307"/>
      <c r="AB792" s="307"/>
    </row>
    <row r="793" spans="1:28" ht="17.399999999999999">
      <c r="A793" s="307"/>
      <c r="B793" s="307"/>
      <c r="C793" s="307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307"/>
      <c r="R793" s="307"/>
      <c r="S793" s="307"/>
      <c r="T793" s="307"/>
      <c r="U793" s="307"/>
      <c r="V793" s="307"/>
      <c r="W793" s="307"/>
      <c r="X793" s="141"/>
      <c r="Y793" s="307"/>
      <c r="Z793" s="307"/>
      <c r="AA793" s="307"/>
      <c r="AB793" s="307"/>
    </row>
    <row r="794" spans="1:28" ht="17.399999999999999">
      <c r="A794" s="307"/>
      <c r="B794" s="307"/>
      <c r="C794" s="307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307"/>
      <c r="R794" s="307"/>
      <c r="S794" s="307"/>
      <c r="T794" s="307"/>
      <c r="U794" s="307"/>
      <c r="V794" s="307"/>
      <c r="W794" s="307"/>
      <c r="X794" s="141"/>
      <c r="Y794" s="307"/>
      <c r="Z794" s="307"/>
      <c r="AA794" s="307"/>
      <c r="AB794" s="307"/>
    </row>
    <row r="795" spans="1:28" ht="17.399999999999999">
      <c r="A795" s="307"/>
      <c r="B795" s="307"/>
      <c r="C795" s="307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307"/>
      <c r="R795" s="307"/>
      <c r="S795" s="307"/>
      <c r="T795" s="307"/>
      <c r="U795" s="307"/>
      <c r="V795" s="307"/>
      <c r="W795" s="307"/>
      <c r="X795" s="141"/>
      <c r="Y795" s="307"/>
      <c r="Z795" s="307"/>
      <c r="AA795" s="307"/>
      <c r="AB795" s="307"/>
    </row>
    <row r="796" spans="1:28" ht="17.399999999999999">
      <c r="A796" s="307"/>
      <c r="B796" s="307"/>
      <c r="C796" s="307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307"/>
      <c r="R796" s="307"/>
      <c r="S796" s="307"/>
      <c r="T796" s="307"/>
      <c r="U796" s="307"/>
      <c r="V796" s="307"/>
      <c r="W796" s="307"/>
      <c r="X796" s="141"/>
      <c r="Y796" s="307"/>
      <c r="Z796" s="307"/>
      <c r="AA796" s="307"/>
      <c r="AB796" s="307"/>
    </row>
    <row r="797" spans="1:28" ht="17.399999999999999">
      <c r="A797" s="307"/>
      <c r="B797" s="307"/>
      <c r="C797" s="307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307"/>
      <c r="R797" s="307"/>
      <c r="S797" s="307"/>
      <c r="T797" s="307"/>
      <c r="U797" s="307"/>
      <c r="V797" s="307"/>
      <c r="W797" s="307"/>
      <c r="X797" s="141"/>
      <c r="Y797" s="307"/>
      <c r="Z797" s="307"/>
      <c r="AA797" s="307"/>
      <c r="AB797" s="307"/>
    </row>
    <row r="798" spans="1:28" ht="17.399999999999999">
      <c r="A798" s="307"/>
      <c r="B798" s="307"/>
      <c r="C798" s="307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307"/>
      <c r="R798" s="307"/>
      <c r="S798" s="307"/>
      <c r="T798" s="307"/>
      <c r="U798" s="307"/>
      <c r="V798" s="307"/>
      <c r="W798" s="307"/>
      <c r="X798" s="141"/>
      <c r="Y798" s="307"/>
      <c r="Z798" s="307"/>
      <c r="AA798" s="307"/>
      <c r="AB798" s="307"/>
    </row>
    <row r="799" spans="1:28" ht="17.399999999999999">
      <c r="A799" s="307"/>
      <c r="B799" s="307"/>
      <c r="C799" s="307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307"/>
      <c r="R799" s="307"/>
      <c r="S799" s="307"/>
      <c r="T799" s="307"/>
      <c r="U799" s="307"/>
      <c r="V799" s="307"/>
      <c r="W799" s="307"/>
      <c r="X799" s="141"/>
      <c r="Y799" s="307"/>
      <c r="Z799" s="307"/>
      <c r="AA799" s="307"/>
      <c r="AB799" s="307"/>
    </row>
    <row r="800" spans="1:28" ht="17.399999999999999">
      <c r="A800" s="307"/>
      <c r="B800" s="307"/>
      <c r="C800" s="307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307"/>
      <c r="R800" s="307"/>
      <c r="S800" s="307"/>
      <c r="T800" s="307"/>
      <c r="U800" s="307"/>
      <c r="V800" s="307"/>
      <c r="W800" s="307"/>
      <c r="X800" s="141"/>
      <c r="Y800" s="307"/>
      <c r="Z800" s="307"/>
      <c r="AA800" s="307"/>
      <c r="AB800" s="307"/>
    </row>
    <row r="801" spans="1:28" ht="17.399999999999999">
      <c r="A801" s="307"/>
      <c r="B801" s="307"/>
      <c r="C801" s="307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307"/>
      <c r="R801" s="307"/>
      <c r="S801" s="307"/>
      <c r="T801" s="307"/>
      <c r="U801" s="307"/>
      <c r="V801" s="307"/>
      <c r="W801" s="307"/>
      <c r="X801" s="141"/>
      <c r="Y801" s="307"/>
      <c r="Z801" s="307"/>
      <c r="AA801" s="307"/>
      <c r="AB801" s="307"/>
    </row>
    <row r="802" spans="1:28" ht="17.399999999999999">
      <c r="A802" s="307"/>
      <c r="B802" s="307"/>
      <c r="C802" s="307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307"/>
      <c r="R802" s="307"/>
      <c r="S802" s="307"/>
      <c r="T802" s="307"/>
      <c r="U802" s="307"/>
      <c r="V802" s="307"/>
      <c r="W802" s="307"/>
      <c r="X802" s="141"/>
      <c r="Y802" s="307"/>
      <c r="Z802" s="307"/>
      <c r="AA802" s="307"/>
      <c r="AB802" s="307"/>
    </row>
    <row r="803" spans="1:28" ht="17.399999999999999">
      <c r="A803" s="307"/>
      <c r="B803" s="307"/>
      <c r="C803" s="307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307"/>
      <c r="R803" s="307"/>
      <c r="S803" s="307"/>
      <c r="T803" s="307"/>
      <c r="U803" s="307"/>
      <c r="V803" s="307"/>
      <c r="W803" s="307"/>
      <c r="X803" s="141"/>
      <c r="Y803" s="307"/>
      <c r="Z803" s="307"/>
      <c r="AA803" s="307"/>
      <c r="AB803" s="307"/>
    </row>
    <row r="804" spans="1:28" ht="17.399999999999999">
      <c r="A804" s="307"/>
      <c r="B804" s="307"/>
      <c r="C804" s="307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307"/>
      <c r="R804" s="307"/>
      <c r="S804" s="307"/>
      <c r="T804" s="307"/>
      <c r="U804" s="307"/>
      <c r="V804" s="307"/>
      <c r="W804" s="307"/>
      <c r="X804" s="141"/>
      <c r="Y804" s="307"/>
      <c r="Z804" s="307"/>
      <c r="AA804" s="307"/>
      <c r="AB804" s="307"/>
    </row>
    <row r="805" spans="1:28" ht="17.399999999999999">
      <c r="A805" s="307"/>
      <c r="B805" s="307"/>
      <c r="C805" s="307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307"/>
      <c r="R805" s="307"/>
      <c r="S805" s="307"/>
      <c r="T805" s="307"/>
      <c r="U805" s="307"/>
      <c r="V805" s="307"/>
      <c r="W805" s="307"/>
      <c r="X805" s="141"/>
      <c r="Y805" s="307"/>
      <c r="Z805" s="307"/>
      <c r="AA805" s="307"/>
      <c r="AB805" s="307"/>
    </row>
    <row r="806" spans="1:28" ht="17.399999999999999">
      <c r="A806" s="307"/>
      <c r="B806" s="307"/>
      <c r="C806" s="307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307"/>
      <c r="R806" s="307"/>
      <c r="S806" s="307"/>
      <c r="T806" s="307"/>
      <c r="U806" s="307"/>
      <c r="V806" s="307"/>
      <c r="W806" s="307"/>
      <c r="X806" s="141"/>
      <c r="Y806" s="307"/>
      <c r="Z806" s="307"/>
      <c r="AA806" s="307"/>
      <c r="AB806" s="307"/>
    </row>
    <row r="807" spans="1:28" ht="17.399999999999999">
      <c r="A807" s="307"/>
      <c r="B807" s="307"/>
      <c r="C807" s="307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307"/>
      <c r="R807" s="307"/>
      <c r="S807" s="307"/>
      <c r="T807" s="307"/>
      <c r="U807" s="307"/>
      <c r="V807" s="307"/>
      <c r="W807" s="307"/>
      <c r="X807" s="141"/>
      <c r="Y807" s="307"/>
      <c r="Z807" s="307"/>
      <c r="AA807" s="307"/>
      <c r="AB807" s="307"/>
    </row>
    <row r="808" spans="1:28" ht="17.399999999999999">
      <c r="A808" s="307"/>
      <c r="B808" s="307"/>
      <c r="C808" s="307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307"/>
      <c r="R808" s="307"/>
      <c r="S808" s="307"/>
      <c r="T808" s="307"/>
      <c r="U808" s="307"/>
      <c r="V808" s="307"/>
      <c r="W808" s="307"/>
      <c r="X808" s="141"/>
      <c r="Y808" s="307"/>
      <c r="Z808" s="307"/>
      <c r="AA808" s="307"/>
      <c r="AB808" s="307"/>
    </row>
    <row r="809" spans="1:28" ht="17.399999999999999">
      <c r="A809" s="307"/>
      <c r="B809" s="307"/>
      <c r="C809" s="307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307"/>
      <c r="R809" s="307"/>
      <c r="S809" s="307"/>
      <c r="T809" s="307"/>
      <c r="U809" s="307"/>
      <c r="V809" s="307"/>
      <c r="W809" s="307"/>
      <c r="X809" s="141"/>
      <c r="Y809" s="307"/>
      <c r="Z809" s="307"/>
      <c r="AA809" s="307"/>
      <c r="AB809" s="307"/>
    </row>
    <row r="810" spans="1:28" ht="17.399999999999999">
      <c r="A810" s="307"/>
      <c r="B810" s="307"/>
      <c r="C810" s="307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307"/>
      <c r="R810" s="307"/>
      <c r="S810" s="307"/>
      <c r="T810" s="307"/>
      <c r="U810" s="307"/>
      <c r="V810" s="307"/>
      <c r="W810" s="307"/>
      <c r="X810" s="141"/>
      <c r="Y810" s="307"/>
      <c r="Z810" s="307"/>
      <c r="AA810" s="307"/>
      <c r="AB810" s="307"/>
    </row>
    <row r="811" spans="1:28" ht="17.399999999999999">
      <c r="A811" s="307"/>
      <c r="B811" s="307"/>
      <c r="C811" s="307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307"/>
      <c r="R811" s="307"/>
      <c r="S811" s="307"/>
      <c r="T811" s="307"/>
      <c r="U811" s="307"/>
      <c r="V811" s="307"/>
      <c r="W811" s="307"/>
      <c r="X811" s="141"/>
      <c r="Y811" s="307"/>
      <c r="Z811" s="307"/>
      <c r="AA811" s="307"/>
      <c r="AB811" s="307"/>
    </row>
    <row r="812" spans="1:28" ht="17.399999999999999">
      <c r="A812" s="307"/>
      <c r="B812" s="307"/>
      <c r="C812" s="307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307"/>
      <c r="R812" s="307"/>
      <c r="S812" s="307"/>
      <c r="T812" s="307"/>
      <c r="U812" s="307"/>
      <c r="V812" s="307"/>
      <c r="W812" s="307"/>
      <c r="X812" s="141"/>
      <c r="Y812" s="307"/>
      <c r="Z812" s="307"/>
      <c r="AA812" s="307"/>
      <c r="AB812" s="307"/>
    </row>
    <row r="813" spans="1:28" ht="17.399999999999999">
      <c r="A813" s="307"/>
      <c r="B813" s="307"/>
      <c r="C813" s="307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307"/>
      <c r="R813" s="307"/>
      <c r="S813" s="307"/>
      <c r="T813" s="307"/>
      <c r="U813" s="307"/>
      <c r="V813" s="307"/>
      <c r="W813" s="307"/>
      <c r="X813" s="141"/>
      <c r="Y813" s="307"/>
      <c r="Z813" s="307"/>
      <c r="AA813" s="307"/>
      <c r="AB813" s="307"/>
    </row>
    <row r="814" spans="1:28" ht="17.399999999999999">
      <c r="A814" s="307"/>
      <c r="B814" s="307"/>
      <c r="C814" s="307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307"/>
      <c r="R814" s="307"/>
      <c r="S814" s="307"/>
      <c r="T814" s="307"/>
      <c r="U814" s="307"/>
      <c r="V814" s="307"/>
      <c r="W814" s="307"/>
      <c r="X814" s="141"/>
      <c r="Y814" s="307"/>
      <c r="Z814" s="307"/>
      <c r="AA814" s="307"/>
      <c r="AB814" s="307"/>
    </row>
    <row r="815" spans="1:28" ht="17.399999999999999">
      <c r="A815" s="307"/>
      <c r="B815" s="307"/>
      <c r="C815" s="307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307"/>
      <c r="R815" s="307"/>
      <c r="S815" s="307"/>
      <c r="T815" s="307"/>
      <c r="U815" s="307"/>
      <c r="V815" s="307"/>
      <c r="W815" s="307"/>
      <c r="X815" s="141"/>
      <c r="Y815" s="307"/>
      <c r="Z815" s="307"/>
      <c r="AA815" s="307"/>
      <c r="AB815" s="307"/>
    </row>
    <row r="816" spans="1:28" ht="17.399999999999999">
      <c r="A816" s="307"/>
      <c r="B816" s="307"/>
      <c r="C816" s="307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307"/>
      <c r="R816" s="307"/>
      <c r="S816" s="307"/>
      <c r="T816" s="307"/>
      <c r="U816" s="307"/>
      <c r="V816" s="307"/>
      <c r="W816" s="307"/>
      <c r="X816" s="141"/>
      <c r="Y816" s="307"/>
      <c r="Z816" s="307"/>
      <c r="AA816" s="307"/>
      <c r="AB816" s="307"/>
    </row>
    <row r="817" spans="1:28" ht="17.399999999999999">
      <c r="A817" s="307"/>
      <c r="B817" s="307"/>
      <c r="C817" s="307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307"/>
      <c r="R817" s="307"/>
      <c r="S817" s="307"/>
      <c r="T817" s="307"/>
      <c r="U817" s="307"/>
      <c r="V817" s="307"/>
      <c r="W817" s="307"/>
      <c r="X817" s="141"/>
      <c r="Y817" s="307"/>
      <c r="Z817" s="307"/>
      <c r="AA817" s="307"/>
      <c r="AB817" s="307"/>
    </row>
    <row r="818" spans="1:28" ht="17.399999999999999">
      <c r="A818" s="307"/>
      <c r="B818" s="307"/>
      <c r="C818" s="307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307"/>
      <c r="R818" s="307"/>
      <c r="S818" s="307"/>
      <c r="T818" s="307"/>
      <c r="U818" s="307"/>
      <c r="V818" s="307"/>
      <c r="W818" s="307"/>
      <c r="X818" s="141"/>
      <c r="Y818" s="307"/>
      <c r="Z818" s="307"/>
      <c r="AA818" s="307"/>
      <c r="AB818" s="307"/>
    </row>
    <row r="819" spans="1:28" ht="17.399999999999999">
      <c r="A819" s="307"/>
      <c r="B819" s="307"/>
      <c r="C819" s="307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307"/>
      <c r="R819" s="307"/>
      <c r="S819" s="307"/>
      <c r="T819" s="307"/>
      <c r="U819" s="307"/>
      <c r="V819" s="307"/>
      <c r="W819" s="307"/>
      <c r="X819" s="141"/>
      <c r="Y819" s="307"/>
      <c r="Z819" s="307"/>
      <c r="AA819" s="307"/>
      <c r="AB819" s="307"/>
    </row>
    <row r="820" spans="1:28" ht="17.399999999999999">
      <c r="A820" s="307"/>
      <c r="B820" s="307"/>
      <c r="C820" s="307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307"/>
      <c r="R820" s="307"/>
      <c r="S820" s="307"/>
      <c r="T820" s="307"/>
      <c r="U820" s="307"/>
      <c r="V820" s="307"/>
      <c r="W820" s="307"/>
      <c r="X820" s="141"/>
      <c r="Y820" s="307"/>
      <c r="Z820" s="307"/>
      <c r="AA820" s="307"/>
      <c r="AB820" s="307"/>
    </row>
    <row r="821" spans="1:28" ht="17.399999999999999">
      <c r="A821" s="307"/>
      <c r="B821" s="307"/>
      <c r="C821" s="307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307"/>
      <c r="R821" s="307"/>
      <c r="S821" s="307"/>
      <c r="T821" s="307"/>
      <c r="U821" s="307"/>
      <c r="V821" s="307"/>
      <c r="W821" s="307"/>
      <c r="X821" s="141"/>
      <c r="Y821" s="307"/>
      <c r="Z821" s="307"/>
      <c r="AA821" s="307"/>
      <c r="AB821" s="307"/>
    </row>
    <row r="822" spans="1:28" ht="17.399999999999999">
      <c r="A822" s="307"/>
      <c r="B822" s="307"/>
      <c r="C822" s="307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307"/>
      <c r="R822" s="307"/>
      <c r="S822" s="307"/>
      <c r="T822" s="307"/>
      <c r="U822" s="307"/>
      <c r="V822" s="307"/>
      <c r="W822" s="307"/>
      <c r="X822" s="141"/>
      <c r="Y822" s="307"/>
      <c r="Z822" s="307"/>
      <c r="AA822" s="307"/>
      <c r="AB822" s="307"/>
    </row>
    <row r="823" spans="1:28" ht="17.399999999999999">
      <c r="A823" s="307"/>
      <c r="B823" s="307"/>
      <c r="C823" s="307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307"/>
      <c r="R823" s="307"/>
      <c r="S823" s="307"/>
      <c r="T823" s="307"/>
      <c r="U823" s="307"/>
      <c r="V823" s="307"/>
      <c r="W823" s="307"/>
      <c r="X823" s="141"/>
      <c r="Y823" s="307"/>
      <c r="Z823" s="307"/>
      <c r="AA823" s="307"/>
      <c r="AB823" s="307"/>
    </row>
    <row r="824" spans="1:28" ht="17.399999999999999">
      <c r="A824" s="307"/>
      <c r="B824" s="307"/>
      <c r="C824" s="307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307"/>
      <c r="R824" s="307"/>
      <c r="S824" s="307"/>
      <c r="T824" s="307"/>
      <c r="U824" s="307"/>
      <c r="V824" s="307"/>
      <c r="W824" s="307"/>
      <c r="X824" s="141"/>
      <c r="Y824" s="307"/>
      <c r="Z824" s="307"/>
      <c r="AA824" s="307"/>
      <c r="AB824" s="307"/>
    </row>
    <row r="825" spans="1:28" ht="17.399999999999999">
      <c r="A825" s="307"/>
      <c r="B825" s="307"/>
      <c r="C825" s="307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307"/>
      <c r="R825" s="307"/>
      <c r="S825" s="307"/>
      <c r="T825" s="307"/>
      <c r="U825" s="307"/>
      <c r="V825" s="307"/>
      <c r="W825" s="307"/>
      <c r="X825" s="141"/>
      <c r="Y825" s="307"/>
      <c r="Z825" s="307"/>
      <c r="AA825" s="307"/>
      <c r="AB825" s="307"/>
    </row>
    <row r="826" spans="1:28" ht="17.399999999999999">
      <c r="A826" s="307"/>
      <c r="B826" s="307"/>
      <c r="C826" s="307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307"/>
      <c r="R826" s="307"/>
      <c r="S826" s="307"/>
      <c r="T826" s="307"/>
      <c r="U826" s="307"/>
      <c r="V826" s="307"/>
      <c r="W826" s="307"/>
      <c r="X826" s="141"/>
      <c r="Y826" s="307"/>
      <c r="Z826" s="307"/>
      <c r="AA826" s="307"/>
      <c r="AB826" s="307"/>
    </row>
    <row r="827" spans="1:28" ht="17.399999999999999">
      <c r="A827" s="307"/>
      <c r="B827" s="307"/>
      <c r="C827" s="307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307"/>
      <c r="R827" s="307"/>
      <c r="S827" s="307"/>
      <c r="T827" s="307"/>
      <c r="U827" s="307"/>
      <c r="V827" s="307"/>
      <c r="W827" s="307"/>
      <c r="X827" s="141"/>
      <c r="Y827" s="307"/>
      <c r="Z827" s="307"/>
      <c r="AA827" s="307"/>
      <c r="AB827" s="307"/>
    </row>
    <row r="828" spans="1:28" ht="17.399999999999999">
      <c r="A828" s="307"/>
      <c r="B828" s="307"/>
      <c r="C828" s="307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307"/>
      <c r="R828" s="307"/>
      <c r="S828" s="307"/>
      <c r="T828" s="307"/>
      <c r="U828" s="307"/>
      <c r="V828" s="307"/>
      <c r="W828" s="307"/>
      <c r="X828" s="141"/>
      <c r="Y828" s="307"/>
      <c r="Z828" s="307"/>
      <c r="AA828" s="307"/>
      <c r="AB828" s="307"/>
    </row>
    <row r="829" spans="1:28" ht="17.399999999999999">
      <c r="A829" s="307"/>
      <c r="B829" s="307"/>
      <c r="C829" s="307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307"/>
      <c r="R829" s="307"/>
      <c r="S829" s="307"/>
      <c r="T829" s="307"/>
      <c r="U829" s="307"/>
      <c r="V829" s="307"/>
      <c r="W829" s="307"/>
      <c r="X829" s="141"/>
      <c r="Y829" s="307"/>
      <c r="Z829" s="307"/>
      <c r="AA829" s="307"/>
      <c r="AB829" s="307"/>
    </row>
    <row r="830" spans="1:28" ht="17.399999999999999">
      <c r="A830" s="307"/>
      <c r="B830" s="307"/>
      <c r="C830" s="307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307"/>
      <c r="R830" s="307"/>
      <c r="S830" s="307"/>
      <c r="T830" s="307"/>
      <c r="U830" s="307"/>
      <c r="V830" s="307"/>
      <c r="W830" s="307"/>
      <c r="X830" s="141"/>
      <c r="Y830" s="307"/>
      <c r="Z830" s="307"/>
      <c r="AA830" s="307"/>
      <c r="AB830" s="307"/>
    </row>
    <row r="831" spans="1:28" ht="17.399999999999999">
      <c r="A831" s="307"/>
      <c r="B831" s="307"/>
      <c r="C831" s="307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307"/>
      <c r="R831" s="307"/>
      <c r="S831" s="307"/>
      <c r="T831" s="307"/>
      <c r="U831" s="307"/>
      <c r="V831" s="307"/>
      <c r="W831" s="307"/>
      <c r="X831" s="141"/>
      <c r="Y831" s="307"/>
      <c r="Z831" s="307"/>
      <c r="AA831" s="307"/>
      <c r="AB831" s="307"/>
    </row>
    <row r="832" spans="1:28" ht="17.399999999999999">
      <c r="A832" s="307"/>
      <c r="B832" s="307"/>
      <c r="C832" s="307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307"/>
      <c r="R832" s="307"/>
      <c r="S832" s="307"/>
      <c r="T832" s="307"/>
      <c r="U832" s="307"/>
      <c r="V832" s="307"/>
      <c r="W832" s="307"/>
      <c r="X832" s="141"/>
      <c r="Y832" s="307"/>
      <c r="Z832" s="307"/>
      <c r="AA832" s="307"/>
      <c r="AB832" s="307"/>
    </row>
    <row r="833" spans="1:28" ht="17.399999999999999">
      <c r="A833" s="307"/>
      <c r="B833" s="307"/>
      <c r="C833" s="307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307"/>
      <c r="R833" s="307"/>
      <c r="S833" s="307"/>
      <c r="T833" s="307"/>
      <c r="U833" s="307"/>
      <c r="V833" s="307"/>
      <c r="W833" s="307"/>
      <c r="X833" s="141"/>
      <c r="Y833" s="307"/>
      <c r="Z833" s="307"/>
      <c r="AA833" s="307"/>
      <c r="AB833" s="307"/>
    </row>
    <row r="834" spans="1:28" ht="17.399999999999999">
      <c r="A834" s="307"/>
      <c r="B834" s="307"/>
      <c r="C834" s="307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307"/>
      <c r="R834" s="307"/>
      <c r="S834" s="307"/>
      <c r="T834" s="307"/>
      <c r="U834" s="307"/>
      <c r="V834" s="307"/>
      <c r="W834" s="307"/>
      <c r="X834" s="141"/>
      <c r="Y834" s="307"/>
      <c r="Z834" s="307"/>
      <c r="AA834" s="307"/>
      <c r="AB834" s="307"/>
    </row>
    <row r="835" spans="1:28" ht="17.399999999999999">
      <c r="A835" s="307"/>
      <c r="B835" s="307"/>
      <c r="C835" s="307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307"/>
      <c r="R835" s="307"/>
      <c r="S835" s="307"/>
      <c r="T835" s="307"/>
      <c r="U835" s="307"/>
      <c r="V835" s="307"/>
      <c r="W835" s="307"/>
      <c r="X835" s="141"/>
      <c r="Y835" s="307"/>
      <c r="Z835" s="307"/>
      <c r="AA835" s="307"/>
      <c r="AB835" s="307"/>
    </row>
    <row r="836" spans="1:28" ht="17.399999999999999">
      <c r="A836" s="307"/>
      <c r="B836" s="307"/>
      <c r="C836" s="307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307"/>
      <c r="R836" s="307"/>
      <c r="S836" s="307"/>
      <c r="T836" s="307"/>
      <c r="U836" s="307"/>
      <c r="V836" s="307"/>
      <c r="W836" s="307"/>
      <c r="X836" s="141"/>
      <c r="Y836" s="307"/>
      <c r="Z836" s="307"/>
      <c r="AA836" s="307"/>
      <c r="AB836" s="307"/>
    </row>
    <row r="837" spans="1:28" ht="17.399999999999999">
      <c r="A837" s="307"/>
      <c r="B837" s="307"/>
      <c r="C837" s="307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307"/>
      <c r="R837" s="307"/>
      <c r="S837" s="307"/>
      <c r="T837" s="307"/>
      <c r="U837" s="307"/>
      <c r="V837" s="307"/>
      <c r="W837" s="307"/>
      <c r="X837" s="141"/>
      <c r="Y837" s="307"/>
      <c r="Z837" s="307"/>
      <c r="AA837" s="307"/>
      <c r="AB837" s="307"/>
    </row>
    <row r="838" spans="1:28" ht="17.399999999999999">
      <c r="A838" s="307"/>
      <c r="B838" s="307"/>
      <c r="C838" s="307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307"/>
      <c r="R838" s="307"/>
      <c r="S838" s="307"/>
      <c r="T838" s="307"/>
      <c r="U838" s="307"/>
      <c r="V838" s="307"/>
      <c r="W838" s="307"/>
      <c r="X838" s="141"/>
      <c r="Y838" s="307"/>
      <c r="Z838" s="307"/>
      <c r="AA838" s="307"/>
      <c r="AB838" s="307"/>
    </row>
    <row r="839" spans="1:28" ht="17.399999999999999">
      <c r="A839" s="307"/>
      <c r="B839" s="307"/>
      <c r="C839" s="307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307"/>
      <c r="R839" s="307"/>
      <c r="S839" s="307"/>
      <c r="T839" s="307"/>
      <c r="U839" s="307"/>
      <c r="V839" s="307"/>
      <c r="W839" s="307"/>
      <c r="X839" s="141"/>
      <c r="Y839" s="307"/>
      <c r="Z839" s="307"/>
      <c r="AA839" s="307"/>
      <c r="AB839" s="307"/>
    </row>
    <row r="840" spans="1:28" ht="17.399999999999999">
      <c r="A840" s="307"/>
      <c r="B840" s="307"/>
      <c r="C840" s="307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307"/>
      <c r="R840" s="307"/>
      <c r="S840" s="307"/>
      <c r="T840" s="307"/>
      <c r="U840" s="307"/>
      <c r="V840" s="307"/>
      <c r="W840" s="307"/>
      <c r="X840" s="141"/>
      <c r="Y840" s="307"/>
      <c r="Z840" s="307"/>
      <c r="AA840" s="307"/>
      <c r="AB840" s="307"/>
    </row>
    <row r="841" spans="1:28" ht="17.399999999999999">
      <c r="A841" s="307"/>
      <c r="B841" s="307"/>
      <c r="C841" s="307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307"/>
      <c r="R841" s="307"/>
      <c r="S841" s="307"/>
      <c r="T841" s="307"/>
      <c r="U841" s="307"/>
      <c r="V841" s="307"/>
      <c r="W841" s="307"/>
      <c r="X841" s="141"/>
      <c r="Y841" s="307"/>
      <c r="Z841" s="307"/>
      <c r="AA841" s="307"/>
      <c r="AB841" s="307"/>
    </row>
    <row r="842" spans="1:28" ht="17.399999999999999">
      <c r="A842" s="307"/>
      <c r="B842" s="307"/>
      <c r="C842" s="307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307"/>
      <c r="R842" s="307"/>
      <c r="S842" s="307"/>
      <c r="T842" s="307"/>
      <c r="U842" s="307"/>
      <c r="V842" s="307"/>
      <c r="W842" s="307"/>
      <c r="X842" s="141"/>
      <c r="Y842" s="307"/>
      <c r="Z842" s="307"/>
      <c r="AA842" s="307"/>
      <c r="AB842" s="307"/>
    </row>
    <row r="843" spans="1:28" ht="17.399999999999999">
      <c r="A843" s="307"/>
      <c r="B843" s="307"/>
      <c r="C843" s="307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307"/>
      <c r="R843" s="307"/>
      <c r="S843" s="307"/>
      <c r="T843" s="307"/>
      <c r="U843" s="307"/>
      <c r="V843" s="307"/>
      <c r="W843" s="307"/>
      <c r="X843" s="141"/>
      <c r="Y843" s="307"/>
      <c r="Z843" s="307"/>
      <c r="AA843" s="307"/>
      <c r="AB843" s="307"/>
    </row>
    <row r="844" spans="1:28" ht="17.399999999999999">
      <c r="A844" s="307"/>
      <c r="B844" s="307"/>
      <c r="C844" s="307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307"/>
      <c r="R844" s="307"/>
      <c r="S844" s="307"/>
      <c r="T844" s="307"/>
      <c r="U844" s="307"/>
      <c r="V844" s="307"/>
      <c r="W844" s="307"/>
      <c r="X844" s="141"/>
      <c r="Y844" s="307"/>
      <c r="Z844" s="307"/>
      <c r="AA844" s="307"/>
      <c r="AB844" s="307"/>
    </row>
    <row r="845" spans="1:28" ht="17.399999999999999">
      <c r="A845" s="307"/>
      <c r="B845" s="307"/>
      <c r="C845" s="307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307"/>
      <c r="R845" s="307"/>
      <c r="S845" s="307"/>
      <c r="T845" s="307"/>
      <c r="U845" s="307"/>
      <c r="V845" s="307"/>
      <c r="W845" s="307"/>
      <c r="X845" s="141"/>
      <c r="Y845" s="307"/>
      <c r="Z845" s="307"/>
      <c r="AA845" s="307"/>
      <c r="AB845" s="307"/>
    </row>
    <row r="846" spans="1:28" ht="17.399999999999999">
      <c r="A846" s="307"/>
      <c r="B846" s="307"/>
      <c r="C846" s="307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307"/>
      <c r="R846" s="307"/>
      <c r="S846" s="307"/>
      <c r="T846" s="307"/>
      <c r="U846" s="307"/>
      <c r="V846" s="307"/>
      <c r="W846" s="307"/>
      <c r="X846" s="141"/>
      <c r="Y846" s="307"/>
      <c r="Z846" s="307"/>
      <c r="AA846" s="307"/>
      <c r="AB846" s="307"/>
    </row>
    <row r="847" spans="1:28" ht="17.399999999999999">
      <c r="A847" s="307"/>
      <c r="B847" s="307"/>
      <c r="C847" s="307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307"/>
      <c r="R847" s="307"/>
      <c r="S847" s="307"/>
      <c r="T847" s="307"/>
      <c r="U847" s="307"/>
      <c r="V847" s="307"/>
      <c r="W847" s="307"/>
      <c r="X847" s="141"/>
      <c r="Y847" s="307"/>
      <c r="Z847" s="307"/>
      <c r="AA847" s="307"/>
      <c r="AB847" s="307"/>
    </row>
    <row r="848" spans="1:28" ht="17.399999999999999">
      <c r="A848" s="307"/>
      <c r="B848" s="307"/>
      <c r="C848" s="307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307"/>
      <c r="R848" s="307"/>
      <c r="S848" s="307"/>
      <c r="T848" s="307"/>
      <c r="U848" s="307"/>
      <c r="V848" s="307"/>
      <c r="W848" s="307"/>
      <c r="X848" s="141"/>
      <c r="Y848" s="307"/>
      <c r="Z848" s="307"/>
      <c r="AA848" s="307"/>
      <c r="AB848" s="307"/>
    </row>
    <row r="849" spans="1:28" ht="17.399999999999999">
      <c r="A849" s="307"/>
      <c r="B849" s="307"/>
      <c r="C849" s="307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307"/>
      <c r="R849" s="307"/>
      <c r="S849" s="307"/>
      <c r="T849" s="307"/>
      <c r="U849" s="307"/>
      <c r="V849" s="307"/>
      <c r="W849" s="307"/>
      <c r="X849" s="141"/>
      <c r="Y849" s="307"/>
      <c r="Z849" s="307"/>
      <c r="AA849" s="307"/>
      <c r="AB849" s="307"/>
    </row>
    <row r="850" spans="1:28" ht="17.399999999999999">
      <c r="A850" s="307"/>
      <c r="B850" s="307"/>
      <c r="C850" s="307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307"/>
      <c r="R850" s="307"/>
      <c r="S850" s="307"/>
      <c r="T850" s="307"/>
      <c r="U850" s="307"/>
      <c r="V850" s="307"/>
      <c r="W850" s="307"/>
      <c r="X850" s="141"/>
      <c r="Y850" s="307"/>
      <c r="Z850" s="307"/>
      <c r="AA850" s="307"/>
      <c r="AB850" s="307"/>
    </row>
    <row r="851" spans="1:28" ht="17.399999999999999">
      <c r="A851" s="307"/>
      <c r="B851" s="307"/>
      <c r="C851" s="307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307"/>
      <c r="R851" s="307"/>
      <c r="S851" s="307"/>
      <c r="T851" s="307"/>
      <c r="U851" s="307"/>
      <c r="V851" s="307"/>
      <c r="W851" s="307"/>
      <c r="X851" s="141"/>
      <c r="Y851" s="307"/>
      <c r="Z851" s="307"/>
      <c r="AA851" s="307"/>
      <c r="AB851" s="307"/>
    </row>
    <row r="852" spans="1:28" ht="17.399999999999999">
      <c r="A852" s="307"/>
      <c r="B852" s="307"/>
      <c r="C852" s="307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307"/>
      <c r="R852" s="307"/>
      <c r="S852" s="307"/>
      <c r="T852" s="307"/>
      <c r="U852" s="307"/>
      <c r="V852" s="307"/>
      <c r="W852" s="307"/>
      <c r="X852" s="141"/>
      <c r="Y852" s="307"/>
      <c r="Z852" s="307"/>
      <c r="AA852" s="307"/>
      <c r="AB852" s="307"/>
    </row>
    <row r="853" spans="1:28" ht="17.399999999999999">
      <c r="A853" s="307"/>
      <c r="B853" s="307"/>
      <c r="C853" s="307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307"/>
      <c r="R853" s="307"/>
      <c r="S853" s="307"/>
      <c r="T853" s="307"/>
      <c r="U853" s="307"/>
      <c r="V853" s="307"/>
      <c r="W853" s="307"/>
      <c r="X853" s="141"/>
      <c r="Y853" s="307"/>
      <c r="Z853" s="307"/>
      <c r="AA853" s="307"/>
      <c r="AB853" s="307"/>
    </row>
    <row r="854" spans="1:28" ht="17.399999999999999">
      <c r="A854" s="307"/>
      <c r="B854" s="307"/>
      <c r="C854" s="307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307"/>
      <c r="R854" s="307"/>
      <c r="S854" s="307"/>
      <c r="T854" s="307"/>
      <c r="U854" s="307"/>
      <c r="V854" s="307"/>
      <c r="W854" s="307"/>
      <c r="X854" s="141"/>
      <c r="Y854" s="307"/>
      <c r="Z854" s="307"/>
      <c r="AA854" s="307"/>
      <c r="AB854" s="307"/>
    </row>
    <row r="855" spans="1:28" ht="17.399999999999999">
      <c r="A855" s="307"/>
      <c r="B855" s="307"/>
      <c r="C855" s="307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307"/>
      <c r="R855" s="307"/>
      <c r="S855" s="307"/>
      <c r="T855" s="307"/>
      <c r="U855" s="307"/>
      <c r="V855" s="307"/>
      <c r="W855" s="307"/>
      <c r="X855" s="141"/>
      <c r="Y855" s="307"/>
      <c r="Z855" s="307"/>
      <c r="AA855" s="307"/>
      <c r="AB855" s="307"/>
    </row>
    <row r="856" spans="1:28" ht="17.399999999999999">
      <c r="A856" s="307"/>
      <c r="B856" s="307"/>
      <c r="C856" s="307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307"/>
      <c r="R856" s="307"/>
      <c r="S856" s="307"/>
      <c r="T856" s="307"/>
      <c r="U856" s="307"/>
      <c r="V856" s="307"/>
      <c r="W856" s="307"/>
      <c r="X856" s="141"/>
      <c r="Y856" s="307"/>
      <c r="Z856" s="307"/>
      <c r="AA856" s="307"/>
      <c r="AB856" s="307"/>
    </row>
    <row r="857" spans="1:28" ht="17.399999999999999">
      <c r="A857" s="307"/>
      <c r="B857" s="307"/>
      <c r="C857" s="307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307"/>
      <c r="R857" s="307"/>
      <c r="S857" s="307"/>
      <c r="T857" s="307"/>
      <c r="U857" s="307"/>
      <c r="V857" s="307"/>
      <c r="W857" s="307"/>
      <c r="X857" s="141"/>
      <c r="Y857" s="307"/>
      <c r="Z857" s="307"/>
      <c r="AA857" s="307"/>
      <c r="AB857" s="307"/>
    </row>
    <row r="858" spans="1:28" ht="17.399999999999999">
      <c r="A858" s="307"/>
      <c r="B858" s="307"/>
      <c r="C858" s="307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307"/>
      <c r="R858" s="307"/>
      <c r="S858" s="307"/>
      <c r="T858" s="307"/>
      <c r="U858" s="307"/>
      <c r="V858" s="307"/>
      <c r="W858" s="307"/>
      <c r="X858" s="141"/>
      <c r="Y858" s="307"/>
      <c r="Z858" s="307"/>
      <c r="AA858" s="307"/>
      <c r="AB858" s="307"/>
    </row>
    <row r="859" spans="1:28" ht="17.399999999999999">
      <c r="A859" s="307"/>
      <c r="B859" s="307"/>
      <c r="C859" s="307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307"/>
      <c r="R859" s="307"/>
      <c r="S859" s="307"/>
      <c r="T859" s="307"/>
      <c r="U859" s="307"/>
      <c r="V859" s="307"/>
      <c r="W859" s="307"/>
      <c r="X859" s="141"/>
      <c r="Y859" s="307"/>
      <c r="Z859" s="307"/>
      <c r="AA859" s="307"/>
      <c r="AB859" s="307"/>
    </row>
    <row r="860" spans="1:28" ht="17.399999999999999">
      <c r="A860" s="307"/>
      <c r="B860" s="307"/>
      <c r="C860" s="307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307"/>
      <c r="R860" s="307"/>
      <c r="S860" s="307"/>
      <c r="T860" s="307"/>
      <c r="U860" s="307"/>
      <c r="V860" s="307"/>
      <c r="W860" s="307"/>
      <c r="X860" s="141"/>
      <c r="Y860" s="307"/>
      <c r="Z860" s="307"/>
      <c r="AA860" s="307"/>
      <c r="AB860" s="307"/>
    </row>
    <row r="861" spans="1:28" ht="17.399999999999999">
      <c r="A861" s="307"/>
      <c r="B861" s="307"/>
      <c r="C861" s="307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307"/>
      <c r="R861" s="307"/>
      <c r="S861" s="307"/>
      <c r="T861" s="307"/>
      <c r="U861" s="307"/>
      <c r="V861" s="307"/>
      <c r="W861" s="307"/>
      <c r="X861" s="141"/>
      <c r="Y861" s="307"/>
      <c r="Z861" s="307"/>
      <c r="AA861" s="307"/>
      <c r="AB861" s="307"/>
    </row>
    <row r="862" spans="1:28" ht="17.399999999999999">
      <c r="A862" s="307"/>
      <c r="B862" s="307"/>
      <c r="C862" s="307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307"/>
      <c r="R862" s="307"/>
      <c r="S862" s="307"/>
      <c r="T862" s="307"/>
      <c r="U862" s="307"/>
      <c r="V862" s="307"/>
      <c r="W862" s="307"/>
      <c r="X862" s="141"/>
      <c r="Y862" s="307"/>
      <c r="Z862" s="307"/>
      <c r="AA862" s="307"/>
      <c r="AB862" s="307"/>
    </row>
    <row r="863" spans="1:28" ht="17.399999999999999">
      <c r="A863" s="307"/>
      <c r="B863" s="307"/>
      <c r="C863" s="307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307"/>
      <c r="R863" s="307"/>
      <c r="S863" s="307"/>
      <c r="T863" s="307"/>
      <c r="U863" s="307"/>
      <c r="V863" s="307"/>
      <c r="W863" s="307"/>
      <c r="X863" s="141"/>
      <c r="Y863" s="307"/>
      <c r="Z863" s="307"/>
      <c r="AA863" s="307"/>
      <c r="AB863" s="307"/>
    </row>
    <row r="864" spans="1:28" ht="17.399999999999999">
      <c r="A864" s="307"/>
      <c r="B864" s="307"/>
      <c r="C864" s="307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307"/>
      <c r="R864" s="307"/>
      <c r="S864" s="307"/>
      <c r="T864" s="307"/>
      <c r="U864" s="307"/>
      <c r="V864" s="307"/>
      <c r="W864" s="307"/>
      <c r="X864" s="141"/>
      <c r="Y864" s="307"/>
      <c r="Z864" s="307"/>
      <c r="AA864" s="307"/>
      <c r="AB864" s="307"/>
    </row>
    <row r="865" spans="1:28" ht="17.399999999999999">
      <c r="A865" s="307"/>
      <c r="B865" s="307"/>
      <c r="C865" s="307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307"/>
      <c r="R865" s="307"/>
      <c r="S865" s="307"/>
      <c r="T865" s="307"/>
      <c r="U865" s="307"/>
      <c r="V865" s="307"/>
      <c r="W865" s="307"/>
      <c r="X865" s="141"/>
      <c r="Y865" s="307"/>
      <c r="Z865" s="307"/>
      <c r="AA865" s="307"/>
      <c r="AB865" s="307"/>
    </row>
    <row r="866" spans="1:28" ht="17.399999999999999">
      <c r="A866" s="307"/>
      <c r="B866" s="307"/>
      <c r="C866" s="307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307"/>
      <c r="R866" s="307"/>
      <c r="S866" s="307"/>
      <c r="T866" s="307"/>
      <c r="U866" s="307"/>
      <c r="V866" s="307"/>
      <c r="W866" s="307"/>
      <c r="X866" s="141"/>
      <c r="Y866" s="307"/>
      <c r="Z866" s="307"/>
      <c r="AA866" s="307"/>
      <c r="AB866" s="307"/>
    </row>
    <row r="867" spans="1:28" ht="17.399999999999999">
      <c r="A867" s="307"/>
      <c r="B867" s="307"/>
      <c r="C867" s="307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307"/>
      <c r="R867" s="307"/>
      <c r="S867" s="307"/>
      <c r="T867" s="307"/>
      <c r="U867" s="307"/>
      <c r="V867" s="307"/>
      <c r="W867" s="307"/>
      <c r="X867" s="141"/>
      <c r="Y867" s="307"/>
      <c r="Z867" s="307"/>
      <c r="AA867" s="307"/>
      <c r="AB867" s="307"/>
    </row>
    <row r="868" spans="1:28" ht="17.399999999999999">
      <c r="A868" s="307"/>
      <c r="B868" s="307"/>
      <c r="C868" s="307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307"/>
      <c r="R868" s="307"/>
      <c r="S868" s="307"/>
      <c r="T868" s="307"/>
      <c r="U868" s="307"/>
      <c r="V868" s="307"/>
      <c r="W868" s="307"/>
      <c r="X868" s="141"/>
      <c r="Y868" s="307"/>
      <c r="Z868" s="307"/>
      <c r="AA868" s="307"/>
      <c r="AB868" s="307"/>
    </row>
    <row r="869" spans="1:28" ht="17.399999999999999">
      <c r="A869" s="307"/>
      <c r="B869" s="307"/>
      <c r="C869" s="307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307"/>
      <c r="R869" s="307"/>
      <c r="S869" s="307"/>
      <c r="T869" s="307"/>
      <c r="U869" s="307"/>
      <c r="V869" s="307"/>
      <c r="W869" s="307"/>
      <c r="X869" s="141"/>
      <c r="Y869" s="307"/>
      <c r="Z869" s="307"/>
      <c r="AA869" s="307"/>
      <c r="AB869" s="307"/>
    </row>
    <row r="870" spans="1:28" ht="17.399999999999999">
      <c r="A870" s="307"/>
      <c r="B870" s="307"/>
      <c r="C870" s="307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307"/>
      <c r="R870" s="307"/>
      <c r="S870" s="307"/>
      <c r="T870" s="307"/>
      <c r="U870" s="307"/>
      <c r="V870" s="307"/>
      <c r="W870" s="307"/>
      <c r="X870" s="141"/>
      <c r="Y870" s="307"/>
      <c r="Z870" s="307"/>
      <c r="AA870" s="307"/>
      <c r="AB870" s="307"/>
    </row>
    <row r="871" spans="1:28" ht="17.399999999999999">
      <c r="A871" s="307"/>
      <c r="B871" s="307"/>
      <c r="C871" s="307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307"/>
      <c r="R871" s="307"/>
      <c r="S871" s="307"/>
      <c r="T871" s="307"/>
      <c r="U871" s="307"/>
      <c r="V871" s="307"/>
      <c r="W871" s="307"/>
      <c r="X871" s="141"/>
      <c r="Y871" s="307"/>
      <c r="Z871" s="307"/>
      <c r="AA871" s="307"/>
      <c r="AB871" s="307"/>
    </row>
    <row r="872" spans="1:28" ht="17.399999999999999">
      <c r="A872" s="307"/>
      <c r="B872" s="307"/>
      <c r="C872" s="307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307"/>
      <c r="R872" s="307"/>
      <c r="S872" s="307"/>
      <c r="T872" s="307"/>
      <c r="U872" s="307"/>
      <c r="V872" s="307"/>
      <c r="W872" s="307"/>
      <c r="X872" s="141"/>
      <c r="Y872" s="307"/>
      <c r="Z872" s="307"/>
      <c r="AA872" s="307"/>
      <c r="AB872" s="307"/>
    </row>
    <row r="873" spans="1:28" ht="17.399999999999999">
      <c r="A873" s="307"/>
      <c r="B873" s="307"/>
      <c r="C873" s="307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307"/>
      <c r="R873" s="307"/>
      <c r="S873" s="307"/>
      <c r="T873" s="307"/>
      <c r="U873" s="307"/>
      <c r="V873" s="307"/>
      <c r="W873" s="307"/>
      <c r="X873" s="141"/>
      <c r="Y873" s="307"/>
      <c r="Z873" s="307"/>
      <c r="AA873" s="307"/>
      <c r="AB873" s="307"/>
    </row>
    <row r="874" spans="1:28" ht="17.399999999999999">
      <c r="A874" s="307"/>
      <c r="B874" s="307"/>
      <c r="C874" s="307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307"/>
      <c r="R874" s="307"/>
      <c r="S874" s="307"/>
      <c r="T874" s="307"/>
      <c r="U874" s="307"/>
      <c r="V874" s="307"/>
      <c r="W874" s="307"/>
      <c r="X874" s="141"/>
      <c r="Y874" s="307"/>
      <c r="Z874" s="307"/>
      <c r="AA874" s="307"/>
      <c r="AB874" s="307"/>
    </row>
    <row r="875" spans="1:28" ht="17.399999999999999">
      <c r="A875" s="307"/>
      <c r="B875" s="307"/>
      <c r="C875" s="307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307"/>
      <c r="R875" s="307"/>
      <c r="S875" s="307"/>
      <c r="T875" s="307"/>
      <c r="U875" s="307"/>
      <c r="V875" s="307"/>
      <c r="W875" s="307"/>
      <c r="X875" s="141"/>
      <c r="Y875" s="307"/>
      <c r="Z875" s="307"/>
      <c r="AA875" s="307"/>
      <c r="AB875" s="307"/>
    </row>
    <row r="876" spans="1:28" ht="17.399999999999999">
      <c r="A876" s="307"/>
      <c r="B876" s="307"/>
      <c r="C876" s="307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307"/>
      <c r="R876" s="307"/>
      <c r="S876" s="307"/>
      <c r="T876" s="307"/>
      <c r="U876" s="307"/>
      <c r="V876" s="307"/>
      <c r="W876" s="307"/>
      <c r="X876" s="141"/>
      <c r="Y876" s="307"/>
      <c r="Z876" s="307"/>
      <c r="AA876" s="307"/>
      <c r="AB876" s="307"/>
    </row>
    <row r="877" spans="1:28" ht="17.399999999999999">
      <c r="A877" s="307"/>
      <c r="B877" s="307"/>
      <c r="C877" s="307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307"/>
      <c r="R877" s="307"/>
      <c r="S877" s="307"/>
      <c r="T877" s="307"/>
      <c r="U877" s="307"/>
      <c r="V877" s="307"/>
      <c r="W877" s="307"/>
      <c r="X877" s="141"/>
      <c r="Y877" s="307"/>
      <c r="Z877" s="307"/>
      <c r="AA877" s="307"/>
      <c r="AB877" s="307"/>
    </row>
    <row r="878" spans="1:28" ht="17.399999999999999">
      <c r="A878" s="307"/>
      <c r="B878" s="307"/>
      <c r="C878" s="307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307"/>
      <c r="R878" s="307"/>
      <c r="S878" s="307"/>
      <c r="T878" s="307"/>
      <c r="U878" s="307"/>
      <c r="V878" s="307"/>
      <c r="W878" s="307"/>
      <c r="X878" s="141"/>
      <c r="Y878" s="307"/>
      <c r="Z878" s="307"/>
      <c r="AA878" s="307"/>
      <c r="AB878" s="307"/>
    </row>
    <row r="879" spans="1:28" ht="17.399999999999999">
      <c r="A879" s="307"/>
      <c r="B879" s="307"/>
      <c r="C879" s="307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307"/>
      <c r="R879" s="307"/>
      <c r="S879" s="307"/>
      <c r="T879" s="307"/>
      <c r="U879" s="307"/>
      <c r="V879" s="307"/>
      <c r="W879" s="307"/>
      <c r="X879" s="141"/>
      <c r="Y879" s="307"/>
      <c r="Z879" s="307"/>
      <c r="AA879" s="307"/>
      <c r="AB879" s="307"/>
    </row>
    <row r="880" spans="1:28" ht="17.399999999999999">
      <c r="A880" s="307"/>
      <c r="B880" s="307"/>
      <c r="C880" s="307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307"/>
      <c r="R880" s="307"/>
      <c r="S880" s="307"/>
      <c r="T880" s="307"/>
      <c r="U880" s="307"/>
      <c r="V880" s="307"/>
      <c r="W880" s="307"/>
      <c r="X880" s="141"/>
      <c r="Y880" s="307"/>
      <c r="Z880" s="307"/>
      <c r="AA880" s="307"/>
      <c r="AB880" s="307"/>
    </row>
    <row r="881" spans="1:28" ht="17.399999999999999">
      <c r="A881" s="307"/>
      <c r="B881" s="307"/>
      <c r="C881" s="307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307"/>
      <c r="R881" s="307"/>
      <c r="S881" s="307"/>
      <c r="T881" s="307"/>
      <c r="U881" s="307"/>
      <c r="V881" s="307"/>
      <c r="W881" s="307"/>
      <c r="X881" s="141"/>
      <c r="Y881" s="307"/>
      <c r="Z881" s="307"/>
      <c r="AA881" s="307"/>
      <c r="AB881" s="307"/>
    </row>
    <row r="882" spans="1:28" ht="17.399999999999999">
      <c r="A882" s="307"/>
      <c r="B882" s="307"/>
      <c r="C882" s="307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307"/>
      <c r="R882" s="307"/>
      <c r="S882" s="307"/>
      <c r="T882" s="307"/>
      <c r="U882" s="307"/>
      <c r="V882" s="307"/>
      <c r="W882" s="307"/>
      <c r="X882" s="141"/>
      <c r="Y882" s="307"/>
      <c r="Z882" s="307"/>
      <c r="AA882" s="307"/>
      <c r="AB882" s="307"/>
    </row>
    <row r="883" spans="1:28" ht="17.399999999999999">
      <c r="A883" s="307"/>
      <c r="B883" s="307"/>
      <c r="C883" s="307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307"/>
      <c r="R883" s="307"/>
      <c r="S883" s="307"/>
      <c r="T883" s="307"/>
      <c r="U883" s="307"/>
      <c r="V883" s="307"/>
      <c r="W883" s="307"/>
      <c r="X883" s="141"/>
      <c r="Y883" s="307"/>
      <c r="Z883" s="307"/>
      <c r="AA883" s="307"/>
      <c r="AB883" s="307"/>
    </row>
    <row r="884" spans="1:28" ht="17.399999999999999">
      <c r="A884" s="307"/>
      <c r="B884" s="307"/>
      <c r="C884" s="307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307"/>
      <c r="R884" s="307"/>
      <c r="S884" s="307"/>
      <c r="T884" s="307"/>
      <c r="U884" s="307"/>
      <c r="V884" s="307"/>
      <c r="W884" s="307"/>
      <c r="X884" s="141"/>
      <c r="Y884" s="307"/>
      <c r="Z884" s="307"/>
      <c r="AA884" s="307"/>
      <c r="AB884" s="307"/>
    </row>
    <row r="885" spans="1:28" ht="17.399999999999999">
      <c r="A885" s="307"/>
      <c r="B885" s="307"/>
      <c r="C885" s="307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307"/>
      <c r="R885" s="307"/>
      <c r="S885" s="307"/>
      <c r="T885" s="307"/>
      <c r="U885" s="307"/>
      <c r="V885" s="307"/>
      <c r="W885" s="307"/>
      <c r="X885" s="141"/>
      <c r="Y885" s="307"/>
      <c r="Z885" s="307"/>
      <c r="AA885" s="307"/>
      <c r="AB885" s="307"/>
    </row>
    <row r="886" spans="1:28" ht="17.399999999999999">
      <c r="A886" s="307"/>
      <c r="B886" s="307"/>
      <c r="C886" s="307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307"/>
      <c r="R886" s="307"/>
      <c r="S886" s="307"/>
      <c r="T886" s="307"/>
      <c r="U886" s="307"/>
      <c r="V886" s="307"/>
      <c r="W886" s="307"/>
      <c r="X886" s="141"/>
      <c r="Y886" s="307"/>
      <c r="Z886" s="307"/>
      <c r="AA886" s="307"/>
      <c r="AB886" s="307"/>
    </row>
    <row r="887" spans="1:28" ht="17.399999999999999">
      <c r="A887" s="307"/>
      <c r="B887" s="307"/>
      <c r="C887" s="307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307"/>
      <c r="R887" s="307"/>
      <c r="S887" s="307"/>
      <c r="T887" s="307"/>
      <c r="U887" s="307"/>
      <c r="V887" s="307"/>
      <c r="W887" s="307"/>
      <c r="X887" s="141"/>
      <c r="Y887" s="307"/>
      <c r="Z887" s="307"/>
      <c r="AA887" s="307"/>
      <c r="AB887" s="307"/>
    </row>
    <row r="888" spans="1:28" ht="17.399999999999999">
      <c r="A888" s="307"/>
      <c r="B888" s="307"/>
      <c r="C888" s="307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307"/>
      <c r="R888" s="307"/>
      <c r="S888" s="307"/>
      <c r="T888" s="307"/>
      <c r="U888" s="307"/>
      <c r="V888" s="307"/>
      <c r="W888" s="307"/>
      <c r="X888" s="141"/>
      <c r="Y888" s="307"/>
      <c r="Z888" s="307"/>
      <c r="AA888" s="307"/>
      <c r="AB888" s="307"/>
    </row>
    <row r="889" spans="1:28" ht="17.399999999999999">
      <c r="A889" s="307"/>
      <c r="B889" s="307"/>
      <c r="C889" s="307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307"/>
      <c r="R889" s="307"/>
      <c r="S889" s="307"/>
      <c r="T889" s="307"/>
      <c r="U889" s="307"/>
      <c r="V889" s="307"/>
      <c r="W889" s="307"/>
      <c r="X889" s="141"/>
      <c r="Y889" s="307"/>
      <c r="Z889" s="307"/>
      <c r="AA889" s="307"/>
      <c r="AB889" s="307"/>
    </row>
    <row r="890" spans="1:28" ht="17.399999999999999">
      <c r="A890" s="307"/>
      <c r="B890" s="307"/>
      <c r="C890" s="307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307"/>
      <c r="R890" s="307"/>
      <c r="S890" s="307"/>
      <c r="T890" s="307"/>
      <c r="U890" s="307"/>
      <c r="V890" s="307"/>
      <c r="W890" s="307"/>
      <c r="X890" s="141"/>
      <c r="Y890" s="307"/>
      <c r="Z890" s="307"/>
      <c r="AA890" s="307"/>
      <c r="AB890" s="307"/>
    </row>
    <row r="891" spans="1:28" ht="17.399999999999999">
      <c r="A891" s="307"/>
      <c r="B891" s="307"/>
      <c r="C891" s="307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307"/>
      <c r="R891" s="307"/>
      <c r="S891" s="307"/>
      <c r="T891" s="307"/>
      <c r="U891" s="307"/>
      <c r="V891" s="307"/>
      <c r="W891" s="307"/>
      <c r="X891" s="141"/>
      <c r="Y891" s="307"/>
      <c r="Z891" s="307"/>
      <c r="AA891" s="307"/>
      <c r="AB891" s="307"/>
    </row>
    <row r="892" spans="1:28" ht="17.399999999999999">
      <c r="A892" s="307"/>
      <c r="B892" s="307"/>
      <c r="C892" s="307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307"/>
      <c r="R892" s="307"/>
      <c r="S892" s="307"/>
      <c r="T892" s="307"/>
      <c r="U892" s="307"/>
      <c r="V892" s="307"/>
      <c r="W892" s="307"/>
      <c r="X892" s="141"/>
      <c r="Y892" s="307"/>
      <c r="Z892" s="307"/>
      <c r="AA892" s="307"/>
      <c r="AB892" s="307"/>
    </row>
    <row r="893" spans="1:28" ht="17.399999999999999">
      <c r="A893" s="307"/>
      <c r="B893" s="307"/>
      <c r="C893" s="307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307"/>
      <c r="R893" s="307"/>
      <c r="S893" s="307"/>
      <c r="T893" s="307"/>
      <c r="U893" s="307"/>
      <c r="V893" s="307"/>
      <c r="W893" s="307"/>
      <c r="X893" s="141"/>
      <c r="Y893" s="307"/>
      <c r="Z893" s="307"/>
      <c r="AA893" s="307"/>
      <c r="AB893" s="307"/>
    </row>
    <row r="894" spans="1:28" ht="17.399999999999999">
      <c r="A894" s="307"/>
      <c r="B894" s="307"/>
      <c r="C894" s="307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307"/>
      <c r="R894" s="307"/>
      <c r="S894" s="307"/>
      <c r="T894" s="307"/>
      <c r="U894" s="307"/>
      <c r="V894" s="307"/>
      <c r="W894" s="307"/>
      <c r="X894" s="141"/>
      <c r="Y894" s="307"/>
      <c r="Z894" s="307"/>
      <c r="AA894" s="307"/>
      <c r="AB894" s="307"/>
    </row>
    <row r="895" spans="1:28" ht="17.399999999999999">
      <c r="A895" s="307"/>
      <c r="B895" s="307"/>
      <c r="C895" s="307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307"/>
      <c r="R895" s="307"/>
      <c r="S895" s="307"/>
      <c r="T895" s="307"/>
      <c r="U895" s="307"/>
      <c r="V895" s="307"/>
      <c r="W895" s="307"/>
      <c r="X895" s="141"/>
      <c r="Y895" s="307"/>
      <c r="Z895" s="307"/>
      <c r="AA895" s="307"/>
      <c r="AB895" s="307"/>
    </row>
    <row r="896" spans="1:28" ht="17.399999999999999">
      <c r="A896" s="307"/>
      <c r="B896" s="307"/>
      <c r="C896" s="307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307"/>
      <c r="R896" s="307"/>
      <c r="S896" s="307"/>
      <c r="T896" s="307"/>
      <c r="U896" s="307"/>
      <c r="V896" s="307"/>
      <c r="W896" s="307"/>
      <c r="X896" s="141"/>
      <c r="Y896" s="307"/>
      <c r="Z896" s="307"/>
      <c r="AA896" s="307"/>
      <c r="AB896" s="307"/>
    </row>
    <row r="897" spans="1:28" ht="17.399999999999999">
      <c r="A897" s="307"/>
      <c r="B897" s="307"/>
      <c r="C897" s="307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307"/>
      <c r="R897" s="307"/>
      <c r="S897" s="307"/>
      <c r="T897" s="307"/>
      <c r="U897" s="307"/>
      <c r="V897" s="307"/>
      <c r="W897" s="307"/>
      <c r="X897" s="141"/>
      <c r="Y897" s="307"/>
      <c r="Z897" s="307"/>
      <c r="AA897" s="307"/>
      <c r="AB897" s="307"/>
    </row>
    <row r="898" spans="1:28" ht="17.399999999999999">
      <c r="A898" s="307"/>
      <c r="B898" s="307"/>
      <c r="C898" s="307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307"/>
      <c r="R898" s="307"/>
      <c r="S898" s="307"/>
      <c r="T898" s="307"/>
      <c r="U898" s="307"/>
      <c r="V898" s="307"/>
      <c r="W898" s="307"/>
      <c r="X898" s="141"/>
      <c r="Y898" s="307"/>
      <c r="Z898" s="307"/>
      <c r="AA898" s="307"/>
      <c r="AB898" s="307"/>
    </row>
    <row r="899" spans="1:28" ht="17.399999999999999">
      <c r="A899" s="307"/>
      <c r="B899" s="307"/>
      <c r="C899" s="307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307"/>
      <c r="R899" s="307"/>
      <c r="S899" s="307"/>
      <c r="T899" s="307"/>
      <c r="U899" s="307"/>
      <c r="V899" s="307"/>
      <c r="W899" s="307"/>
      <c r="X899" s="141"/>
      <c r="Y899" s="307"/>
      <c r="Z899" s="307"/>
      <c r="AA899" s="307"/>
      <c r="AB899" s="307"/>
    </row>
    <row r="900" spans="1:28" ht="17.399999999999999">
      <c r="A900" s="307"/>
      <c r="B900" s="307"/>
      <c r="C900" s="307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307"/>
      <c r="R900" s="307"/>
      <c r="S900" s="307"/>
      <c r="T900" s="307"/>
      <c r="U900" s="307"/>
      <c r="V900" s="307"/>
      <c r="W900" s="307"/>
      <c r="X900" s="141"/>
      <c r="Y900" s="307"/>
      <c r="Z900" s="307"/>
      <c r="AA900" s="307"/>
      <c r="AB900" s="307"/>
    </row>
    <row r="901" spans="1:28" ht="17.399999999999999">
      <c r="A901" s="307"/>
      <c r="B901" s="307"/>
      <c r="C901" s="307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307"/>
      <c r="R901" s="307"/>
      <c r="S901" s="307"/>
      <c r="T901" s="307"/>
      <c r="U901" s="307"/>
      <c r="V901" s="307"/>
      <c r="W901" s="307"/>
      <c r="X901" s="141"/>
      <c r="Y901" s="307"/>
      <c r="Z901" s="307"/>
      <c r="AA901" s="307"/>
      <c r="AB901" s="307"/>
    </row>
    <row r="902" spans="1:28" ht="17.399999999999999">
      <c r="A902" s="307"/>
      <c r="B902" s="307"/>
      <c r="C902" s="307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307"/>
      <c r="R902" s="307"/>
      <c r="S902" s="307"/>
      <c r="T902" s="307"/>
      <c r="U902" s="307"/>
      <c r="V902" s="307"/>
      <c r="W902" s="307"/>
      <c r="X902" s="141"/>
      <c r="Y902" s="307"/>
      <c r="Z902" s="307"/>
      <c r="AA902" s="307"/>
      <c r="AB902" s="307"/>
    </row>
    <row r="903" spans="1:28" ht="17.399999999999999">
      <c r="A903" s="307"/>
      <c r="B903" s="307"/>
      <c r="C903" s="307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307"/>
      <c r="R903" s="307"/>
      <c r="S903" s="307"/>
      <c r="T903" s="307"/>
      <c r="U903" s="307"/>
      <c r="V903" s="307"/>
      <c r="W903" s="307"/>
      <c r="X903" s="141"/>
      <c r="Y903" s="307"/>
      <c r="Z903" s="307"/>
      <c r="AA903" s="307"/>
      <c r="AB903" s="307"/>
    </row>
    <row r="904" spans="1:28" ht="17.399999999999999">
      <c r="A904" s="307"/>
      <c r="B904" s="307"/>
      <c r="C904" s="307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307"/>
      <c r="R904" s="307"/>
      <c r="S904" s="307"/>
      <c r="T904" s="307"/>
      <c r="U904" s="307"/>
      <c r="V904" s="307"/>
      <c r="W904" s="307"/>
      <c r="X904" s="141"/>
      <c r="Y904" s="307"/>
      <c r="Z904" s="307"/>
      <c r="AA904" s="307"/>
      <c r="AB904" s="307"/>
    </row>
    <row r="905" spans="1:28" ht="17.399999999999999">
      <c r="A905" s="307"/>
      <c r="B905" s="307"/>
      <c r="C905" s="307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307"/>
      <c r="R905" s="307"/>
      <c r="S905" s="307"/>
      <c r="T905" s="307"/>
      <c r="U905" s="307"/>
      <c r="V905" s="307"/>
      <c r="W905" s="307"/>
      <c r="X905" s="141"/>
      <c r="Y905" s="307"/>
      <c r="Z905" s="307"/>
      <c r="AA905" s="307"/>
      <c r="AB905" s="307"/>
    </row>
    <row r="906" spans="1:28" ht="17.399999999999999">
      <c r="A906" s="307"/>
      <c r="B906" s="307"/>
      <c r="C906" s="307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307"/>
      <c r="R906" s="307"/>
      <c r="S906" s="307"/>
      <c r="T906" s="307"/>
      <c r="U906" s="307"/>
      <c r="V906" s="307"/>
      <c r="W906" s="307"/>
      <c r="X906" s="141"/>
      <c r="Y906" s="307"/>
      <c r="Z906" s="307"/>
      <c r="AA906" s="307"/>
      <c r="AB906" s="307"/>
    </row>
    <row r="907" spans="1:28" ht="17.399999999999999">
      <c r="A907" s="307"/>
      <c r="B907" s="307"/>
      <c r="C907" s="307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307"/>
      <c r="R907" s="307"/>
      <c r="S907" s="307"/>
      <c r="T907" s="307"/>
      <c r="U907" s="307"/>
      <c r="V907" s="307"/>
      <c r="W907" s="307"/>
      <c r="X907" s="141"/>
      <c r="Y907" s="307"/>
      <c r="Z907" s="307"/>
      <c r="AA907" s="307"/>
      <c r="AB907" s="307"/>
    </row>
    <row r="908" spans="1:28" ht="17.399999999999999">
      <c r="A908" s="307"/>
      <c r="B908" s="307"/>
      <c r="C908" s="307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307"/>
      <c r="R908" s="307"/>
      <c r="S908" s="307"/>
      <c r="T908" s="307"/>
      <c r="U908" s="307"/>
      <c r="V908" s="307"/>
      <c r="W908" s="307"/>
      <c r="X908" s="141"/>
      <c r="Y908" s="307"/>
      <c r="Z908" s="307"/>
      <c r="AA908" s="307"/>
      <c r="AB908" s="307"/>
    </row>
    <row r="909" spans="1:28" ht="17.399999999999999">
      <c r="A909" s="307"/>
      <c r="B909" s="307"/>
      <c r="C909" s="307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307"/>
      <c r="R909" s="307"/>
      <c r="S909" s="307"/>
      <c r="T909" s="307"/>
      <c r="U909" s="307"/>
      <c r="V909" s="307"/>
      <c r="W909" s="307"/>
      <c r="X909" s="141"/>
      <c r="Y909" s="307"/>
      <c r="Z909" s="307"/>
      <c r="AA909" s="307"/>
      <c r="AB909" s="307"/>
    </row>
    <row r="910" spans="1:28" ht="17.399999999999999">
      <c r="A910" s="307"/>
      <c r="B910" s="307"/>
      <c r="C910" s="307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307"/>
      <c r="R910" s="307"/>
      <c r="S910" s="307"/>
      <c r="T910" s="307"/>
      <c r="U910" s="307"/>
      <c r="V910" s="307"/>
      <c r="W910" s="307"/>
      <c r="X910" s="141"/>
      <c r="Y910" s="307"/>
      <c r="Z910" s="307"/>
      <c r="AA910" s="307"/>
      <c r="AB910" s="307"/>
    </row>
    <row r="911" spans="1:28" ht="17.399999999999999">
      <c r="A911" s="307"/>
      <c r="B911" s="307"/>
      <c r="C911" s="307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307"/>
      <c r="R911" s="307"/>
      <c r="S911" s="307"/>
      <c r="T911" s="307"/>
      <c r="U911" s="307"/>
      <c r="V911" s="307"/>
      <c r="W911" s="307"/>
      <c r="X911" s="141"/>
      <c r="Y911" s="307"/>
      <c r="Z911" s="307"/>
      <c r="AA911" s="307"/>
      <c r="AB911" s="307"/>
    </row>
    <row r="912" spans="1:28" ht="17.399999999999999">
      <c r="A912" s="307"/>
      <c r="B912" s="307"/>
      <c r="C912" s="307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307"/>
      <c r="R912" s="307"/>
      <c r="S912" s="307"/>
      <c r="T912" s="307"/>
      <c r="U912" s="307"/>
      <c r="V912" s="307"/>
      <c r="W912" s="307"/>
      <c r="X912" s="141"/>
      <c r="Y912" s="307"/>
      <c r="Z912" s="307"/>
      <c r="AA912" s="307"/>
      <c r="AB912" s="307"/>
    </row>
    <row r="913" spans="1:28" ht="17.399999999999999">
      <c r="A913" s="307"/>
      <c r="B913" s="307"/>
      <c r="C913" s="307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307"/>
      <c r="R913" s="307"/>
      <c r="S913" s="307"/>
      <c r="T913" s="307"/>
      <c r="U913" s="307"/>
      <c r="V913" s="307"/>
      <c r="W913" s="307"/>
      <c r="X913" s="141"/>
      <c r="Y913" s="307"/>
      <c r="Z913" s="307"/>
      <c r="AA913" s="307"/>
      <c r="AB913" s="307"/>
    </row>
    <row r="914" spans="1:28" ht="17.399999999999999">
      <c r="A914" s="307"/>
      <c r="B914" s="307"/>
      <c r="C914" s="307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307"/>
      <c r="R914" s="307"/>
      <c r="S914" s="307"/>
      <c r="T914" s="307"/>
      <c r="U914" s="307"/>
      <c r="V914" s="307"/>
      <c r="W914" s="307"/>
      <c r="X914" s="141"/>
      <c r="Y914" s="307"/>
      <c r="Z914" s="307"/>
      <c r="AA914" s="307"/>
      <c r="AB914" s="307"/>
    </row>
    <row r="915" spans="1:28" ht="17.399999999999999">
      <c r="A915" s="307"/>
      <c r="B915" s="307"/>
      <c r="C915" s="307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307"/>
      <c r="R915" s="307"/>
      <c r="S915" s="307"/>
      <c r="T915" s="307"/>
      <c r="U915" s="307"/>
      <c r="V915" s="307"/>
      <c r="W915" s="307"/>
      <c r="X915" s="141"/>
      <c r="Y915" s="307"/>
      <c r="Z915" s="307"/>
      <c r="AA915" s="307"/>
      <c r="AB915" s="307"/>
    </row>
    <row r="916" spans="1:28" ht="17.399999999999999">
      <c r="A916" s="307"/>
      <c r="B916" s="307"/>
      <c r="C916" s="307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307"/>
      <c r="R916" s="307"/>
      <c r="S916" s="307"/>
      <c r="T916" s="307"/>
      <c r="U916" s="307"/>
      <c r="V916" s="307"/>
      <c r="W916" s="307"/>
      <c r="X916" s="141"/>
      <c r="Y916" s="307"/>
      <c r="Z916" s="307"/>
      <c r="AA916" s="307"/>
      <c r="AB916" s="307"/>
    </row>
    <row r="917" spans="1:28" ht="17.399999999999999">
      <c r="A917" s="307"/>
      <c r="B917" s="307"/>
      <c r="C917" s="307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307"/>
      <c r="R917" s="307"/>
      <c r="S917" s="307"/>
      <c r="T917" s="307"/>
      <c r="U917" s="307"/>
      <c r="V917" s="307"/>
      <c r="W917" s="307"/>
      <c r="X917" s="141"/>
      <c r="Y917" s="307"/>
      <c r="Z917" s="307"/>
      <c r="AA917" s="307"/>
      <c r="AB917" s="307"/>
    </row>
    <row r="918" spans="1:28" ht="17.399999999999999">
      <c r="A918" s="307"/>
      <c r="B918" s="307"/>
      <c r="C918" s="307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307"/>
      <c r="R918" s="307"/>
      <c r="S918" s="307"/>
      <c r="T918" s="307"/>
      <c r="U918" s="307"/>
      <c r="V918" s="307"/>
      <c r="W918" s="307"/>
      <c r="X918" s="141"/>
      <c r="Y918" s="307"/>
      <c r="Z918" s="307"/>
      <c r="AA918" s="307"/>
      <c r="AB918" s="307"/>
    </row>
    <row r="919" spans="1:28" ht="17.399999999999999">
      <c r="A919" s="307"/>
      <c r="B919" s="307"/>
      <c r="C919" s="307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307"/>
      <c r="R919" s="307"/>
      <c r="S919" s="307"/>
      <c r="T919" s="307"/>
      <c r="U919" s="307"/>
      <c r="V919" s="307"/>
      <c r="W919" s="307"/>
      <c r="X919" s="141"/>
      <c r="Y919" s="307"/>
      <c r="Z919" s="307"/>
      <c r="AA919" s="307"/>
      <c r="AB919" s="307"/>
    </row>
    <row r="920" spans="1:28" ht="17.399999999999999">
      <c r="A920" s="307"/>
      <c r="B920" s="307"/>
      <c r="C920" s="307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307"/>
      <c r="R920" s="307"/>
      <c r="S920" s="307"/>
      <c r="T920" s="307"/>
      <c r="U920" s="307"/>
      <c r="V920" s="307"/>
      <c r="W920" s="307"/>
      <c r="X920" s="141"/>
      <c r="Y920" s="307"/>
      <c r="Z920" s="307"/>
      <c r="AA920" s="307"/>
      <c r="AB920" s="307"/>
    </row>
    <row r="921" spans="1:28" ht="17.399999999999999">
      <c r="A921" s="307"/>
      <c r="B921" s="307"/>
      <c r="C921" s="307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307"/>
      <c r="R921" s="307"/>
      <c r="S921" s="307"/>
      <c r="T921" s="307"/>
      <c r="U921" s="307"/>
      <c r="V921" s="307"/>
      <c r="W921" s="307"/>
      <c r="X921" s="141"/>
      <c r="Y921" s="307"/>
      <c r="Z921" s="307"/>
      <c r="AA921" s="307"/>
      <c r="AB921" s="307"/>
    </row>
    <row r="922" spans="1:28" ht="17.399999999999999">
      <c r="A922" s="307"/>
      <c r="B922" s="307"/>
      <c r="C922" s="307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307"/>
      <c r="R922" s="307"/>
      <c r="S922" s="307"/>
      <c r="T922" s="307"/>
      <c r="U922" s="307"/>
      <c r="V922" s="307"/>
      <c r="W922" s="307"/>
      <c r="X922" s="141"/>
      <c r="Y922" s="307"/>
      <c r="Z922" s="307"/>
      <c r="AA922" s="307"/>
      <c r="AB922" s="307"/>
    </row>
    <row r="923" spans="1:28" ht="17.399999999999999">
      <c r="A923" s="307"/>
      <c r="B923" s="307"/>
      <c r="C923" s="307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307"/>
      <c r="R923" s="307"/>
      <c r="S923" s="307"/>
      <c r="T923" s="307"/>
      <c r="U923" s="307"/>
      <c r="V923" s="307"/>
      <c r="W923" s="307"/>
      <c r="X923" s="141"/>
      <c r="Y923" s="307"/>
      <c r="Z923" s="307"/>
      <c r="AA923" s="307"/>
      <c r="AB923" s="307"/>
    </row>
    <row r="924" spans="1:28" ht="17.399999999999999">
      <c r="A924" s="307"/>
      <c r="B924" s="307"/>
      <c r="C924" s="307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307"/>
      <c r="R924" s="307"/>
      <c r="S924" s="307"/>
      <c r="T924" s="307"/>
      <c r="U924" s="307"/>
      <c r="V924" s="307"/>
      <c r="W924" s="307"/>
      <c r="X924" s="141"/>
      <c r="Y924" s="307"/>
      <c r="Z924" s="307"/>
      <c r="AA924" s="307"/>
      <c r="AB924" s="307"/>
    </row>
    <row r="925" spans="1:28" ht="17.399999999999999">
      <c r="A925" s="307"/>
      <c r="B925" s="307"/>
      <c r="C925" s="307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307"/>
      <c r="R925" s="307"/>
      <c r="S925" s="307"/>
      <c r="T925" s="307"/>
      <c r="U925" s="307"/>
      <c r="V925" s="307"/>
      <c r="W925" s="307"/>
      <c r="X925" s="141"/>
      <c r="Y925" s="307"/>
      <c r="Z925" s="307"/>
      <c r="AA925" s="307"/>
      <c r="AB925" s="307"/>
    </row>
    <row r="926" spans="1:28" ht="17.399999999999999">
      <c r="A926" s="307"/>
      <c r="B926" s="307"/>
      <c r="C926" s="307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307"/>
      <c r="R926" s="307"/>
      <c r="S926" s="307"/>
      <c r="T926" s="307"/>
      <c r="U926" s="307"/>
      <c r="V926" s="307"/>
      <c r="W926" s="307"/>
      <c r="X926" s="141"/>
      <c r="Y926" s="307"/>
      <c r="Z926" s="307"/>
      <c r="AA926" s="307"/>
      <c r="AB926" s="307"/>
    </row>
    <row r="927" spans="1:28" ht="17.399999999999999">
      <c r="A927" s="307"/>
      <c r="B927" s="307"/>
      <c r="C927" s="307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307"/>
      <c r="R927" s="307"/>
      <c r="S927" s="307"/>
      <c r="T927" s="307"/>
      <c r="U927" s="307"/>
      <c r="V927" s="307"/>
      <c r="W927" s="307"/>
      <c r="X927" s="141"/>
      <c r="Y927" s="307"/>
      <c r="Z927" s="307"/>
      <c r="AA927" s="307"/>
      <c r="AB927" s="307"/>
    </row>
    <row r="928" spans="1:28" ht="17.399999999999999">
      <c r="A928" s="307"/>
      <c r="B928" s="307"/>
      <c r="C928" s="307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307"/>
      <c r="R928" s="307"/>
      <c r="S928" s="307"/>
      <c r="T928" s="307"/>
      <c r="U928" s="307"/>
      <c r="V928" s="307"/>
      <c r="W928" s="307"/>
      <c r="X928" s="141"/>
      <c r="Y928" s="307"/>
      <c r="Z928" s="307"/>
      <c r="AA928" s="307"/>
      <c r="AB928" s="307"/>
    </row>
    <row r="929" spans="1:28" ht="17.399999999999999">
      <c r="A929" s="307"/>
      <c r="B929" s="307"/>
      <c r="C929" s="307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307"/>
      <c r="R929" s="307"/>
      <c r="S929" s="307"/>
      <c r="T929" s="307"/>
      <c r="U929" s="307"/>
      <c r="V929" s="307"/>
      <c r="W929" s="307"/>
      <c r="X929" s="141"/>
      <c r="Y929" s="307"/>
      <c r="Z929" s="307"/>
      <c r="AA929" s="307"/>
      <c r="AB929" s="307"/>
    </row>
    <row r="930" spans="1:28" ht="17.399999999999999">
      <c r="A930" s="307"/>
      <c r="B930" s="307"/>
      <c r="C930" s="307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307"/>
      <c r="R930" s="307"/>
      <c r="S930" s="307"/>
      <c r="T930" s="307"/>
      <c r="U930" s="307"/>
      <c r="V930" s="307"/>
      <c r="W930" s="307"/>
      <c r="X930" s="141"/>
      <c r="Y930" s="307"/>
      <c r="Z930" s="307"/>
      <c r="AA930" s="307"/>
      <c r="AB930" s="307"/>
    </row>
    <row r="931" spans="1:28" ht="17.399999999999999">
      <c r="A931" s="307"/>
      <c r="B931" s="307"/>
      <c r="C931" s="307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307"/>
      <c r="R931" s="307"/>
      <c r="S931" s="307"/>
      <c r="T931" s="307"/>
      <c r="U931" s="307"/>
      <c r="V931" s="307"/>
      <c r="W931" s="307"/>
      <c r="X931" s="141"/>
      <c r="Y931" s="307"/>
      <c r="Z931" s="307"/>
      <c r="AA931" s="307"/>
      <c r="AB931" s="307"/>
    </row>
    <row r="932" spans="1:28" ht="17.399999999999999">
      <c r="A932" s="307"/>
      <c r="B932" s="307"/>
      <c r="C932" s="307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307"/>
      <c r="R932" s="307"/>
      <c r="S932" s="307"/>
      <c r="T932" s="307"/>
      <c r="U932" s="307"/>
      <c r="V932" s="307"/>
      <c r="W932" s="307"/>
      <c r="X932" s="141"/>
      <c r="Y932" s="307"/>
      <c r="Z932" s="307"/>
      <c r="AA932" s="307"/>
      <c r="AB932" s="307"/>
    </row>
    <row r="933" spans="1:28" ht="17.399999999999999">
      <c r="A933" s="307"/>
      <c r="B933" s="307"/>
      <c r="C933" s="307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307"/>
      <c r="R933" s="307"/>
      <c r="S933" s="307"/>
      <c r="T933" s="307"/>
      <c r="U933" s="307"/>
      <c r="V933" s="307"/>
      <c r="W933" s="307"/>
      <c r="X933" s="141"/>
      <c r="Y933" s="307"/>
      <c r="Z933" s="307"/>
      <c r="AA933" s="307"/>
      <c r="AB933" s="307"/>
    </row>
    <row r="934" spans="1:28" ht="17.399999999999999">
      <c r="A934" s="307"/>
      <c r="B934" s="307"/>
      <c r="C934" s="307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307"/>
      <c r="R934" s="307"/>
      <c r="S934" s="307"/>
      <c r="T934" s="307"/>
      <c r="U934" s="307"/>
      <c r="V934" s="307"/>
      <c r="W934" s="307"/>
      <c r="X934" s="141"/>
      <c r="Y934" s="307"/>
      <c r="Z934" s="307"/>
      <c r="AA934" s="307"/>
      <c r="AB934" s="307"/>
    </row>
    <row r="935" spans="1:28" ht="17.399999999999999">
      <c r="A935" s="307"/>
      <c r="B935" s="307"/>
      <c r="C935" s="307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307"/>
      <c r="R935" s="307"/>
      <c r="S935" s="307"/>
      <c r="T935" s="307"/>
      <c r="U935" s="307"/>
      <c r="V935" s="307"/>
      <c r="W935" s="307"/>
      <c r="X935" s="141"/>
      <c r="Y935" s="307"/>
      <c r="Z935" s="307"/>
      <c r="AA935" s="307"/>
      <c r="AB935" s="307"/>
    </row>
    <row r="936" spans="1:28" ht="17.399999999999999">
      <c r="A936" s="307"/>
      <c r="B936" s="307"/>
      <c r="C936" s="307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307"/>
      <c r="R936" s="307"/>
      <c r="S936" s="307"/>
      <c r="T936" s="307"/>
      <c r="U936" s="307"/>
      <c r="V936" s="307"/>
      <c r="W936" s="307"/>
      <c r="X936" s="141"/>
      <c r="Y936" s="307"/>
      <c r="Z936" s="307"/>
      <c r="AA936" s="307"/>
      <c r="AB936" s="307"/>
    </row>
    <row r="937" spans="1:28" ht="17.399999999999999">
      <c r="A937" s="307"/>
      <c r="B937" s="307"/>
      <c r="C937" s="307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307"/>
      <c r="R937" s="307"/>
      <c r="S937" s="307"/>
      <c r="T937" s="307"/>
      <c r="U937" s="307"/>
      <c r="V937" s="307"/>
      <c r="W937" s="307"/>
      <c r="X937" s="141"/>
      <c r="Y937" s="307"/>
      <c r="Z937" s="307"/>
      <c r="AA937" s="307"/>
      <c r="AB937" s="307"/>
    </row>
    <row r="938" spans="1:28" ht="17.399999999999999">
      <c r="A938" s="307"/>
      <c r="B938" s="307"/>
      <c r="C938" s="307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307"/>
      <c r="R938" s="307"/>
      <c r="S938" s="307"/>
      <c r="T938" s="307"/>
      <c r="U938" s="307"/>
      <c r="V938" s="307"/>
      <c r="W938" s="307"/>
      <c r="X938" s="141"/>
      <c r="Y938" s="307"/>
      <c r="Z938" s="307"/>
      <c r="AA938" s="307"/>
      <c r="AB938" s="307"/>
    </row>
    <row r="939" spans="1:28" ht="17.399999999999999">
      <c r="A939" s="307"/>
      <c r="B939" s="307"/>
      <c r="C939" s="307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307"/>
      <c r="R939" s="307"/>
      <c r="S939" s="307"/>
      <c r="T939" s="307"/>
      <c r="U939" s="307"/>
      <c r="V939" s="307"/>
      <c r="W939" s="307"/>
      <c r="X939" s="141"/>
      <c r="Y939" s="307"/>
      <c r="Z939" s="307"/>
      <c r="AA939" s="307"/>
      <c r="AB939" s="307"/>
    </row>
    <row r="940" spans="1:28" ht="17.399999999999999">
      <c r="A940" s="307"/>
      <c r="B940" s="307"/>
      <c r="C940" s="307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307"/>
      <c r="R940" s="307"/>
      <c r="S940" s="307"/>
      <c r="T940" s="307"/>
      <c r="U940" s="307"/>
      <c r="V940" s="307"/>
      <c r="W940" s="307"/>
      <c r="X940" s="141"/>
      <c r="Y940" s="307"/>
      <c r="Z940" s="307"/>
      <c r="AA940" s="307"/>
      <c r="AB940" s="307"/>
    </row>
    <row r="941" spans="1:28" ht="17.399999999999999">
      <c r="A941" s="307"/>
      <c r="B941" s="307"/>
      <c r="C941" s="307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307"/>
      <c r="R941" s="307"/>
      <c r="S941" s="307"/>
      <c r="T941" s="307"/>
      <c r="U941" s="307"/>
      <c r="V941" s="307"/>
      <c r="W941" s="307"/>
      <c r="X941" s="141"/>
      <c r="Y941" s="307"/>
      <c r="Z941" s="307"/>
      <c r="AA941" s="307"/>
      <c r="AB941" s="307"/>
    </row>
    <row r="942" spans="1:28" ht="17.399999999999999">
      <c r="A942" s="307"/>
      <c r="B942" s="307"/>
      <c r="C942" s="307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307"/>
      <c r="R942" s="307"/>
      <c r="S942" s="307"/>
      <c r="T942" s="307"/>
      <c r="U942" s="307"/>
      <c r="V942" s="307"/>
      <c r="W942" s="307"/>
      <c r="X942" s="141"/>
      <c r="Y942" s="307"/>
      <c r="Z942" s="307"/>
      <c r="AA942" s="307"/>
      <c r="AB942" s="307"/>
    </row>
    <row r="943" spans="1:28" ht="17.399999999999999">
      <c r="A943" s="307"/>
      <c r="B943" s="307"/>
      <c r="C943" s="307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307"/>
      <c r="R943" s="307"/>
      <c r="S943" s="307"/>
      <c r="T943" s="307"/>
      <c r="U943" s="307"/>
      <c r="V943" s="307"/>
      <c r="W943" s="307"/>
      <c r="X943" s="141"/>
      <c r="Y943" s="307"/>
      <c r="Z943" s="307"/>
      <c r="AA943" s="307"/>
      <c r="AB943" s="307"/>
    </row>
    <row r="944" spans="1:28" ht="17.399999999999999">
      <c r="A944" s="307"/>
      <c r="B944" s="307"/>
      <c r="C944" s="307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307"/>
      <c r="R944" s="307"/>
      <c r="S944" s="307"/>
      <c r="T944" s="307"/>
      <c r="U944" s="307"/>
      <c r="V944" s="307"/>
      <c r="W944" s="307"/>
      <c r="X944" s="141"/>
      <c r="Y944" s="307"/>
      <c r="Z944" s="307"/>
      <c r="AA944" s="307"/>
      <c r="AB944" s="307"/>
    </row>
    <row r="945" spans="1:28" ht="17.399999999999999">
      <c r="A945" s="307"/>
      <c r="B945" s="307"/>
      <c r="C945" s="307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307"/>
      <c r="R945" s="307"/>
      <c r="S945" s="307"/>
      <c r="T945" s="307"/>
      <c r="U945" s="307"/>
      <c r="V945" s="307"/>
      <c r="W945" s="307"/>
      <c r="X945" s="141"/>
      <c r="Y945" s="307"/>
      <c r="Z945" s="307"/>
      <c r="AA945" s="307"/>
      <c r="AB945" s="307"/>
    </row>
    <row r="946" spans="1:28" ht="17.399999999999999">
      <c r="A946" s="307"/>
      <c r="B946" s="307"/>
      <c r="C946" s="307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307"/>
      <c r="R946" s="307"/>
      <c r="S946" s="307"/>
      <c r="T946" s="307"/>
      <c r="U946" s="307"/>
      <c r="V946" s="307"/>
      <c r="W946" s="307"/>
      <c r="X946" s="141"/>
      <c r="Y946" s="307"/>
      <c r="Z946" s="307"/>
      <c r="AA946" s="307"/>
      <c r="AB946" s="307"/>
    </row>
    <row r="947" spans="1:28" ht="17.399999999999999">
      <c r="A947" s="307"/>
      <c r="B947" s="307"/>
      <c r="C947" s="307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307"/>
      <c r="R947" s="307"/>
      <c r="S947" s="307"/>
      <c r="T947" s="307"/>
      <c r="U947" s="307"/>
      <c r="V947" s="307"/>
      <c r="W947" s="307"/>
      <c r="X947" s="141"/>
      <c r="Y947" s="307"/>
      <c r="Z947" s="307"/>
      <c r="AA947" s="307"/>
      <c r="AB947" s="307"/>
    </row>
    <row r="948" spans="1:28" ht="17.399999999999999">
      <c r="A948" s="307"/>
      <c r="B948" s="307"/>
      <c r="C948" s="307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307"/>
      <c r="R948" s="307"/>
      <c r="S948" s="307"/>
      <c r="T948" s="307"/>
      <c r="U948" s="307"/>
      <c r="V948" s="307"/>
      <c r="W948" s="307"/>
      <c r="X948" s="141"/>
      <c r="Y948" s="307"/>
      <c r="Z948" s="307"/>
      <c r="AA948" s="307"/>
      <c r="AB948" s="307"/>
    </row>
    <row r="949" spans="1:28" ht="17.399999999999999">
      <c r="A949" s="307"/>
      <c r="B949" s="307"/>
      <c r="C949" s="307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307"/>
      <c r="R949" s="307"/>
      <c r="S949" s="307"/>
      <c r="T949" s="307"/>
      <c r="U949" s="307"/>
      <c r="V949" s="307"/>
      <c r="W949" s="307"/>
      <c r="X949" s="141"/>
      <c r="Y949" s="307"/>
      <c r="Z949" s="307"/>
      <c r="AA949" s="307"/>
      <c r="AB949" s="307"/>
    </row>
    <row r="950" spans="1:28" ht="17.399999999999999">
      <c r="A950" s="307"/>
      <c r="B950" s="307"/>
      <c r="C950" s="307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307"/>
      <c r="R950" s="307"/>
      <c r="S950" s="307"/>
      <c r="T950" s="307"/>
      <c r="U950" s="307"/>
      <c r="V950" s="307"/>
      <c r="W950" s="307"/>
      <c r="X950" s="141"/>
      <c r="Y950" s="307"/>
      <c r="Z950" s="307"/>
      <c r="AA950" s="307"/>
      <c r="AB950" s="307"/>
    </row>
    <row r="951" spans="1:28" ht="17.399999999999999">
      <c r="A951" s="307"/>
      <c r="B951" s="307"/>
      <c r="C951" s="307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307"/>
      <c r="R951" s="307"/>
      <c r="S951" s="307"/>
      <c r="T951" s="307"/>
      <c r="U951" s="307"/>
      <c r="V951" s="307"/>
      <c r="W951" s="307"/>
      <c r="X951" s="141"/>
      <c r="Y951" s="307"/>
      <c r="Z951" s="307"/>
      <c r="AA951" s="307"/>
      <c r="AB951" s="307"/>
    </row>
    <row r="952" spans="1:28" ht="17.399999999999999">
      <c r="A952" s="307"/>
      <c r="B952" s="307"/>
      <c r="C952" s="307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307"/>
      <c r="R952" s="307"/>
      <c r="S952" s="307"/>
      <c r="T952" s="307"/>
      <c r="U952" s="307"/>
      <c r="V952" s="307"/>
      <c r="W952" s="307"/>
      <c r="X952" s="141"/>
      <c r="Y952" s="307"/>
      <c r="Z952" s="307"/>
      <c r="AA952" s="307"/>
      <c r="AB952" s="307"/>
    </row>
    <row r="953" spans="1:28" ht="17.399999999999999">
      <c r="A953" s="307"/>
      <c r="B953" s="307"/>
      <c r="C953" s="307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307"/>
      <c r="R953" s="307"/>
      <c r="S953" s="307"/>
      <c r="T953" s="307"/>
      <c r="U953" s="307"/>
      <c r="V953" s="307"/>
      <c r="W953" s="307"/>
      <c r="X953" s="141"/>
      <c r="Y953" s="307"/>
      <c r="Z953" s="307"/>
      <c r="AA953" s="307"/>
      <c r="AB953" s="307"/>
    </row>
    <row r="954" spans="1:28" ht="17.399999999999999">
      <c r="A954" s="307"/>
      <c r="B954" s="307"/>
      <c r="C954" s="307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307"/>
      <c r="R954" s="307"/>
      <c r="S954" s="307"/>
      <c r="T954" s="307"/>
      <c r="U954" s="307"/>
      <c r="V954" s="307"/>
      <c r="W954" s="307"/>
      <c r="X954" s="141"/>
      <c r="Y954" s="307"/>
      <c r="Z954" s="307"/>
      <c r="AA954" s="307"/>
      <c r="AB954" s="307"/>
    </row>
    <row r="955" spans="1:28" ht="17.399999999999999">
      <c r="A955" s="307"/>
      <c r="B955" s="307"/>
      <c r="C955" s="307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307"/>
      <c r="R955" s="307"/>
      <c r="S955" s="307"/>
      <c r="T955" s="307"/>
      <c r="U955" s="307"/>
      <c r="V955" s="307"/>
      <c r="W955" s="307"/>
      <c r="X955" s="141"/>
      <c r="Y955" s="307"/>
      <c r="Z955" s="307"/>
      <c r="AA955" s="307"/>
      <c r="AB955" s="307"/>
    </row>
    <row r="956" spans="1:28" ht="17.399999999999999">
      <c r="A956" s="307"/>
      <c r="B956" s="307"/>
      <c r="C956" s="307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307"/>
      <c r="R956" s="307"/>
      <c r="S956" s="307"/>
      <c r="T956" s="307"/>
      <c r="U956" s="307"/>
      <c r="V956" s="307"/>
      <c r="W956" s="307"/>
      <c r="X956" s="141"/>
      <c r="Y956" s="307"/>
      <c r="Z956" s="307"/>
      <c r="AA956" s="307"/>
      <c r="AB956" s="307"/>
    </row>
    <row r="957" spans="1:28" ht="17.399999999999999">
      <c r="A957" s="307"/>
      <c r="B957" s="307"/>
      <c r="C957" s="307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307"/>
      <c r="R957" s="307"/>
      <c r="S957" s="307"/>
      <c r="T957" s="307"/>
      <c r="U957" s="307"/>
      <c r="V957" s="307"/>
      <c r="W957" s="307"/>
      <c r="X957" s="141"/>
      <c r="Y957" s="307"/>
      <c r="Z957" s="307"/>
      <c r="AA957" s="307"/>
      <c r="AB957" s="307"/>
    </row>
    <row r="958" spans="1:28" ht="17.399999999999999">
      <c r="A958" s="307"/>
      <c r="B958" s="307"/>
      <c r="C958" s="307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307"/>
      <c r="R958" s="307"/>
      <c r="S958" s="307"/>
      <c r="T958" s="307"/>
      <c r="U958" s="307"/>
      <c r="V958" s="307"/>
      <c r="W958" s="307"/>
      <c r="X958" s="141"/>
      <c r="Y958" s="307"/>
      <c r="Z958" s="307"/>
      <c r="AA958" s="307"/>
      <c r="AB958" s="307"/>
    </row>
    <row r="959" spans="1:28" ht="17.399999999999999">
      <c r="A959" s="307"/>
      <c r="B959" s="307"/>
      <c r="C959" s="307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307"/>
      <c r="R959" s="307"/>
      <c r="S959" s="307"/>
      <c r="T959" s="307"/>
      <c r="U959" s="307"/>
      <c r="V959" s="307"/>
      <c r="W959" s="307"/>
      <c r="X959" s="141"/>
      <c r="Y959" s="307"/>
      <c r="Z959" s="307"/>
      <c r="AA959" s="307"/>
      <c r="AB959" s="307"/>
    </row>
    <row r="960" spans="1:28" ht="17.399999999999999">
      <c r="A960" s="307"/>
      <c r="B960" s="307"/>
      <c r="C960" s="307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307"/>
      <c r="R960" s="307"/>
      <c r="S960" s="307"/>
      <c r="T960" s="307"/>
      <c r="U960" s="307"/>
      <c r="V960" s="307"/>
      <c r="W960" s="307"/>
      <c r="X960" s="141"/>
      <c r="Y960" s="307"/>
      <c r="Z960" s="307"/>
      <c r="AA960" s="307"/>
      <c r="AB960" s="307"/>
    </row>
    <row r="961" spans="1:28" ht="17.399999999999999">
      <c r="A961" s="307"/>
      <c r="B961" s="307"/>
      <c r="C961" s="307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307"/>
      <c r="R961" s="307"/>
      <c r="S961" s="307"/>
      <c r="T961" s="307"/>
      <c r="U961" s="307"/>
      <c r="V961" s="307"/>
      <c r="W961" s="307"/>
      <c r="X961" s="141"/>
      <c r="Y961" s="307"/>
      <c r="Z961" s="307"/>
      <c r="AA961" s="307"/>
      <c r="AB961" s="307"/>
    </row>
    <row r="962" spans="1:28" ht="17.399999999999999">
      <c r="A962" s="307"/>
      <c r="B962" s="307"/>
      <c r="C962" s="307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307"/>
      <c r="R962" s="307"/>
      <c r="S962" s="307"/>
      <c r="T962" s="307"/>
      <c r="U962" s="307"/>
      <c r="V962" s="307"/>
      <c r="W962" s="307"/>
      <c r="X962" s="141"/>
      <c r="Y962" s="307"/>
      <c r="Z962" s="307"/>
      <c r="AA962" s="307"/>
      <c r="AB962" s="307"/>
    </row>
    <row r="963" spans="1:28" ht="17.399999999999999">
      <c r="A963" s="307"/>
      <c r="B963" s="307"/>
      <c r="C963" s="307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307"/>
      <c r="R963" s="307"/>
      <c r="S963" s="307"/>
      <c r="T963" s="307"/>
      <c r="U963" s="307"/>
      <c r="V963" s="307"/>
      <c r="W963" s="307"/>
      <c r="X963" s="141"/>
      <c r="Y963" s="307"/>
      <c r="Z963" s="307"/>
      <c r="AA963" s="307"/>
      <c r="AB963" s="307"/>
    </row>
    <row r="964" spans="1:28" ht="17.399999999999999">
      <c r="A964" s="307"/>
      <c r="B964" s="307"/>
      <c r="C964" s="307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307"/>
      <c r="R964" s="307"/>
      <c r="S964" s="307"/>
      <c r="T964" s="307"/>
      <c r="U964" s="307"/>
      <c r="V964" s="307"/>
      <c r="W964" s="307"/>
      <c r="X964" s="141"/>
      <c r="Y964" s="307"/>
      <c r="Z964" s="307"/>
      <c r="AA964" s="307"/>
      <c r="AB964" s="307"/>
    </row>
    <row r="965" spans="1:28" ht="17.399999999999999">
      <c r="A965" s="307"/>
      <c r="B965" s="307"/>
      <c r="C965" s="307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307"/>
      <c r="R965" s="307"/>
      <c r="S965" s="307"/>
      <c r="T965" s="307"/>
      <c r="U965" s="307"/>
      <c r="V965" s="307"/>
      <c r="W965" s="307"/>
      <c r="X965" s="141"/>
      <c r="Y965" s="307"/>
      <c r="Z965" s="307"/>
      <c r="AA965" s="307"/>
      <c r="AB965" s="307"/>
    </row>
    <row r="966" spans="1:28" ht="17.399999999999999">
      <c r="A966" s="307"/>
      <c r="B966" s="307"/>
      <c r="C966" s="307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307"/>
      <c r="R966" s="307"/>
      <c r="S966" s="307"/>
      <c r="T966" s="307"/>
      <c r="U966" s="307"/>
      <c r="V966" s="307"/>
      <c r="W966" s="307"/>
      <c r="X966" s="141"/>
      <c r="Y966" s="307"/>
      <c r="Z966" s="307"/>
      <c r="AA966" s="307"/>
      <c r="AB966" s="307"/>
    </row>
    <row r="967" spans="1:28" ht="17.399999999999999">
      <c r="A967" s="307"/>
      <c r="B967" s="307"/>
      <c r="C967" s="307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307"/>
      <c r="R967" s="307"/>
      <c r="S967" s="307"/>
      <c r="T967" s="307"/>
      <c r="U967" s="307"/>
      <c r="V967" s="307"/>
      <c r="W967" s="307"/>
      <c r="X967" s="141"/>
      <c r="Y967" s="307"/>
      <c r="Z967" s="307"/>
      <c r="AA967" s="307"/>
      <c r="AB967" s="307"/>
    </row>
    <row r="968" spans="1:28" ht="17.399999999999999">
      <c r="A968" s="307"/>
      <c r="B968" s="307"/>
      <c r="C968" s="307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307"/>
      <c r="R968" s="307"/>
      <c r="S968" s="307"/>
      <c r="T968" s="307"/>
      <c r="U968" s="307"/>
      <c r="V968" s="307"/>
      <c r="W968" s="307"/>
      <c r="X968" s="141"/>
      <c r="Y968" s="307"/>
      <c r="Z968" s="307"/>
      <c r="AA968" s="307"/>
      <c r="AB968" s="307"/>
    </row>
    <row r="969" spans="1:28" ht="17.399999999999999">
      <c r="A969" s="307"/>
      <c r="B969" s="307"/>
      <c r="C969" s="307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307"/>
      <c r="R969" s="307"/>
      <c r="S969" s="307"/>
      <c r="T969" s="307"/>
      <c r="U969" s="307"/>
      <c r="V969" s="307"/>
      <c r="W969" s="307"/>
      <c r="X969" s="141"/>
      <c r="Y969" s="307"/>
      <c r="Z969" s="307"/>
      <c r="AA969" s="307"/>
      <c r="AB969" s="307"/>
    </row>
    <row r="970" spans="1:28" ht="17.399999999999999">
      <c r="A970" s="307"/>
      <c r="B970" s="307"/>
      <c r="C970" s="307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307"/>
      <c r="R970" s="307"/>
      <c r="S970" s="307"/>
      <c r="T970" s="307"/>
      <c r="U970" s="307"/>
      <c r="V970" s="307"/>
      <c r="W970" s="307"/>
      <c r="X970" s="141"/>
      <c r="Y970" s="307"/>
      <c r="Z970" s="307"/>
      <c r="AA970" s="307"/>
      <c r="AB970" s="307"/>
    </row>
    <row r="971" spans="1:28" ht="17.399999999999999">
      <c r="A971" s="307"/>
      <c r="B971" s="307"/>
      <c r="C971" s="307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307"/>
      <c r="R971" s="307"/>
      <c r="S971" s="307"/>
      <c r="T971" s="307"/>
      <c r="U971" s="307"/>
      <c r="V971" s="307"/>
      <c r="W971" s="307"/>
      <c r="X971" s="141"/>
      <c r="Y971" s="307"/>
      <c r="Z971" s="307"/>
      <c r="AA971" s="307"/>
      <c r="AB971" s="307"/>
    </row>
    <row r="972" spans="1:28" ht="17.399999999999999">
      <c r="A972" s="307"/>
      <c r="B972" s="307"/>
      <c r="C972" s="307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307"/>
      <c r="R972" s="307"/>
      <c r="S972" s="307"/>
      <c r="T972" s="307"/>
      <c r="U972" s="307"/>
      <c r="V972" s="307"/>
      <c r="W972" s="307"/>
      <c r="X972" s="141"/>
      <c r="Y972" s="307"/>
      <c r="Z972" s="307"/>
      <c r="AA972" s="307"/>
      <c r="AB972" s="307"/>
    </row>
    <row r="973" spans="1:28" ht="17.399999999999999">
      <c r="A973" s="307"/>
      <c r="B973" s="307"/>
      <c r="C973" s="307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307"/>
      <c r="R973" s="307"/>
      <c r="S973" s="307"/>
      <c r="T973" s="307"/>
      <c r="U973" s="307"/>
      <c r="V973" s="307"/>
      <c r="W973" s="307"/>
      <c r="X973" s="141"/>
      <c r="Y973" s="307"/>
      <c r="Z973" s="307"/>
      <c r="AA973" s="307"/>
      <c r="AB973" s="307"/>
    </row>
    <row r="974" spans="1:28" ht="17.399999999999999">
      <c r="A974" s="307"/>
      <c r="B974" s="307"/>
      <c r="C974" s="307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307"/>
      <c r="R974" s="307"/>
      <c r="S974" s="307"/>
      <c r="T974" s="307"/>
      <c r="U974" s="307"/>
      <c r="V974" s="307"/>
      <c r="W974" s="307"/>
      <c r="X974" s="141"/>
      <c r="Y974" s="307"/>
      <c r="Z974" s="307"/>
      <c r="AA974" s="307"/>
      <c r="AB974" s="307"/>
    </row>
    <row r="975" spans="1:28" ht="17.399999999999999">
      <c r="A975" s="307"/>
      <c r="B975" s="307"/>
      <c r="C975" s="307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307"/>
      <c r="R975" s="307"/>
      <c r="S975" s="307"/>
      <c r="T975" s="307"/>
      <c r="U975" s="307"/>
      <c r="V975" s="307"/>
      <c r="W975" s="307"/>
      <c r="X975" s="141"/>
      <c r="Y975" s="307"/>
      <c r="Z975" s="307"/>
      <c r="AA975" s="307"/>
      <c r="AB975" s="307"/>
    </row>
    <row r="976" spans="1:28" ht="17.399999999999999">
      <c r="A976" s="307"/>
      <c r="B976" s="307"/>
      <c r="C976" s="307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307"/>
      <c r="R976" s="307"/>
      <c r="S976" s="307"/>
      <c r="T976" s="307"/>
      <c r="U976" s="307"/>
      <c r="V976" s="307"/>
      <c r="W976" s="307"/>
      <c r="X976" s="141"/>
      <c r="Y976" s="307"/>
      <c r="Z976" s="307"/>
      <c r="AA976" s="307"/>
      <c r="AB976" s="307"/>
    </row>
    <row r="977" spans="1:28" ht="17.399999999999999">
      <c r="A977" s="307"/>
      <c r="B977" s="307"/>
      <c r="C977" s="307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307"/>
      <c r="R977" s="307"/>
      <c r="S977" s="307"/>
      <c r="T977" s="307"/>
      <c r="U977" s="307"/>
      <c r="V977" s="307"/>
      <c r="W977" s="307"/>
      <c r="X977" s="141"/>
      <c r="Y977" s="307"/>
      <c r="Z977" s="307"/>
      <c r="AA977" s="307"/>
      <c r="AB977" s="307"/>
    </row>
    <row r="978" spans="1:28" ht="17.399999999999999">
      <c r="A978" s="307"/>
      <c r="B978" s="307"/>
      <c r="C978" s="307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307"/>
      <c r="R978" s="307"/>
      <c r="S978" s="307"/>
      <c r="T978" s="307"/>
      <c r="U978" s="307"/>
      <c r="V978" s="307"/>
      <c r="W978" s="307"/>
      <c r="X978" s="141"/>
      <c r="Y978" s="307"/>
      <c r="Z978" s="307"/>
      <c r="AA978" s="307"/>
      <c r="AB978" s="307"/>
    </row>
    <row r="979" spans="1:28" ht="17.399999999999999">
      <c r="A979" s="307"/>
      <c r="B979" s="307"/>
      <c r="C979" s="307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307"/>
      <c r="R979" s="307"/>
      <c r="S979" s="307"/>
      <c r="T979" s="307"/>
      <c r="U979" s="307"/>
      <c r="V979" s="307"/>
      <c r="W979" s="307"/>
      <c r="X979" s="141"/>
      <c r="Y979" s="307"/>
      <c r="Z979" s="307"/>
      <c r="AA979" s="307"/>
      <c r="AB979" s="307"/>
    </row>
    <row r="980" spans="1:28" ht="17.399999999999999">
      <c r="A980" s="307"/>
      <c r="B980" s="307"/>
      <c r="C980" s="307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307"/>
      <c r="R980" s="307"/>
      <c r="S980" s="307"/>
      <c r="T980" s="307"/>
      <c r="U980" s="307"/>
      <c r="V980" s="307"/>
      <c r="W980" s="307"/>
      <c r="X980" s="141"/>
      <c r="Y980" s="307"/>
      <c r="Z980" s="307"/>
      <c r="AA980" s="307"/>
      <c r="AB980" s="307"/>
    </row>
    <row r="981" spans="1:28" ht="17.399999999999999">
      <c r="A981" s="307"/>
      <c r="B981" s="307"/>
      <c r="C981" s="307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307"/>
      <c r="R981" s="307"/>
      <c r="S981" s="307"/>
      <c r="T981" s="307"/>
      <c r="U981" s="307"/>
      <c r="V981" s="307"/>
      <c r="W981" s="307"/>
      <c r="X981" s="141"/>
      <c r="Y981" s="307"/>
      <c r="Z981" s="307"/>
      <c r="AA981" s="307"/>
      <c r="AB981" s="307"/>
    </row>
    <row r="982" spans="1:28" ht="17.399999999999999">
      <c r="A982" s="307"/>
      <c r="B982" s="307"/>
      <c r="C982" s="307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307"/>
      <c r="R982" s="307"/>
      <c r="S982" s="307"/>
      <c r="T982" s="307"/>
      <c r="U982" s="307"/>
      <c r="V982" s="307"/>
      <c r="W982" s="307"/>
      <c r="X982" s="141"/>
      <c r="Y982" s="307"/>
      <c r="Z982" s="307"/>
      <c r="AA982" s="307"/>
      <c r="AB982" s="307"/>
    </row>
    <row r="983" spans="1:28" ht="17.399999999999999">
      <c r="A983" s="307"/>
      <c r="B983" s="307"/>
      <c r="C983" s="307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307"/>
      <c r="R983" s="307"/>
      <c r="S983" s="307"/>
      <c r="T983" s="307"/>
      <c r="U983" s="307"/>
      <c r="V983" s="307"/>
      <c r="W983" s="307"/>
      <c r="X983" s="141"/>
      <c r="Y983" s="307"/>
      <c r="Z983" s="307"/>
      <c r="AA983" s="307"/>
      <c r="AB983" s="307"/>
    </row>
    <row r="984" spans="1:28" ht="17.399999999999999">
      <c r="A984" s="307"/>
      <c r="B984" s="307"/>
      <c r="C984" s="307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307"/>
      <c r="R984" s="307"/>
      <c r="S984" s="307"/>
      <c r="T984" s="307"/>
      <c r="U984" s="307"/>
      <c r="V984" s="307"/>
      <c r="W984" s="307"/>
      <c r="X984" s="141"/>
      <c r="Y984" s="307"/>
      <c r="Z984" s="307"/>
      <c r="AA984" s="307"/>
      <c r="AB984" s="307"/>
    </row>
    <row r="985" spans="1:28" ht="17.399999999999999">
      <c r="A985" s="307"/>
      <c r="B985" s="307"/>
      <c r="C985" s="307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307"/>
      <c r="R985" s="307"/>
      <c r="S985" s="307"/>
      <c r="T985" s="307"/>
      <c r="U985" s="307"/>
      <c r="V985" s="307"/>
      <c r="W985" s="307"/>
      <c r="X985" s="141"/>
      <c r="Y985" s="307"/>
      <c r="Z985" s="307"/>
      <c r="AA985" s="307"/>
      <c r="AB985" s="307"/>
    </row>
    <row r="986" spans="1:28" ht="17.399999999999999">
      <c r="A986" s="307"/>
      <c r="B986" s="307"/>
      <c r="C986" s="307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307"/>
      <c r="R986" s="307"/>
      <c r="S986" s="307"/>
      <c r="T986" s="307"/>
      <c r="U986" s="307"/>
      <c r="V986" s="307"/>
      <c r="W986" s="307"/>
      <c r="X986" s="141"/>
      <c r="Y986" s="307"/>
      <c r="Z986" s="307"/>
      <c r="AA986" s="307"/>
      <c r="AB986" s="307"/>
    </row>
    <row r="987" spans="1:28" ht="17.399999999999999">
      <c r="A987" s="307"/>
      <c r="B987" s="307"/>
      <c r="C987" s="307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307"/>
      <c r="R987" s="307"/>
      <c r="S987" s="307"/>
      <c r="T987" s="307"/>
      <c r="U987" s="307"/>
      <c r="V987" s="307"/>
      <c r="W987" s="307"/>
      <c r="X987" s="141"/>
      <c r="Y987" s="307"/>
      <c r="Z987" s="307"/>
      <c r="AA987" s="307"/>
      <c r="AB987" s="307"/>
    </row>
    <row r="988" spans="1:28" ht="17.399999999999999">
      <c r="A988" s="307"/>
      <c r="B988" s="307"/>
      <c r="C988" s="307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307"/>
      <c r="R988" s="307"/>
      <c r="S988" s="307"/>
      <c r="T988" s="307"/>
      <c r="U988" s="307"/>
      <c r="V988" s="307"/>
      <c r="W988" s="307"/>
      <c r="X988" s="141"/>
      <c r="Y988" s="307"/>
      <c r="Z988" s="307"/>
      <c r="AA988" s="307"/>
      <c r="AB988" s="307"/>
    </row>
    <row r="989" spans="1:28" ht="17.399999999999999">
      <c r="A989" s="307"/>
      <c r="B989" s="307"/>
      <c r="C989" s="307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307"/>
      <c r="R989" s="307"/>
      <c r="S989" s="307"/>
      <c r="T989" s="307"/>
      <c r="U989" s="307"/>
      <c r="V989" s="307"/>
      <c r="W989" s="307"/>
      <c r="X989" s="141"/>
      <c r="Y989" s="307"/>
      <c r="Z989" s="307"/>
      <c r="AA989" s="307"/>
      <c r="AB989" s="307"/>
    </row>
    <row r="990" spans="1:28" ht="17.399999999999999">
      <c r="A990" s="307"/>
      <c r="B990" s="307"/>
      <c r="C990" s="307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307"/>
      <c r="R990" s="307"/>
      <c r="S990" s="307"/>
      <c r="T990" s="307"/>
      <c r="U990" s="307"/>
      <c r="V990" s="307"/>
      <c r="W990" s="307"/>
      <c r="X990" s="141"/>
      <c r="Y990" s="307"/>
      <c r="Z990" s="307"/>
      <c r="AA990" s="307"/>
      <c r="AB990" s="307"/>
    </row>
    <row r="991" spans="1:28" ht="17.399999999999999">
      <c r="A991" s="307"/>
      <c r="B991" s="307"/>
      <c r="C991" s="307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307"/>
      <c r="R991" s="307"/>
      <c r="S991" s="307"/>
      <c r="T991" s="307"/>
      <c r="U991" s="307"/>
      <c r="V991" s="307"/>
      <c r="W991" s="307"/>
      <c r="X991" s="141"/>
      <c r="Y991" s="307"/>
      <c r="Z991" s="307"/>
      <c r="AA991" s="307"/>
      <c r="AB991" s="307"/>
    </row>
    <row r="992" spans="1:28" ht="17.399999999999999">
      <c r="A992" s="307"/>
      <c r="B992" s="307"/>
      <c r="C992" s="307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307"/>
      <c r="R992" s="307"/>
      <c r="S992" s="307"/>
      <c r="T992" s="307"/>
      <c r="U992" s="307"/>
      <c r="V992" s="307"/>
      <c r="W992" s="307"/>
      <c r="X992" s="141"/>
      <c r="Y992" s="307"/>
      <c r="Z992" s="307"/>
      <c r="AA992" s="307"/>
      <c r="AB992" s="307"/>
    </row>
    <row r="993" spans="1:28" ht="17.399999999999999">
      <c r="A993" s="307"/>
      <c r="B993" s="307"/>
      <c r="C993" s="307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307"/>
      <c r="R993" s="307"/>
      <c r="S993" s="307"/>
      <c r="T993" s="307"/>
      <c r="U993" s="307"/>
      <c r="V993" s="307"/>
      <c r="W993" s="307"/>
      <c r="X993" s="141"/>
      <c r="Y993" s="307"/>
      <c r="Z993" s="307"/>
      <c r="AA993" s="307"/>
      <c r="AB993" s="307"/>
    </row>
    <row r="994" spans="1:28" ht="17.399999999999999">
      <c r="A994" s="307"/>
      <c r="B994" s="307"/>
      <c r="C994" s="307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307"/>
      <c r="R994" s="307"/>
      <c r="S994" s="307"/>
      <c r="T994" s="307"/>
      <c r="U994" s="307"/>
      <c r="V994" s="307"/>
      <c r="W994" s="307"/>
      <c r="X994" s="141"/>
      <c r="Y994" s="307"/>
      <c r="Z994" s="307"/>
      <c r="AA994" s="307"/>
      <c r="AB994" s="307"/>
    </row>
    <row r="995" spans="1:28" ht="17.399999999999999">
      <c r="A995" s="307"/>
      <c r="B995" s="307"/>
      <c r="C995" s="307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307"/>
      <c r="R995" s="307"/>
      <c r="S995" s="307"/>
      <c r="T995" s="307"/>
      <c r="U995" s="307"/>
      <c r="V995" s="307"/>
      <c r="W995" s="307"/>
      <c r="X995" s="141"/>
      <c r="Y995" s="307"/>
      <c r="Z995" s="307"/>
      <c r="AA995" s="307"/>
      <c r="AB995" s="307"/>
    </row>
    <row r="996" spans="1:28" ht="17.399999999999999">
      <c r="A996" s="307"/>
      <c r="B996" s="307"/>
      <c r="C996" s="307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307"/>
      <c r="R996" s="307"/>
      <c r="S996" s="307"/>
      <c r="T996" s="307"/>
      <c r="U996" s="307"/>
      <c r="V996" s="307"/>
      <c r="W996" s="307"/>
      <c r="X996" s="141"/>
      <c r="Y996" s="307"/>
      <c r="Z996" s="307"/>
      <c r="AA996" s="307"/>
      <c r="AB996" s="307"/>
    </row>
    <row r="997" spans="1:28" ht="17.399999999999999">
      <c r="A997" s="307"/>
      <c r="B997" s="307"/>
      <c r="C997" s="307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307"/>
      <c r="R997" s="307"/>
      <c r="S997" s="307"/>
      <c r="T997" s="307"/>
      <c r="U997" s="307"/>
      <c r="V997" s="307"/>
      <c r="W997" s="307"/>
      <c r="X997" s="141"/>
      <c r="Y997" s="307"/>
      <c r="Z997" s="307"/>
      <c r="AA997" s="307"/>
      <c r="AB997" s="307"/>
    </row>
    <row r="998" spans="1:28" ht="17.399999999999999">
      <c r="A998" s="307"/>
      <c r="B998" s="307"/>
      <c r="C998" s="307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307"/>
      <c r="R998" s="307"/>
      <c r="S998" s="307"/>
      <c r="T998" s="307"/>
      <c r="U998" s="307"/>
      <c r="V998" s="307"/>
      <c r="W998" s="307"/>
      <c r="X998" s="141"/>
      <c r="Y998" s="307"/>
      <c r="Z998" s="307"/>
      <c r="AA998" s="307"/>
      <c r="AB998" s="307"/>
    </row>
    <row r="999" spans="1:28" ht="17.399999999999999">
      <c r="A999" s="307"/>
      <c r="B999" s="307"/>
      <c r="C999" s="307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307"/>
      <c r="R999" s="307"/>
      <c r="S999" s="307"/>
      <c r="T999" s="307"/>
      <c r="U999" s="307"/>
      <c r="V999" s="307"/>
      <c r="W999" s="307"/>
      <c r="X999" s="141"/>
      <c r="Y999" s="307"/>
      <c r="Z999" s="307"/>
      <c r="AA999" s="307"/>
      <c r="AB999" s="307"/>
    </row>
    <row r="1000" spans="1:28" ht="17.399999999999999">
      <c r="A1000" s="307"/>
      <c r="B1000" s="307"/>
      <c r="C1000" s="307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307"/>
      <c r="R1000" s="307"/>
      <c r="S1000" s="307"/>
      <c r="T1000" s="307"/>
      <c r="U1000" s="307"/>
      <c r="V1000" s="307"/>
      <c r="W1000" s="307"/>
      <c r="X1000" s="141"/>
      <c r="Y1000" s="307"/>
      <c r="Z1000" s="307"/>
      <c r="AA1000" s="307"/>
      <c r="AB1000" s="307"/>
    </row>
    <row r="1001" spans="1:28" ht="17.399999999999999">
      <c r="A1001" s="307"/>
      <c r="B1001" s="307"/>
      <c r="C1001" s="307"/>
      <c r="D1001" s="122"/>
      <c r="E1001" s="122"/>
      <c r="F1001" s="122"/>
      <c r="G1001" s="12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307"/>
      <c r="R1001" s="307"/>
      <c r="S1001" s="307"/>
      <c r="T1001" s="307"/>
      <c r="U1001" s="307"/>
      <c r="V1001" s="307"/>
      <c r="W1001" s="307"/>
      <c r="X1001" s="141"/>
      <c r="Y1001" s="307"/>
      <c r="Z1001" s="307"/>
      <c r="AA1001" s="307"/>
      <c r="AB1001" s="307"/>
    </row>
    <row r="1002" spans="1:28" ht="17.399999999999999">
      <c r="A1002" s="307"/>
      <c r="B1002" s="307"/>
      <c r="C1002" s="307"/>
      <c r="D1002" s="122"/>
      <c r="E1002" s="122"/>
      <c r="F1002" s="122"/>
      <c r="G1002" s="122"/>
      <c r="H1002" s="122"/>
      <c r="I1002" s="122"/>
      <c r="J1002" s="122"/>
      <c r="K1002" s="122"/>
      <c r="L1002" s="122"/>
      <c r="M1002" s="122"/>
      <c r="N1002" s="122"/>
      <c r="O1002" s="122"/>
      <c r="P1002" s="122"/>
      <c r="Q1002" s="307"/>
      <c r="R1002" s="307"/>
      <c r="S1002" s="307"/>
      <c r="T1002" s="307"/>
      <c r="U1002" s="307"/>
      <c r="V1002" s="307"/>
      <c r="W1002" s="307"/>
      <c r="X1002" s="141"/>
      <c r="Y1002" s="307"/>
      <c r="Z1002" s="307"/>
      <c r="AA1002" s="307"/>
      <c r="AB1002" s="307"/>
    </row>
    <row r="1003" spans="1:28" ht="17.399999999999999">
      <c r="A1003" s="307"/>
      <c r="B1003" s="307"/>
      <c r="C1003" s="307"/>
      <c r="D1003" s="122"/>
      <c r="E1003" s="122"/>
      <c r="F1003" s="122"/>
      <c r="G1003" s="122"/>
      <c r="H1003" s="122"/>
      <c r="I1003" s="122"/>
      <c r="J1003" s="122"/>
      <c r="K1003" s="122"/>
      <c r="L1003" s="122"/>
      <c r="M1003" s="122"/>
      <c r="N1003" s="122"/>
      <c r="O1003" s="122"/>
      <c r="P1003" s="122"/>
      <c r="Q1003" s="307"/>
      <c r="R1003" s="307"/>
      <c r="S1003" s="307"/>
      <c r="T1003" s="307"/>
      <c r="U1003" s="307"/>
      <c r="V1003" s="307"/>
      <c r="W1003" s="307"/>
      <c r="X1003" s="141"/>
      <c r="Y1003" s="307"/>
      <c r="Z1003" s="307"/>
      <c r="AA1003" s="307"/>
      <c r="AB1003" s="307"/>
    </row>
    <row r="1004" spans="1:28" ht="17.399999999999999">
      <c r="A1004" s="307"/>
      <c r="B1004" s="307"/>
      <c r="C1004" s="307"/>
      <c r="D1004" s="122"/>
      <c r="E1004" s="122"/>
      <c r="F1004" s="122"/>
      <c r="G1004" s="122"/>
      <c r="H1004" s="122"/>
      <c r="I1004" s="122"/>
      <c r="J1004" s="122"/>
      <c r="K1004" s="122"/>
      <c r="L1004" s="122"/>
      <c r="M1004" s="122"/>
      <c r="N1004" s="122"/>
      <c r="O1004" s="122"/>
      <c r="P1004" s="122"/>
      <c r="Q1004" s="307"/>
      <c r="R1004" s="307"/>
      <c r="S1004" s="307"/>
      <c r="T1004" s="307"/>
      <c r="U1004" s="307"/>
      <c r="V1004" s="307"/>
      <c r="W1004" s="307"/>
      <c r="X1004" s="141"/>
      <c r="Y1004" s="307"/>
      <c r="Z1004" s="307"/>
      <c r="AA1004" s="307"/>
      <c r="AB1004" s="307"/>
    </row>
    <row r="1005" spans="1:28" ht="17.399999999999999">
      <c r="A1005" s="307"/>
      <c r="B1005" s="307"/>
      <c r="C1005" s="307"/>
      <c r="D1005" s="122"/>
      <c r="E1005" s="122"/>
      <c r="F1005" s="122"/>
      <c r="G1005" s="122"/>
      <c r="H1005" s="122"/>
      <c r="I1005" s="122"/>
      <c r="J1005" s="122"/>
      <c r="K1005" s="122"/>
      <c r="L1005" s="122"/>
      <c r="M1005" s="122"/>
      <c r="N1005" s="122"/>
      <c r="O1005" s="122"/>
      <c r="P1005" s="122"/>
      <c r="Q1005" s="307"/>
      <c r="R1005" s="307"/>
      <c r="S1005" s="307"/>
      <c r="T1005" s="307"/>
      <c r="U1005" s="307"/>
      <c r="V1005" s="307"/>
      <c r="W1005" s="307"/>
      <c r="X1005" s="141"/>
      <c r="Y1005" s="307"/>
      <c r="Z1005" s="307"/>
      <c r="AA1005" s="307"/>
      <c r="AB1005" s="307"/>
    </row>
    <row r="1006" spans="1:28" ht="17.399999999999999">
      <c r="A1006" s="307"/>
      <c r="B1006" s="307"/>
      <c r="C1006" s="307"/>
      <c r="D1006" s="122"/>
      <c r="E1006" s="122"/>
      <c r="F1006" s="122"/>
      <c r="G1006" s="122"/>
      <c r="H1006" s="122"/>
      <c r="I1006" s="122"/>
      <c r="J1006" s="122"/>
      <c r="K1006" s="122"/>
      <c r="L1006" s="122"/>
      <c r="M1006" s="122"/>
      <c r="N1006" s="122"/>
      <c r="O1006" s="122"/>
      <c r="P1006" s="122"/>
      <c r="Q1006" s="307"/>
      <c r="R1006" s="307"/>
      <c r="S1006" s="307"/>
      <c r="T1006" s="307"/>
      <c r="U1006" s="307"/>
      <c r="V1006" s="307"/>
      <c r="W1006" s="307"/>
      <c r="X1006" s="141"/>
      <c r="Y1006" s="307"/>
      <c r="Z1006" s="307"/>
      <c r="AA1006" s="307"/>
      <c r="AB1006" s="307"/>
    </row>
    <row r="1007" spans="1:28" ht="17.399999999999999">
      <c r="A1007" s="307"/>
      <c r="B1007" s="307"/>
      <c r="C1007" s="307"/>
      <c r="D1007" s="122"/>
      <c r="E1007" s="122"/>
      <c r="F1007" s="122"/>
      <c r="G1007" s="122"/>
      <c r="H1007" s="122"/>
      <c r="I1007" s="122"/>
      <c r="J1007" s="122"/>
      <c r="K1007" s="122"/>
      <c r="L1007" s="122"/>
      <c r="M1007" s="122"/>
      <c r="N1007" s="122"/>
      <c r="O1007" s="122"/>
      <c r="P1007" s="122"/>
      <c r="Q1007" s="307"/>
      <c r="R1007" s="307"/>
      <c r="S1007" s="307"/>
      <c r="T1007" s="307"/>
      <c r="U1007" s="307"/>
      <c r="V1007" s="307"/>
      <c r="W1007" s="307"/>
      <c r="X1007" s="141"/>
      <c r="Y1007" s="307"/>
      <c r="Z1007" s="307"/>
      <c r="AA1007" s="307"/>
      <c r="AB1007" s="307"/>
    </row>
    <row r="1008" spans="1:28" ht="17.399999999999999">
      <c r="A1008" s="307"/>
      <c r="B1008" s="307"/>
      <c r="C1008" s="307"/>
      <c r="D1008" s="122"/>
      <c r="E1008" s="122"/>
      <c r="F1008" s="122"/>
      <c r="G1008" s="122"/>
      <c r="H1008" s="122"/>
      <c r="I1008" s="122"/>
      <c r="J1008" s="122"/>
      <c r="K1008" s="122"/>
      <c r="L1008" s="122"/>
      <c r="M1008" s="122"/>
      <c r="N1008" s="122"/>
      <c r="O1008" s="122"/>
      <c r="P1008" s="122"/>
      <c r="Q1008" s="307"/>
      <c r="R1008" s="307"/>
      <c r="S1008" s="307"/>
      <c r="T1008" s="307"/>
      <c r="U1008" s="307"/>
      <c r="V1008" s="307"/>
      <c r="W1008" s="307"/>
      <c r="X1008" s="141"/>
      <c r="Y1008" s="307"/>
      <c r="Z1008" s="307"/>
      <c r="AA1008" s="307"/>
      <c r="AB1008" s="307"/>
    </row>
    <row r="1009" spans="1:28" ht="17.399999999999999">
      <c r="A1009" s="307"/>
      <c r="B1009" s="307"/>
      <c r="C1009" s="307"/>
      <c r="D1009" s="122"/>
      <c r="E1009" s="122"/>
      <c r="F1009" s="122"/>
      <c r="G1009" s="122"/>
      <c r="H1009" s="122"/>
      <c r="I1009" s="122"/>
      <c r="J1009" s="122"/>
      <c r="K1009" s="122"/>
      <c r="L1009" s="122"/>
      <c r="M1009" s="122"/>
      <c r="N1009" s="122"/>
      <c r="O1009" s="122"/>
      <c r="P1009" s="122"/>
      <c r="Q1009" s="307"/>
      <c r="R1009" s="307"/>
      <c r="S1009" s="307"/>
      <c r="T1009" s="307"/>
      <c r="U1009" s="307"/>
      <c r="V1009" s="307"/>
      <c r="W1009" s="307"/>
      <c r="X1009" s="141"/>
      <c r="Y1009" s="307"/>
      <c r="Z1009" s="307"/>
      <c r="AA1009" s="307"/>
      <c r="AB1009" s="307"/>
    </row>
    <row r="1010" spans="1:28" ht="17.399999999999999">
      <c r="A1010" s="307"/>
      <c r="B1010" s="307"/>
      <c r="C1010" s="307"/>
      <c r="D1010" s="122"/>
      <c r="E1010" s="122"/>
      <c r="F1010" s="122"/>
      <c r="G1010" s="122"/>
      <c r="H1010" s="122"/>
      <c r="I1010" s="122"/>
      <c r="J1010" s="122"/>
      <c r="K1010" s="122"/>
      <c r="L1010" s="122"/>
      <c r="M1010" s="122"/>
      <c r="N1010" s="122"/>
      <c r="O1010" s="122"/>
      <c r="P1010" s="122"/>
      <c r="Q1010" s="307"/>
      <c r="R1010" s="307"/>
      <c r="S1010" s="307"/>
      <c r="T1010" s="307"/>
      <c r="U1010" s="307"/>
      <c r="V1010" s="307"/>
      <c r="W1010" s="307"/>
      <c r="X1010" s="141"/>
      <c r="Y1010" s="307"/>
      <c r="Z1010" s="307"/>
      <c r="AA1010" s="307"/>
      <c r="AB1010" s="307"/>
    </row>
    <row r="1011" spans="1:28" ht="17.399999999999999">
      <c r="A1011" s="307"/>
      <c r="B1011" s="307"/>
      <c r="C1011" s="307"/>
      <c r="D1011" s="122"/>
      <c r="E1011" s="122"/>
      <c r="F1011" s="122"/>
      <c r="G1011" s="122"/>
      <c r="H1011" s="122"/>
      <c r="I1011" s="122"/>
      <c r="J1011" s="122"/>
      <c r="K1011" s="122"/>
      <c r="L1011" s="122"/>
      <c r="M1011" s="122"/>
      <c r="N1011" s="122"/>
      <c r="O1011" s="122"/>
      <c r="P1011" s="122"/>
      <c r="Q1011" s="307"/>
      <c r="R1011" s="307"/>
      <c r="S1011" s="307"/>
      <c r="T1011" s="307"/>
      <c r="U1011" s="307"/>
      <c r="V1011" s="307"/>
      <c r="W1011" s="307"/>
      <c r="X1011" s="141"/>
      <c r="Y1011" s="307"/>
      <c r="Z1011" s="307"/>
      <c r="AA1011" s="307"/>
      <c r="AB1011" s="307"/>
    </row>
    <row r="1012" spans="1:28" ht="17.399999999999999">
      <c r="A1012" s="307"/>
      <c r="B1012" s="307"/>
      <c r="C1012" s="307"/>
      <c r="D1012" s="122"/>
      <c r="E1012" s="122"/>
      <c r="F1012" s="122"/>
      <c r="G1012" s="122"/>
      <c r="H1012" s="122"/>
      <c r="I1012" s="122"/>
      <c r="J1012" s="122"/>
      <c r="K1012" s="122"/>
      <c r="L1012" s="122"/>
      <c r="M1012" s="122"/>
      <c r="N1012" s="122"/>
      <c r="O1012" s="122"/>
      <c r="P1012" s="122"/>
      <c r="Q1012" s="307"/>
      <c r="R1012" s="307"/>
      <c r="S1012" s="307"/>
      <c r="T1012" s="307"/>
      <c r="U1012" s="307"/>
      <c r="V1012" s="307"/>
      <c r="W1012" s="307"/>
      <c r="X1012" s="141"/>
      <c r="Y1012" s="307"/>
      <c r="Z1012" s="307"/>
      <c r="AA1012" s="307"/>
      <c r="AB1012" s="307"/>
    </row>
    <row r="1013" spans="1:28" ht="17.399999999999999">
      <c r="A1013" s="307"/>
      <c r="B1013" s="307"/>
      <c r="C1013" s="307"/>
      <c r="D1013" s="122"/>
      <c r="E1013" s="122"/>
      <c r="F1013" s="122"/>
      <c r="G1013" s="122"/>
      <c r="H1013" s="122"/>
      <c r="I1013" s="122"/>
      <c r="J1013" s="122"/>
      <c r="K1013" s="122"/>
      <c r="L1013" s="122"/>
      <c r="M1013" s="122"/>
      <c r="N1013" s="122"/>
      <c r="O1013" s="122"/>
      <c r="P1013" s="122"/>
      <c r="Q1013" s="307"/>
      <c r="R1013" s="307"/>
      <c r="S1013" s="307"/>
      <c r="T1013" s="307"/>
      <c r="U1013" s="307"/>
      <c r="V1013" s="307"/>
      <c r="W1013" s="307"/>
      <c r="X1013" s="141"/>
      <c r="Y1013" s="307"/>
      <c r="Z1013" s="307"/>
      <c r="AA1013" s="307"/>
      <c r="AB1013" s="307"/>
    </row>
    <row r="1014" spans="1:28" ht="17.399999999999999">
      <c r="A1014" s="307"/>
      <c r="B1014" s="307"/>
      <c r="C1014" s="307"/>
      <c r="D1014" s="122"/>
      <c r="E1014" s="122"/>
      <c r="F1014" s="122"/>
      <c r="G1014" s="122"/>
      <c r="H1014" s="122"/>
      <c r="I1014" s="122"/>
      <c r="J1014" s="122"/>
      <c r="K1014" s="122"/>
      <c r="L1014" s="122"/>
      <c r="M1014" s="122"/>
      <c r="N1014" s="122"/>
      <c r="O1014" s="122"/>
      <c r="P1014" s="122"/>
      <c r="Q1014" s="307"/>
      <c r="R1014" s="307"/>
      <c r="S1014" s="307"/>
      <c r="T1014" s="307"/>
      <c r="U1014" s="307"/>
      <c r="V1014" s="307"/>
      <c r="W1014" s="307"/>
      <c r="X1014" s="141"/>
      <c r="Y1014" s="307"/>
      <c r="Z1014" s="307"/>
      <c r="AA1014" s="307"/>
      <c r="AB1014" s="307"/>
    </row>
    <row r="1015" spans="1:28" ht="17.399999999999999">
      <c r="A1015" s="307"/>
      <c r="B1015" s="307"/>
      <c r="C1015" s="307"/>
      <c r="D1015" s="122"/>
      <c r="E1015" s="122"/>
      <c r="F1015" s="122"/>
      <c r="G1015" s="122"/>
      <c r="H1015" s="122"/>
      <c r="I1015" s="122"/>
      <c r="J1015" s="122"/>
      <c r="K1015" s="122"/>
      <c r="L1015" s="122"/>
      <c r="M1015" s="122"/>
      <c r="N1015" s="122"/>
      <c r="O1015" s="122"/>
      <c r="P1015" s="122"/>
      <c r="Q1015" s="307"/>
      <c r="R1015" s="307"/>
      <c r="S1015" s="307"/>
      <c r="T1015" s="307"/>
      <c r="U1015" s="307"/>
      <c r="V1015" s="307"/>
      <c r="W1015" s="307"/>
      <c r="X1015" s="141"/>
      <c r="Y1015" s="307"/>
      <c r="Z1015" s="307"/>
      <c r="AA1015" s="307"/>
      <c r="AB1015" s="307"/>
    </row>
    <row r="1016" spans="1:28" ht="17.399999999999999">
      <c r="A1016" s="307"/>
      <c r="B1016" s="307"/>
      <c r="C1016" s="307"/>
      <c r="D1016" s="122"/>
      <c r="E1016" s="122"/>
      <c r="F1016" s="122"/>
      <c r="G1016" s="122"/>
      <c r="H1016" s="122"/>
      <c r="I1016" s="122"/>
      <c r="J1016" s="122"/>
      <c r="K1016" s="122"/>
      <c r="L1016" s="122"/>
      <c r="M1016" s="122"/>
      <c r="N1016" s="122"/>
      <c r="O1016" s="122"/>
      <c r="P1016" s="122"/>
      <c r="Q1016" s="307"/>
      <c r="R1016" s="307"/>
      <c r="S1016" s="307"/>
      <c r="T1016" s="307"/>
      <c r="U1016" s="307"/>
      <c r="V1016" s="307"/>
      <c r="W1016" s="307"/>
      <c r="X1016" s="141"/>
      <c r="Y1016" s="307"/>
      <c r="Z1016" s="307"/>
      <c r="AA1016" s="307"/>
      <c r="AB1016" s="307"/>
    </row>
    <row r="1017" spans="1:28" ht="17.399999999999999">
      <c r="A1017" s="307"/>
      <c r="B1017" s="307"/>
      <c r="C1017" s="307"/>
      <c r="D1017" s="122"/>
      <c r="E1017" s="122"/>
      <c r="F1017" s="122"/>
      <c r="G1017" s="122"/>
      <c r="H1017" s="122"/>
      <c r="I1017" s="122"/>
      <c r="J1017" s="122"/>
      <c r="K1017" s="122"/>
      <c r="L1017" s="122"/>
      <c r="M1017" s="122"/>
      <c r="N1017" s="122"/>
      <c r="O1017" s="122"/>
      <c r="P1017" s="122"/>
      <c r="Q1017" s="307"/>
      <c r="R1017" s="307"/>
      <c r="S1017" s="307"/>
      <c r="T1017" s="307"/>
      <c r="U1017" s="307"/>
      <c r="V1017" s="307"/>
      <c r="W1017" s="307"/>
      <c r="X1017" s="141"/>
      <c r="Y1017" s="307"/>
      <c r="Z1017" s="307"/>
      <c r="AA1017" s="307"/>
      <c r="AB1017" s="307"/>
    </row>
    <row r="1018" spans="1:28" ht="17.399999999999999">
      <c r="A1018" s="307"/>
      <c r="B1018" s="307"/>
      <c r="C1018" s="307"/>
      <c r="D1018" s="122"/>
      <c r="E1018" s="122"/>
      <c r="F1018" s="122"/>
      <c r="G1018" s="122"/>
      <c r="H1018" s="122"/>
      <c r="I1018" s="122"/>
      <c r="J1018" s="122"/>
      <c r="K1018" s="122"/>
      <c r="L1018" s="122"/>
      <c r="M1018" s="122"/>
      <c r="N1018" s="122"/>
      <c r="O1018" s="122"/>
      <c r="P1018" s="122"/>
      <c r="Q1018" s="307"/>
      <c r="R1018" s="307"/>
      <c r="S1018" s="307"/>
      <c r="T1018" s="307"/>
      <c r="U1018" s="307"/>
      <c r="V1018" s="307"/>
      <c r="W1018" s="307"/>
      <c r="X1018" s="141"/>
      <c r="Y1018" s="307"/>
      <c r="Z1018" s="307"/>
      <c r="AA1018" s="307"/>
      <c r="AB1018" s="307"/>
    </row>
    <row r="1019" spans="1:28" ht="17.399999999999999">
      <c r="A1019" s="307"/>
      <c r="B1019" s="307"/>
      <c r="C1019" s="307"/>
      <c r="D1019" s="122"/>
      <c r="E1019" s="122"/>
      <c r="F1019" s="122"/>
      <c r="G1019" s="122"/>
      <c r="H1019" s="122"/>
      <c r="I1019" s="122"/>
      <c r="J1019" s="122"/>
      <c r="K1019" s="122"/>
      <c r="L1019" s="122"/>
      <c r="M1019" s="122"/>
      <c r="N1019" s="122"/>
      <c r="O1019" s="122"/>
      <c r="P1019" s="122"/>
      <c r="Q1019" s="307"/>
      <c r="R1019" s="307"/>
      <c r="S1019" s="307"/>
      <c r="T1019" s="307"/>
      <c r="U1019" s="307"/>
      <c r="V1019" s="307"/>
      <c r="W1019" s="307"/>
      <c r="X1019" s="141"/>
      <c r="Y1019" s="307"/>
      <c r="Z1019" s="307"/>
      <c r="AA1019" s="307"/>
      <c r="AB1019" s="307"/>
    </row>
    <row r="1020" spans="1:28" ht="17.399999999999999">
      <c r="A1020" s="307"/>
      <c r="B1020" s="307"/>
      <c r="C1020" s="307"/>
      <c r="D1020" s="122"/>
      <c r="E1020" s="122"/>
      <c r="F1020" s="122"/>
      <c r="G1020" s="122"/>
      <c r="H1020" s="122"/>
      <c r="I1020" s="122"/>
      <c r="J1020" s="122"/>
      <c r="K1020" s="122"/>
      <c r="L1020" s="122"/>
      <c r="M1020" s="122"/>
      <c r="N1020" s="122"/>
      <c r="O1020" s="122"/>
      <c r="P1020" s="122"/>
      <c r="Q1020" s="307"/>
      <c r="R1020" s="307"/>
      <c r="S1020" s="307"/>
      <c r="T1020" s="307"/>
      <c r="U1020" s="307"/>
      <c r="V1020" s="307"/>
      <c r="W1020" s="307"/>
      <c r="X1020" s="141"/>
      <c r="Y1020" s="307"/>
      <c r="Z1020" s="307"/>
      <c r="AA1020" s="307"/>
      <c r="AB1020" s="307"/>
    </row>
    <row r="1021" spans="1:28" ht="17.399999999999999">
      <c r="A1021" s="307"/>
      <c r="B1021" s="307"/>
      <c r="C1021" s="307"/>
      <c r="D1021" s="122"/>
      <c r="E1021" s="122"/>
      <c r="F1021" s="122"/>
      <c r="G1021" s="122"/>
      <c r="H1021" s="122"/>
      <c r="I1021" s="122"/>
      <c r="J1021" s="122"/>
      <c r="K1021" s="122"/>
      <c r="L1021" s="122"/>
      <c r="M1021" s="122"/>
      <c r="N1021" s="122"/>
      <c r="O1021" s="122"/>
      <c r="P1021" s="122"/>
      <c r="Q1021" s="307"/>
      <c r="R1021" s="307"/>
      <c r="S1021" s="307"/>
      <c r="T1021" s="307"/>
      <c r="U1021" s="307"/>
      <c r="V1021" s="307"/>
      <c r="W1021" s="307"/>
      <c r="X1021" s="141"/>
      <c r="Y1021" s="307"/>
      <c r="Z1021" s="307"/>
      <c r="AA1021" s="307"/>
      <c r="AB1021" s="307"/>
    </row>
    <row r="1022" spans="1:28" ht="17.399999999999999">
      <c r="A1022" s="307"/>
      <c r="B1022" s="307"/>
      <c r="C1022" s="307"/>
      <c r="D1022" s="122"/>
      <c r="E1022" s="122"/>
      <c r="F1022" s="122"/>
      <c r="G1022" s="122"/>
      <c r="H1022" s="122"/>
      <c r="I1022" s="122"/>
      <c r="J1022" s="122"/>
      <c r="K1022" s="122"/>
      <c r="L1022" s="122"/>
      <c r="M1022" s="122"/>
      <c r="N1022" s="122"/>
      <c r="O1022" s="122"/>
      <c r="P1022" s="122"/>
      <c r="Q1022" s="307"/>
      <c r="R1022" s="307"/>
      <c r="S1022" s="307"/>
      <c r="T1022" s="307"/>
      <c r="U1022" s="307"/>
      <c r="V1022" s="307"/>
      <c r="W1022" s="307"/>
      <c r="X1022" s="141"/>
      <c r="Y1022" s="307"/>
      <c r="Z1022" s="307"/>
      <c r="AA1022" s="307"/>
      <c r="AB1022" s="307"/>
    </row>
    <row r="1023" spans="1:28" ht="17.399999999999999">
      <c r="A1023" s="307"/>
      <c r="B1023" s="307"/>
      <c r="C1023" s="307"/>
      <c r="D1023" s="122"/>
      <c r="E1023" s="122"/>
      <c r="F1023" s="122"/>
      <c r="G1023" s="122"/>
      <c r="H1023" s="122"/>
      <c r="I1023" s="122"/>
      <c r="J1023" s="122"/>
      <c r="K1023" s="122"/>
      <c r="L1023" s="122"/>
      <c r="M1023" s="122"/>
      <c r="N1023" s="122"/>
      <c r="O1023" s="122"/>
      <c r="P1023" s="122"/>
      <c r="Q1023" s="307"/>
      <c r="R1023" s="307"/>
      <c r="S1023" s="307"/>
      <c r="T1023" s="307"/>
      <c r="U1023" s="307"/>
      <c r="V1023" s="307"/>
      <c r="W1023" s="307"/>
      <c r="X1023" s="141"/>
      <c r="Y1023" s="307"/>
      <c r="Z1023" s="307"/>
      <c r="AA1023" s="307"/>
      <c r="AB1023" s="307"/>
    </row>
    <row r="1024" spans="1:28" ht="17.399999999999999">
      <c r="A1024" s="307"/>
      <c r="B1024" s="307"/>
      <c r="C1024" s="307"/>
      <c r="D1024" s="122"/>
      <c r="E1024" s="122"/>
      <c r="F1024" s="122"/>
      <c r="G1024" s="122"/>
      <c r="H1024" s="122"/>
      <c r="I1024" s="122"/>
      <c r="J1024" s="122"/>
      <c r="K1024" s="122"/>
      <c r="L1024" s="122"/>
      <c r="M1024" s="122"/>
      <c r="N1024" s="122"/>
      <c r="O1024" s="122"/>
      <c r="P1024" s="122"/>
      <c r="Q1024" s="307"/>
      <c r="R1024" s="307"/>
      <c r="S1024" s="307"/>
      <c r="T1024" s="307"/>
      <c r="U1024" s="307"/>
      <c r="V1024" s="307"/>
      <c r="W1024" s="307"/>
      <c r="X1024" s="141"/>
      <c r="Y1024" s="307"/>
      <c r="Z1024" s="307"/>
      <c r="AA1024" s="307"/>
      <c r="AB1024" s="307"/>
    </row>
    <row r="1025" spans="1:28" ht="17.399999999999999">
      <c r="A1025" s="307"/>
      <c r="B1025" s="307"/>
      <c r="C1025" s="307"/>
      <c r="D1025" s="122"/>
      <c r="E1025" s="122"/>
      <c r="F1025" s="122"/>
      <c r="G1025" s="122"/>
      <c r="H1025" s="122"/>
      <c r="I1025" s="122"/>
      <c r="J1025" s="122"/>
      <c r="K1025" s="122"/>
      <c r="L1025" s="122"/>
      <c r="M1025" s="122"/>
      <c r="N1025" s="122"/>
      <c r="O1025" s="122"/>
      <c r="P1025" s="122"/>
      <c r="Q1025" s="307"/>
      <c r="R1025" s="307"/>
      <c r="S1025" s="307"/>
      <c r="T1025" s="307"/>
      <c r="U1025" s="307"/>
      <c r="V1025" s="307"/>
      <c r="W1025" s="307"/>
      <c r="X1025" s="141"/>
      <c r="Y1025" s="307"/>
      <c r="Z1025" s="307"/>
      <c r="AA1025" s="307"/>
      <c r="AB1025" s="307"/>
    </row>
    <row r="1026" spans="1:28" ht="17.399999999999999">
      <c r="A1026" s="307"/>
      <c r="B1026" s="307"/>
      <c r="C1026" s="307"/>
      <c r="D1026" s="122"/>
      <c r="E1026" s="122"/>
      <c r="F1026" s="122"/>
      <c r="G1026" s="122"/>
      <c r="H1026" s="122"/>
      <c r="I1026" s="122"/>
      <c r="J1026" s="122"/>
      <c r="K1026" s="122"/>
      <c r="L1026" s="122"/>
      <c r="M1026" s="122"/>
      <c r="N1026" s="122"/>
      <c r="O1026" s="122"/>
      <c r="P1026" s="122"/>
      <c r="Q1026" s="307"/>
      <c r="R1026" s="307"/>
      <c r="S1026" s="307"/>
      <c r="T1026" s="307"/>
      <c r="U1026" s="307"/>
      <c r="V1026" s="307"/>
      <c r="W1026" s="307"/>
      <c r="X1026" s="141"/>
      <c r="Y1026" s="307"/>
      <c r="Z1026" s="307"/>
      <c r="AA1026" s="307"/>
      <c r="AB1026" s="307"/>
    </row>
    <row r="1027" spans="1:28" ht="17.399999999999999">
      <c r="A1027" s="307"/>
      <c r="B1027" s="307"/>
      <c r="C1027" s="307"/>
      <c r="D1027" s="122"/>
      <c r="E1027" s="122"/>
      <c r="F1027" s="122"/>
      <c r="G1027" s="122"/>
      <c r="H1027" s="122"/>
      <c r="I1027" s="122"/>
      <c r="J1027" s="122"/>
      <c r="K1027" s="122"/>
      <c r="L1027" s="122"/>
      <c r="M1027" s="122"/>
      <c r="N1027" s="122"/>
      <c r="O1027" s="122"/>
      <c r="P1027" s="122"/>
      <c r="Q1027" s="307"/>
      <c r="R1027" s="307"/>
      <c r="S1027" s="307"/>
      <c r="T1027" s="307"/>
      <c r="U1027" s="307"/>
      <c r="V1027" s="307"/>
      <c r="W1027" s="307"/>
      <c r="X1027" s="141"/>
      <c r="Y1027" s="307"/>
      <c r="Z1027" s="307"/>
      <c r="AA1027" s="307"/>
      <c r="AB1027" s="307"/>
    </row>
    <row r="1028" spans="1:28" ht="17.399999999999999">
      <c r="A1028" s="307"/>
      <c r="B1028" s="307"/>
      <c r="C1028" s="307"/>
      <c r="D1028" s="122"/>
      <c r="E1028" s="122"/>
      <c r="F1028" s="122"/>
      <c r="G1028" s="122"/>
      <c r="H1028" s="122"/>
      <c r="I1028" s="122"/>
      <c r="J1028" s="122"/>
      <c r="K1028" s="122"/>
      <c r="L1028" s="122"/>
      <c r="M1028" s="122"/>
      <c r="N1028" s="122"/>
      <c r="O1028" s="122"/>
      <c r="P1028" s="122"/>
      <c r="Q1028" s="307"/>
      <c r="R1028" s="307"/>
      <c r="S1028" s="307"/>
      <c r="T1028" s="307"/>
      <c r="U1028" s="307"/>
      <c r="V1028" s="307"/>
      <c r="W1028" s="307"/>
      <c r="X1028" s="141"/>
      <c r="Y1028" s="307"/>
      <c r="Z1028" s="307"/>
      <c r="AA1028" s="307"/>
      <c r="AB1028" s="307"/>
    </row>
    <row r="1029" spans="1:28" ht="17.399999999999999">
      <c r="A1029" s="307"/>
      <c r="B1029" s="307"/>
      <c r="C1029" s="307"/>
      <c r="D1029" s="122"/>
      <c r="E1029" s="122"/>
      <c r="F1029" s="122"/>
      <c r="G1029" s="122"/>
      <c r="H1029" s="122"/>
      <c r="I1029" s="122"/>
      <c r="J1029" s="122"/>
      <c r="K1029" s="122"/>
      <c r="L1029" s="122"/>
      <c r="M1029" s="122"/>
      <c r="N1029" s="122"/>
      <c r="O1029" s="122"/>
      <c r="P1029" s="122"/>
      <c r="Q1029" s="307"/>
      <c r="R1029" s="307"/>
      <c r="S1029" s="307"/>
      <c r="T1029" s="307"/>
      <c r="U1029" s="307"/>
      <c r="V1029" s="307"/>
      <c r="W1029" s="307"/>
      <c r="X1029" s="141"/>
      <c r="Y1029" s="307"/>
      <c r="Z1029" s="307"/>
      <c r="AA1029" s="307"/>
      <c r="AB1029" s="307"/>
    </row>
    <row r="1030" spans="1:28" ht="17.399999999999999">
      <c r="A1030" s="307"/>
      <c r="B1030" s="307"/>
      <c r="C1030" s="307"/>
      <c r="D1030" s="122"/>
      <c r="E1030" s="122"/>
      <c r="F1030" s="122"/>
      <c r="G1030" s="122"/>
      <c r="H1030" s="122"/>
      <c r="I1030" s="122"/>
      <c r="J1030" s="122"/>
      <c r="K1030" s="122"/>
      <c r="L1030" s="122"/>
      <c r="M1030" s="122"/>
      <c r="N1030" s="122"/>
      <c r="O1030" s="122"/>
      <c r="P1030" s="122"/>
      <c r="Q1030" s="307"/>
      <c r="R1030" s="307"/>
      <c r="S1030" s="307"/>
      <c r="T1030" s="307"/>
      <c r="U1030" s="307"/>
      <c r="V1030" s="307"/>
      <c r="W1030" s="307"/>
      <c r="X1030" s="141"/>
      <c r="Y1030" s="307"/>
      <c r="Z1030" s="307"/>
      <c r="AA1030" s="307"/>
      <c r="AB1030" s="307"/>
    </row>
    <row r="1031" spans="1:28" ht="17.399999999999999">
      <c r="A1031" s="307"/>
      <c r="B1031" s="307"/>
      <c r="C1031" s="307"/>
      <c r="D1031" s="122"/>
      <c r="E1031" s="122"/>
      <c r="F1031" s="122"/>
      <c r="G1031" s="122"/>
      <c r="H1031" s="122"/>
      <c r="I1031" s="122"/>
      <c r="J1031" s="122"/>
      <c r="K1031" s="122"/>
      <c r="L1031" s="122"/>
      <c r="M1031" s="122"/>
      <c r="N1031" s="122"/>
      <c r="O1031" s="122"/>
      <c r="P1031" s="122"/>
      <c r="Q1031" s="307"/>
      <c r="R1031" s="307"/>
      <c r="S1031" s="307"/>
      <c r="T1031" s="307"/>
      <c r="U1031" s="307"/>
      <c r="V1031" s="307"/>
      <c r="W1031" s="307"/>
      <c r="X1031" s="141"/>
      <c r="Y1031" s="307"/>
      <c r="Z1031" s="307"/>
      <c r="AA1031" s="307"/>
      <c r="AB1031" s="307"/>
    </row>
    <row r="1032" spans="1:28" ht="17.399999999999999">
      <c r="A1032" s="307"/>
      <c r="B1032" s="307"/>
      <c r="C1032" s="307"/>
      <c r="D1032" s="122"/>
      <c r="E1032" s="122"/>
      <c r="F1032" s="122"/>
      <c r="G1032" s="122"/>
      <c r="H1032" s="122"/>
      <c r="I1032" s="122"/>
      <c r="J1032" s="122"/>
      <c r="K1032" s="122"/>
      <c r="L1032" s="122"/>
      <c r="M1032" s="122"/>
      <c r="N1032" s="122"/>
      <c r="O1032" s="122"/>
      <c r="P1032" s="122"/>
      <c r="Q1032" s="307"/>
      <c r="R1032" s="307"/>
      <c r="S1032" s="307"/>
      <c r="T1032" s="307"/>
      <c r="U1032" s="307"/>
      <c r="V1032" s="307"/>
      <c r="W1032" s="307"/>
      <c r="X1032" s="141"/>
      <c r="Y1032" s="307"/>
      <c r="Z1032" s="307"/>
      <c r="AA1032" s="307"/>
      <c r="AB1032" s="307"/>
    </row>
    <row r="1033" spans="1:28" ht="17.399999999999999">
      <c r="A1033" s="307"/>
      <c r="B1033" s="307"/>
      <c r="C1033" s="307"/>
      <c r="D1033" s="122"/>
      <c r="E1033" s="122"/>
      <c r="F1033" s="122"/>
      <c r="G1033" s="122"/>
      <c r="H1033" s="122"/>
      <c r="I1033" s="122"/>
      <c r="J1033" s="122"/>
      <c r="K1033" s="122"/>
      <c r="L1033" s="122"/>
      <c r="M1033" s="122"/>
      <c r="N1033" s="122"/>
      <c r="O1033" s="122"/>
      <c r="P1033" s="122"/>
      <c r="Q1033" s="307"/>
      <c r="R1033" s="307"/>
      <c r="S1033" s="307"/>
      <c r="T1033" s="307"/>
      <c r="U1033" s="307"/>
      <c r="V1033" s="307"/>
      <c r="W1033" s="307"/>
      <c r="X1033" s="141"/>
      <c r="Y1033" s="307"/>
      <c r="Z1033" s="307"/>
      <c r="AA1033" s="307"/>
      <c r="AB1033" s="307"/>
    </row>
    <row r="1034" spans="1:28" ht="17.399999999999999">
      <c r="A1034" s="307"/>
      <c r="B1034" s="307"/>
      <c r="C1034" s="307"/>
      <c r="D1034" s="122"/>
      <c r="E1034" s="122"/>
      <c r="F1034" s="122"/>
      <c r="G1034" s="122"/>
      <c r="H1034" s="122"/>
      <c r="I1034" s="122"/>
      <c r="J1034" s="122"/>
      <c r="K1034" s="122"/>
      <c r="L1034" s="122"/>
      <c r="M1034" s="122"/>
      <c r="N1034" s="122"/>
      <c r="O1034" s="122"/>
      <c r="P1034" s="122"/>
      <c r="Q1034" s="307"/>
      <c r="R1034" s="307"/>
      <c r="S1034" s="307"/>
      <c r="T1034" s="307"/>
      <c r="U1034" s="307"/>
      <c r="V1034" s="307"/>
      <c r="W1034" s="307"/>
      <c r="X1034" s="141"/>
      <c r="Y1034" s="307"/>
      <c r="Z1034" s="307"/>
      <c r="AA1034" s="307"/>
      <c r="AB1034" s="307"/>
    </row>
    <row r="1035" spans="1:28" ht="17.399999999999999">
      <c r="A1035" s="307"/>
      <c r="B1035" s="307"/>
      <c r="C1035" s="307"/>
      <c r="D1035" s="122"/>
      <c r="E1035" s="122"/>
      <c r="F1035" s="122"/>
      <c r="G1035" s="122"/>
      <c r="H1035" s="122"/>
      <c r="I1035" s="122"/>
      <c r="J1035" s="122"/>
      <c r="K1035" s="122"/>
      <c r="L1035" s="122"/>
      <c r="M1035" s="122"/>
      <c r="N1035" s="122"/>
      <c r="O1035" s="122"/>
      <c r="P1035" s="122"/>
      <c r="Q1035" s="307"/>
      <c r="R1035" s="307"/>
      <c r="S1035" s="307"/>
      <c r="T1035" s="307"/>
      <c r="U1035" s="307"/>
      <c r="V1035" s="307"/>
      <c r="W1035" s="307"/>
      <c r="X1035" s="141"/>
      <c r="Y1035" s="307"/>
      <c r="Z1035" s="307"/>
      <c r="AA1035" s="307"/>
      <c r="AB1035" s="307"/>
    </row>
    <row r="1036" spans="1:28" ht="17.399999999999999">
      <c r="A1036" s="307"/>
      <c r="B1036" s="307"/>
      <c r="C1036" s="307"/>
      <c r="D1036" s="122"/>
      <c r="E1036" s="122"/>
      <c r="F1036" s="122"/>
      <c r="G1036" s="122"/>
      <c r="H1036" s="122"/>
      <c r="I1036" s="122"/>
      <c r="J1036" s="122"/>
      <c r="K1036" s="122"/>
      <c r="L1036" s="122"/>
      <c r="M1036" s="122"/>
      <c r="N1036" s="122"/>
      <c r="O1036" s="122"/>
      <c r="P1036" s="122"/>
      <c r="Q1036" s="307"/>
      <c r="R1036" s="307"/>
      <c r="S1036" s="307"/>
      <c r="T1036" s="307"/>
      <c r="U1036" s="307"/>
      <c r="V1036" s="307"/>
      <c r="W1036" s="307"/>
      <c r="X1036" s="141"/>
      <c r="Y1036" s="307"/>
      <c r="Z1036" s="307"/>
      <c r="AA1036" s="307"/>
      <c r="AB1036" s="307"/>
    </row>
    <row r="1037" spans="1:28" ht="17.399999999999999">
      <c r="A1037" s="307"/>
      <c r="B1037" s="307"/>
      <c r="C1037" s="307"/>
      <c r="D1037" s="122"/>
      <c r="E1037" s="122"/>
      <c r="F1037" s="122"/>
      <c r="G1037" s="122"/>
      <c r="H1037" s="122"/>
      <c r="I1037" s="122"/>
      <c r="J1037" s="122"/>
      <c r="K1037" s="122"/>
      <c r="L1037" s="122"/>
      <c r="M1037" s="122"/>
      <c r="N1037" s="122"/>
      <c r="O1037" s="122"/>
      <c r="P1037" s="122"/>
      <c r="Q1037" s="307"/>
      <c r="R1037" s="307"/>
      <c r="S1037" s="307"/>
      <c r="T1037" s="307"/>
      <c r="U1037" s="307"/>
      <c r="V1037" s="307"/>
      <c r="W1037" s="307"/>
      <c r="X1037" s="141"/>
      <c r="Y1037" s="307"/>
      <c r="Z1037" s="307"/>
      <c r="AA1037" s="307"/>
      <c r="AB1037" s="307"/>
    </row>
  </sheetData>
  <mergeCells count="10">
    <mergeCell ref="G26:P26"/>
    <mergeCell ref="G33:K33"/>
    <mergeCell ref="G47:P47"/>
    <mergeCell ref="C5:D5"/>
    <mergeCell ref="G5:P5"/>
    <mergeCell ref="C6:E6"/>
    <mergeCell ref="C8:E8"/>
    <mergeCell ref="C11:E11"/>
    <mergeCell ref="C14:E14"/>
    <mergeCell ref="C17:E17"/>
  </mergeCells>
  <dataValidations count="1">
    <dataValidation type="list" allowBlank="1" showErrorMessage="1" sqref="E44" xr:uid="{00000000-0002-0000-0400-000000000000}">
      <formula1>"1,2,3,4,5,6,7,8,9,10"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P75"/>
  <sheetViews>
    <sheetView showGridLines="0" zoomScale="80" zoomScaleNormal="80" workbookViewId="0">
      <selection activeCell="D15" sqref="D15:E15"/>
    </sheetView>
  </sheetViews>
  <sheetFormatPr defaultColWidth="14.44140625" defaultRowHeight="15.75" customHeight="1"/>
  <cols>
    <col min="1" max="1" width="7.33203125" style="6" customWidth="1"/>
    <col min="2" max="2" width="8" style="6" customWidth="1"/>
    <col min="3" max="3" width="28.109375" style="6" customWidth="1"/>
    <col min="4" max="5" width="18.77734375" style="6" customWidth="1"/>
    <col min="6" max="6" width="19.109375" style="6" customWidth="1"/>
    <col min="7" max="11" width="18.77734375" style="6" customWidth="1"/>
    <col min="12" max="15" width="14.44140625" style="6"/>
    <col min="16" max="16" width="15.44140625" style="6" customWidth="1"/>
    <col min="17" max="16384" width="14.44140625" style="6"/>
  </cols>
  <sheetData>
    <row r="2" spans="2:8" ht="21">
      <c r="B2" s="140" t="str">
        <f>"Weighted Average Cost of Capital"</f>
        <v>Weighted Average Cost of Capital</v>
      </c>
      <c r="C2" s="18"/>
      <c r="D2" s="18"/>
      <c r="E2" s="18"/>
    </row>
    <row r="3" spans="2:8" ht="27" customHeight="1">
      <c r="B3" s="188"/>
      <c r="C3" s="57"/>
      <c r="D3" s="57"/>
      <c r="E3" s="57"/>
    </row>
    <row r="4" spans="2:8" ht="17.399999999999999">
      <c r="B4" s="189" t="str">
        <f>"Category"</f>
        <v>Category</v>
      </c>
      <c r="C4" s="190"/>
      <c r="D4" s="190" t="str">
        <f>"Low"</f>
        <v>Low</v>
      </c>
      <c r="E4" s="190" t="str">
        <f>"High"</f>
        <v>High</v>
      </c>
      <c r="H4" s="9"/>
    </row>
    <row r="5" spans="2:8" ht="11.25" customHeight="1">
      <c r="B5" s="62"/>
      <c r="C5" s="307"/>
      <c r="D5" s="307"/>
      <c r="E5" s="307"/>
    </row>
    <row r="6" spans="2:8" ht="17.399999999999999">
      <c r="B6" s="19" t="str">
        <f>"Long-term bond rate"</f>
        <v>Long-term bond rate</v>
      </c>
      <c r="C6" s="191"/>
      <c r="D6" s="614">
        <f>0.03865</f>
        <v>3.8649999999999997E-2</v>
      </c>
      <c r="E6" s="614">
        <f>0.04365</f>
        <v>4.3650000000000001E-2</v>
      </c>
      <c r="H6" s="192"/>
    </row>
    <row r="7" spans="2:8" ht="17.399999999999999">
      <c r="B7" s="19" t="str">
        <f>"Equity market risk premium"</f>
        <v>Equity market risk premium</v>
      </c>
      <c r="C7" s="191"/>
      <c r="D7" s="614">
        <f>0.046</f>
        <v>4.5999999999999999E-2</v>
      </c>
      <c r="E7" s="614">
        <f>0.056</f>
        <v>5.6000000000000001E-2</v>
      </c>
      <c r="H7" s="192"/>
    </row>
    <row r="8" spans="2:8" ht="17.399999999999999">
      <c r="B8" s="19" t="str">
        <f>"Adjusted beta"</f>
        <v>Adjusted beta</v>
      </c>
      <c r="C8" s="145"/>
      <c r="D8" s="615">
        <f>0.662613146247412</f>
        <v>0.66261314624741197</v>
      </c>
      <c r="E8" s="615">
        <f>0.707337082504596</f>
        <v>0.70733708250459604</v>
      </c>
      <c r="H8" s="8"/>
    </row>
    <row r="9" spans="2:8" ht="9" customHeight="1"/>
    <row r="10" spans="2:8" ht="19.05" customHeight="1">
      <c r="B10" s="8" t="s">
        <v>52</v>
      </c>
      <c r="D10" s="614">
        <f>0</f>
        <v>0</v>
      </c>
      <c r="E10" s="614">
        <f>0.005</f>
        <v>5.0000000000000001E-3</v>
      </c>
    </row>
    <row r="11" spans="2:8" ht="17.399999999999999">
      <c r="B11" s="153" t="str">
        <f>"Cost of equity"</f>
        <v>Cost of equity</v>
      </c>
      <c r="C11" s="193"/>
      <c r="D11" s="193">
        <f>D6+D7*D8+D10</f>
        <v>6.9130204727380948E-2</v>
      </c>
      <c r="E11" s="193">
        <f>E6+E7*E8+E10</f>
        <v>8.8260876620257389E-2</v>
      </c>
    </row>
    <row r="12" spans="2:8" ht="10.5" customHeight="1">
      <c r="B12" s="62"/>
      <c r="C12" s="307"/>
      <c r="D12" s="307"/>
      <c r="E12" s="307"/>
    </row>
    <row r="13" spans="2:8" ht="17.399999999999999">
      <c r="B13" s="19" t="str">
        <f>"Tax rate"</f>
        <v>Tax rate</v>
      </c>
      <c r="C13" s="191"/>
      <c r="D13" s="191">
        <f>G29</f>
        <v>0.2395770596416045</v>
      </c>
      <c r="E13" s="191">
        <f>G30</f>
        <v>0.24085542614059707</v>
      </c>
    </row>
    <row r="14" spans="2:8" ht="19.05" customHeight="1">
      <c r="B14" s="19" t="str">
        <f>"Debt/Equity ratio"</f>
        <v>Debt/Equity ratio</v>
      </c>
      <c r="C14" s="145"/>
      <c r="D14" s="194">
        <f>0.14313407944058</f>
        <v>0.14313407944057999</v>
      </c>
      <c r="E14" s="194">
        <f>0.14313407944058</f>
        <v>0.14313407944057999</v>
      </c>
    </row>
    <row r="15" spans="2:8" ht="17.399999999999999">
      <c r="B15" s="19" t="str">
        <f>"Cost of debt"</f>
        <v>Cost of debt</v>
      </c>
      <c r="C15" s="191"/>
      <c r="D15" s="614">
        <f>0.0404896682434279</f>
        <v>4.0489668243427902E-2</v>
      </c>
      <c r="E15" s="614">
        <f>0.04565</f>
        <v>4.5650000000000003E-2</v>
      </c>
    </row>
    <row r="16" spans="2:8" ht="8.25" customHeight="1">
      <c r="B16" s="425"/>
      <c r="C16" s="426"/>
      <c r="D16" s="426"/>
      <c r="E16" s="426"/>
    </row>
    <row r="17" spans="2:16" ht="17.399999999999999">
      <c r="B17" s="19" t="str">
        <f>"After-tax WACC"</f>
        <v>After-tax WACC</v>
      </c>
      <c r="C17" s="191"/>
      <c r="D17" s="191">
        <f>D11/(1+D14)+D15*(1-D13)*D14/(1+D14)</f>
        <v>6.4329460766949911E-2</v>
      </c>
      <c r="E17" s="191">
        <f>E11/(1+E14)+E15*(1-E13)*E14/(1+E14)</f>
        <v>8.1548772479152196E-2</v>
      </c>
    </row>
    <row r="18" spans="2:16" ht="9.75" customHeight="1">
      <c r="B18" s="195"/>
      <c r="C18" s="18"/>
      <c r="D18" s="18"/>
      <c r="E18" s="18"/>
    </row>
    <row r="19" spans="2:16" ht="18" thickBot="1">
      <c r="B19" s="189" t="str">
        <f>"Selected WACC"</f>
        <v>Selected WACC</v>
      </c>
      <c r="C19" s="196"/>
      <c r="D19" s="196">
        <f>AVERAGE(D17:E17)</f>
        <v>7.2939116623051053E-2</v>
      </c>
      <c r="E19" s="197"/>
    </row>
    <row r="21" spans="2:16" ht="25.95" customHeight="1">
      <c r="B21" s="215" t="str">
        <f>"Detailed calculations"</f>
        <v>Detailed calculations</v>
      </c>
      <c r="C21" s="214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</row>
    <row r="22" spans="2:16" ht="11.25" customHeight="1"/>
    <row r="23" spans="2:16" ht="17.399999999999999">
      <c r="B23" s="9" t="str">
        <f>"Tax rate"</f>
        <v>Tax rate</v>
      </c>
    </row>
    <row r="24" spans="2:16" ht="25.95" customHeight="1">
      <c r="B24" s="9"/>
      <c r="C24" s="14"/>
      <c r="D24" s="14"/>
      <c r="F24" s="396"/>
      <c r="G24" s="422" t="s">
        <v>110</v>
      </c>
      <c r="H24" s="421"/>
      <c r="I24" s="421"/>
      <c r="J24" s="421"/>
      <c r="K24" s="421"/>
    </row>
    <row r="25" spans="2:16" ht="18">
      <c r="B25" s="9"/>
      <c r="C25" s="14"/>
      <c r="D25" s="14"/>
      <c r="F25" s="15"/>
      <c r="G25" s="303" t="str">
        <f>Financials!C5</f>
        <v>Feb-2021</v>
      </c>
      <c r="H25" s="303" t="str">
        <f>Financials!D5</f>
        <v>Feb-2022</v>
      </c>
      <c r="I25" s="303" t="str">
        <f>Financials!E5</f>
        <v>Feb-2023</v>
      </c>
      <c r="J25" s="303" t="str">
        <f>Financials!F5</f>
        <v>Feb-2024</v>
      </c>
      <c r="K25" s="303" t="str">
        <f>Financials!G5</f>
        <v>Feb-2025</v>
      </c>
      <c r="M25" s="20"/>
    </row>
    <row r="26" spans="2:16" ht="9" customHeight="1">
      <c r="B26" s="9"/>
      <c r="C26" s="8"/>
      <c r="D26" s="8"/>
      <c r="F26" s="63"/>
      <c r="G26" s="63"/>
      <c r="H26" s="63"/>
      <c r="I26" s="63"/>
      <c r="J26" s="63"/>
      <c r="K26" s="63"/>
    </row>
    <row r="27" spans="2:16" ht="17.399999999999999">
      <c r="B27" s="9"/>
      <c r="C27" s="8"/>
      <c r="D27" s="8" t="str">
        <f>"Historical tax rate"</f>
        <v>Historical tax rate</v>
      </c>
      <c r="F27" s="191"/>
      <c r="G27" s="191">
        <v>0.24219578277771234</v>
      </c>
      <c r="H27" s="191">
        <v>0.244007912775452</v>
      </c>
      <c r="I27" s="191">
        <v>0.23899986653023089</v>
      </c>
      <c r="J27" s="191">
        <v>0.23996185504918691</v>
      </c>
      <c r="K27" s="191">
        <v>0.23704009069359991</v>
      </c>
      <c r="M27" s="192"/>
    </row>
    <row r="28" spans="2:16" ht="17.399999999999999">
      <c r="B28" s="9"/>
    </row>
    <row r="29" spans="2:16" ht="17.399999999999999">
      <c r="B29" s="9"/>
      <c r="C29" s="8"/>
      <c r="D29" s="9" t="str">
        <f>"Low tax rate"</f>
        <v>Low tax rate</v>
      </c>
      <c r="E29" s="9"/>
      <c r="F29" s="199"/>
      <c r="G29" s="199" cm="1">
        <f t="array" ref="G29">PERCENTILE(IF(G27:K27&lt;&gt;0,G27:K27), Master!E13)</f>
        <v>0.2395770596416045</v>
      </c>
    </row>
    <row r="30" spans="2:16" ht="17.399999999999999">
      <c r="B30" s="9"/>
      <c r="C30" s="8"/>
      <c r="D30" s="9" t="str">
        <f>"High tax rate"</f>
        <v>High tax rate</v>
      </c>
      <c r="E30" s="9"/>
      <c r="F30" s="199"/>
      <c r="G30" s="199" cm="1">
        <f t="array" ref="G30">PERCENTILE(IF(G27:K27&lt;&gt;0,G27:K27), Master!E14)</f>
        <v>0.24085542614059707</v>
      </c>
    </row>
    <row r="31" spans="2:16" ht="5.25" customHeight="1">
      <c r="B31" s="9"/>
    </row>
    <row r="32" spans="2:16" ht="17.399999999999999">
      <c r="B32" s="9"/>
      <c r="C32" s="9"/>
      <c r="D32" s="33" t="str">
        <f>"Selected tax rate"</f>
        <v>Selected tax rate</v>
      </c>
      <c r="E32" s="33"/>
      <c r="F32" s="200"/>
      <c r="G32" s="200" cm="1">
        <f t="array" ref="G32">PERCENTILE(IF(G27:K27&lt;&gt;0,G27:K27), 0.5)</f>
        <v>0.23996185504918691</v>
      </c>
    </row>
    <row r="33" spans="2:16" ht="17.399999999999999">
      <c r="B33" s="9"/>
    </row>
    <row r="34" spans="2:16" ht="3.75" customHeight="1">
      <c r="B34" s="162"/>
      <c r="C34" s="163"/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</row>
    <row r="35" spans="2:16" ht="11.25" customHeight="1">
      <c r="B35" s="9"/>
    </row>
    <row r="36" spans="2:16" ht="17.399999999999999">
      <c r="B36" s="9" t="str">
        <f>"Cost of debt"</f>
        <v>Cost of debt</v>
      </c>
    </row>
    <row r="37" spans="2:16" ht="17.399999999999999">
      <c r="C37" s="201" t="str">
        <f>"Method 1 (effective interest rate)"</f>
        <v>Method 1 (effective interest rate)</v>
      </c>
      <c r="F37" s="396"/>
      <c r="G37" s="396"/>
      <c r="H37" s="396"/>
      <c r="I37" s="396"/>
      <c r="J37" s="396"/>
      <c r="K37" s="396"/>
    </row>
    <row r="38" spans="2:16" ht="25.05" customHeight="1">
      <c r="D38" s="14"/>
      <c r="F38" s="396"/>
      <c r="G38" s="422" t="str">
        <f>"Historical"</f>
        <v>Historical</v>
      </c>
      <c r="H38" s="421"/>
      <c r="I38" s="421"/>
      <c r="J38" s="421"/>
      <c r="K38" s="421"/>
    </row>
    <row r="39" spans="2:16" ht="18">
      <c r="D39" s="14" t="str">
        <f>Financials!B58</f>
        <v>(USD in millions)</v>
      </c>
      <c r="F39" s="15"/>
      <c r="G39" s="304" t="str">
        <f>G25</f>
        <v>Feb-2021</v>
      </c>
      <c r="H39" s="304" t="str">
        <f>H25</f>
        <v>Feb-2022</v>
      </c>
      <c r="I39" s="304" t="str">
        <f>I25</f>
        <v>Feb-2023</v>
      </c>
      <c r="J39" s="304" t="str">
        <f>J25</f>
        <v>Feb-2024</v>
      </c>
      <c r="K39" s="304" t="str">
        <f>K25</f>
        <v>Feb-2025</v>
      </c>
    </row>
    <row r="40" spans="2:16" ht="9" customHeight="1">
      <c r="D40" s="8"/>
      <c r="F40" s="63"/>
      <c r="G40" s="63"/>
      <c r="H40" s="63"/>
      <c r="I40" s="63"/>
      <c r="J40" s="63"/>
      <c r="K40" s="63"/>
    </row>
    <row r="41" spans="2:16" ht="17.399999999999999">
      <c r="D41" s="8" t="str">
        <f>"Interest expense"</f>
        <v>Interest expense</v>
      </c>
      <c r="F41" s="63"/>
      <c r="G41" s="63">
        <v>1241</v>
      </c>
      <c r="H41" s="63">
        <v>1269</v>
      </c>
      <c r="I41" s="63">
        <v>1449</v>
      </c>
      <c r="J41" s="63">
        <v>1809</v>
      </c>
      <c r="K41" s="63">
        <v>2199</v>
      </c>
    </row>
    <row r="42" spans="2:16" ht="17.399999999999999">
      <c r="D42" s="8" t="str">
        <f>"Total debt"</f>
        <v>Total debt</v>
      </c>
      <c r="F42" s="63"/>
      <c r="G42" s="63">
        <v>37238</v>
      </c>
      <c r="H42" s="63">
        <v>40086</v>
      </c>
      <c r="I42" s="63">
        <v>43193</v>
      </c>
      <c r="J42" s="63">
        <v>44111</v>
      </c>
      <c r="K42" s="63">
        <v>53383</v>
      </c>
    </row>
    <row r="43" spans="2:16" ht="7.5" customHeight="1"/>
    <row r="44" spans="2:16" ht="17.399999999999999">
      <c r="D44" s="26" t="str">
        <f>"Effective interest rate"</f>
        <v>Effective interest rate</v>
      </c>
      <c r="E44" s="26"/>
      <c r="F44" s="26"/>
      <c r="G44" s="26"/>
      <c r="H44" s="202">
        <f>IFERROR(H41/G42,0)</f>
        <v>3.4078092271335729E-2</v>
      </c>
      <c r="I44" s="202">
        <f>IFERROR(I41/H42,0)</f>
        <v>3.6147283340817245E-2</v>
      </c>
      <c r="J44" s="202">
        <f>IFERROR(J41/I42,0)</f>
        <v>4.1881786400574168E-2</v>
      </c>
      <c r="K44" s="202">
        <f>IFERROR(K41/J42,0)</f>
        <v>4.9851510960984786E-2</v>
      </c>
    </row>
    <row r="46" spans="2:16" ht="17.399999999999999">
      <c r="D46" s="9" t="str">
        <f>"Cost of debt 1"</f>
        <v>Cost of debt 1</v>
      </c>
      <c r="F46" s="92"/>
      <c r="G46" s="203">
        <f>IFERROR(AVERAGEIF(H44:K44,"&lt;&gt;0"),0)</f>
        <v>4.0489668243427979E-2</v>
      </c>
    </row>
    <row r="47" spans="2:16" ht="17.399999999999999">
      <c r="D47" s="8" t="str">
        <f>"(average effective interest rates)"</f>
        <v>(average effective interest rates)</v>
      </c>
    </row>
    <row r="49" spans="3:12" ht="17.399999999999999">
      <c r="C49" s="8"/>
    </row>
    <row r="50" spans="3:12" ht="17.399999999999999">
      <c r="C50" s="201" t="str">
        <f>"Method 2 (using synthetic ratings)"</f>
        <v>Method 2 (using synthetic ratings)</v>
      </c>
    </row>
    <row r="51" spans="3:12" ht="17.399999999999999">
      <c r="D51" s="8"/>
      <c r="F51" s="63"/>
      <c r="G51" s="63"/>
    </row>
    <row r="52" spans="3:12" ht="17.399999999999999">
      <c r="D52" s="8" t="str">
        <f>"TTM EBIT"</f>
        <v>TTM EBIT</v>
      </c>
      <c r="F52" s="63"/>
      <c r="G52" s="63">
        <v>21536</v>
      </c>
    </row>
    <row r="53" spans="3:12" ht="17.399999999999999">
      <c r="D53" s="8" t="str">
        <f>"(/) TTM Interest expense"</f>
        <v>(/) TTM Interest expense</v>
      </c>
      <c r="F53" s="63"/>
      <c r="G53" s="63">
        <v>2199</v>
      </c>
    </row>
    <row r="54" spans="3:12" ht="5.25" customHeight="1"/>
    <row r="55" spans="3:12" ht="17.399999999999999">
      <c r="D55" s="33" t="str">
        <f>"TTM Interest coverage ratio"</f>
        <v>TTM Interest coverage ratio</v>
      </c>
      <c r="E55" s="33"/>
      <c r="F55" s="204"/>
      <c r="G55" s="232">
        <f>IFERROR(G52/G53,"N/A")</f>
        <v>9.7935425193269676</v>
      </c>
    </row>
    <row r="56" spans="3:12" ht="11.25" customHeight="1"/>
    <row r="57" spans="3:12" ht="18">
      <c r="D57" s="8" t="str">
        <f>"Estimated default spread"</f>
        <v>Estimated default spread</v>
      </c>
      <c r="F57" s="205"/>
      <c r="G57" s="205">
        <v>7.0000000000000001E-3</v>
      </c>
      <c r="I57" s="20"/>
      <c r="J57" s="192"/>
    </row>
    <row r="58" spans="3:12" ht="17.399999999999999">
      <c r="D58" s="8" t="str">
        <f>"Estimated bond rating"</f>
        <v>Estimated bond rating</v>
      </c>
      <c r="F58" s="7"/>
      <c r="G58" s="7" t="s">
        <v>111</v>
      </c>
    </row>
    <row r="59" spans="3:12" ht="7.5" customHeight="1"/>
    <row r="60" spans="3:12" ht="7.5" customHeight="1">
      <c r="G60" s="205"/>
    </row>
    <row r="61" spans="3:12" ht="17.399999999999999">
      <c r="D61" s="33" t="str">
        <f>"Cost of debt 2"</f>
        <v>Cost of debt 2</v>
      </c>
      <c r="E61" s="206"/>
      <c r="F61" s="207"/>
      <c r="G61" s="208">
        <f>IF(G52=0,0,G57+D6+G60)</f>
        <v>4.5649999999999996E-2</v>
      </c>
    </row>
    <row r="62" spans="3:12" ht="17.399999999999999">
      <c r="C62" s="8"/>
    </row>
    <row r="63" spans="3:12" ht="1.05" customHeight="1">
      <c r="C63" s="201"/>
    </row>
    <row r="64" spans="3:12" ht="3" customHeight="1">
      <c r="C64" s="9"/>
      <c r="D64" s="9"/>
      <c r="E64" s="9"/>
      <c r="F64" s="209"/>
      <c r="G64" s="209"/>
      <c r="I64" s="20"/>
      <c r="J64" s="20"/>
      <c r="K64" s="20"/>
      <c r="L64" s="210"/>
    </row>
    <row r="65" spans="1:12" ht="5.25" customHeight="1">
      <c r="A65" s="58"/>
      <c r="C65" s="9"/>
      <c r="D65" s="9"/>
      <c r="E65" s="9"/>
      <c r="F65" s="209"/>
      <c r="G65" s="209"/>
      <c r="I65" s="20"/>
      <c r="J65" s="20"/>
      <c r="K65" s="20"/>
      <c r="L65" s="210"/>
    </row>
    <row r="66" spans="1:12" ht="1.05" customHeight="1"/>
    <row r="67" spans="1:12" ht="17.399999999999999">
      <c r="G67" s="211"/>
      <c r="H67" s="211"/>
      <c r="I67" s="212">
        <f>H67/(1+(1-$G$32)*G67)</f>
        <v>0</v>
      </c>
      <c r="J67" s="213" t="str">
        <f>IF(H67&lt;&gt;"",#REF!,"")</f>
        <v/>
      </c>
      <c r="K67" s="212"/>
    </row>
    <row r="68" spans="1:12" ht="17.399999999999999">
      <c r="G68" s="211"/>
      <c r="H68" s="211"/>
      <c r="I68" s="212">
        <f>H68/(1+(1-$G$32)*G68)</f>
        <v>0</v>
      </c>
      <c r="J68" s="213" t="str">
        <f>IF(H68&lt;&gt;"",#REF!,"")</f>
        <v/>
      </c>
      <c r="K68" s="212"/>
    </row>
    <row r="69" spans="1:12" ht="17.399999999999999">
      <c r="G69" s="211"/>
      <c r="H69" s="211"/>
      <c r="I69" s="212">
        <f>H69/(1+(1-$G$32)*G69)</f>
        <v>0</v>
      </c>
      <c r="J69" s="213" t="str">
        <f>IF(H69&lt;&gt;"",#REF!,"")</f>
        <v/>
      </c>
      <c r="K69" s="212"/>
    </row>
    <row r="70" spans="1:12" ht="17.399999999999999">
      <c r="G70" s="211"/>
      <c r="H70" s="211"/>
      <c r="I70" s="212">
        <f>H70/(1+(1-$G$32)*G70)</f>
        <v>0</v>
      </c>
      <c r="J70" s="213" t="str">
        <f>IF(H70&lt;&gt;"",#REF!,"")</f>
        <v/>
      </c>
      <c r="K70" s="212"/>
    </row>
    <row r="71" spans="1:12" ht="17.399999999999999">
      <c r="G71" s="211"/>
      <c r="H71" s="211"/>
      <c r="I71" s="212"/>
      <c r="J71" s="213" t="str">
        <f>IF(H71&lt;&gt;"",#REF!,"")</f>
        <v/>
      </c>
      <c r="K71" s="212"/>
    </row>
    <row r="72" spans="1:12" ht="17.399999999999999">
      <c r="G72" s="211"/>
      <c r="H72" s="211"/>
      <c r="I72" s="212"/>
      <c r="J72" s="213" t="str">
        <f>IF(H72&lt;&gt;"",#REF!,"")</f>
        <v/>
      </c>
      <c r="K72" s="212"/>
    </row>
    <row r="73" spans="1:12" ht="17.399999999999999">
      <c r="G73" s="211"/>
      <c r="H73" s="211"/>
      <c r="I73" s="212"/>
      <c r="J73" s="213" t="str">
        <f>IF(H73&lt;&gt;"",#REF!,"")</f>
        <v/>
      </c>
      <c r="K73" s="212"/>
    </row>
    <row r="74" spans="1:12" ht="17.399999999999999">
      <c r="G74" s="211"/>
      <c r="H74" s="211"/>
    </row>
    <row r="75" spans="1:12" ht="17.399999999999999">
      <c r="G75" s="211"/>
    </row>
  </sheetData>
  <mergeCells count="3">
    <mergeCell ref="B16:E16"/>
    <mergeCell ref="G24:K24"/>
    <mergeCell ref="G38:K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H1002"/>
  <sheetViews>
    <sheetView showGridLines="0" zoomScale="80" zoomScaleNormal="80" workbookViewId="0">
      <selection activeCell="O39" sqref="O39:O63"/>
    </sheetView>
  </sheetViews>
  <sheetFormatPr defaultColWidth="14.44140625" defaultRowHeight="15.75" customHeight="1"/>
  <cols>
    <col min="1" max="1" width="7.33203125" style="6" customWidth="1"/>
    <col min="2" max="2" width="24.6640625" style="6" customWidth="1"/>
    <col min="3" max="3" width="27.44140625" style="6" bestFit="1" customWidth="1"/>
    <col min="4" max="4" width="17.109375" style="6" customWidth="1"/>
    <col min="5" max="9" width="18.77734375" style="6" customWidth="1"/>
    <col min="10" max="14" width="18.77734375" style="6" hidden="1" customWidth="1"/>
    <col min="15" max="15" width="18.77734375" style="6" customWidth="1"/>
    <col min="16" max="16384" width="14.44140625" style="6"/>
  </cols>
  <sheetData>
    <row r="1" spans="1:34" ht="17.399999999999999"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</row>
    <row r="2" spans="1:34" ht="21">
      <c r="B2" s="140" t="s">
        <v>53</v>
      </c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</row>
    <row r="3" spans="1:34" ht="21" customHeight="1">
      <c r="A3" s="307"/>
      <c r="B3" s="14"/>
      <c r="C3" s="57"/>
      <c r="D3" s="58"/>
      <c r="E3" s="58"/>
      <c r="F3" s="58"/>
      <c r="G3" s="396"/>
      <c r="H3" s="396"/>
      <c r="I3" s="396"/>
      <c r="J3" s="396"/>
      <c r="K3" s="396"/>
      <c r="L3" s="396"/>
      <c r="M3" s="396"/>
      <c r="N3" s="396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</row>
    <row r="4" spans="1:34" ht="24" customHeight="1">
      <c r="A4" s="307"/>
      <c r="B4" s="228" t="str">
        <f>Financials!B58</f>
        <v>(USD in millions)</v>
      </c>
      <c r="C4" s="60"/>
      <c r="D4" s="396"/>
      <c r="E4" s="422" t="s">
        <v>32</v>
      </c>
      <c r="F4" s="421"/>
      <c r="G4" s="421"/>
      <c r="H4" s="421"/>
      <c r="I4" s="421"/>
      <c r="J4" s="421"/>
      <c r="K4" s="421"/>
      <c r="L4" s="421"/>
      <c r="M4" s="421"/>
      <c r="N4" s="421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  <c r="AA4" s="307"/>
      <c r="AB4" s="307"/>
      <c r="AC4" s="307"/>
      <c r="AD4" s="307"/>
      <c r="AE4" s="307"/>
      <c r="AF4" s="307"/>
      <c r="AG4" s="307"/>
      <c r="AH4" s="307"/>
    </row>
    <row r="5" spans="1:34" ht="17.399999999999999">
      <c r="A5" s="18"/>
      <c r="B5" s="61"/>
      <c r="C5" s="61"/>
      <c r="D5" s="61"/>
      <c r="E5" s="61" t="str">
        <f>CONCATENATE(IF(Appendix!H5=12,"",CONCATENATE(Appendix!H5,"M/")),"FY",RIGHT('Rev &amp; Exp'!E5,2))</f>
        <v>3M/FY26</v>
      </c>
      <c r="F5" s="61" t="str">
        <f>CONCATENATE("FY",RIGHT('Rev &amp; Exp'!F5,2))</f>
        <v>FY27</v>
      </c>
      <c r="G5" s="61" t="str">
        <f>CONCATENATE("FY",RIGHT('Rev &amp; Exp'!G5,2))</f>
        <v>FY28</v>
      </c>
      <c r="H5" s="61" t="str">
        <f>CONCATENATE("FY",RIGHT('Rev &amp; Exp'!H5,2))</f>
        <v>FY29</v>
      </c>
      <c r="I5" s="61" t="str">
        <f>CONCATENATE("FY",RIGHT('Rev &amp; Exp'!I5,2))</f>
        <v>FY30</v>
      </c>
      <c r="J5" s="61" t="str">
        <f>CONCATENATE("FY",RIGHT('Rev &amp; Exp'!J5,2))</f>
        <v>FY31</v>
      </c>
      <c r="K5" s="61" t="str">
        <f>CONCATENATE("FY",RIGHT('Rev &amp; Exp'!K5,2))</f>
        <v>FY32</v>
      </c>
      <c r="L5" s="61" t="str">
        <f>CONCATENATE("FY",RIGHT('Rev &amp; Exp'!L5,2))</f>
        <v>FY33</v>
      </c>
      <c r="M5" s="61" t="str">
        <f>CONCATENATE("FY",RIGHT('Rev &amp; Exp'!M5,2))</f>
        <v>FY34</v>
      </c>
      <c r="N5" s="61" t="str">
        <f>CONCATENATE("FY",RIGHT('Rev &amp; Exp'!N5,2))</f>
        <v>FY35</v>
      </c>
      <c r="O5" s="616" t="s">
        <v>54</v>
      </c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  <c r="AA5" s="307"/>
      <c r="AB5" s="307"/>
      <c r="AC5" s="307"/>
      <c r="AD5" s="307"/>
      <c r="AE5" s="307"/>
      <c r="AF5" s="307"/>
      <c r="AG5" s="307"/>
      <c r="AH5" s="307"/>
    </row>
    <row r="6" spans="1:34" ht="9" customHeight="1">
      <c r="A6" s="307"/>
      <c r="B6" s="307"/>
      <c r="C6" s="307"/>
      <c r="D6" s="307"/>
      <c r="E6" s="307"/>
      <c r="F6" s="307"/>
      <c r="G6" s="307"/>
      <c r="H6" s="307"/>
      <c r="I6" s="307"/>
      <c r="J6" s="307"/>
      <c r="K6" s="307"/>
      <c r="L6" s="307"/>
      <c r="M6" s="307"/>
      <c r="N6" s="307"/>
      <c r="O6" s="61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  <c r="AA6" s="307"/>
      <c r="AB6" s="307"/>
      <c r="AC6" s="307"/>
      <c r="AD6" s="307"/>
      <c r="AE6" s="307"/>
      <c r="AF6" s="307"/>
      <c r="AG6" s="307"/>
      <c r="AH6" s="307"/>
    </row>
    <row r="7" spans="1:34" ht="17.399999999999999">
      <c r="A7" s="307"/>
      <c r="B7" s="19" t="s">
        <v>55</v>
      </c>
      <c r="C7" s="62"/>
      <c r="D7" s="63"/>
      <c r="E7" s="63">
        <f>('Rev &amp; Exp'!E29-'Rev &amp; Exp'!E26)*Appendix!H5/12</f>
        <v>5665.2411912092966</v>
      </c>
      <c r="F7" s="63">
        <f>'Rev &amp; Exp'!F29-'Rev &amp; Exp'!F26</f>
        <v>25348.976742798746</v>
      </c>
      <c r="G7" s="63">
        <f>'Rev &amp; Exp'!G29-'Rev &amp; Exp'!G26</f>
        <v>28246.36877707671</v>
      </c>
      <c r="H7" s="63">
        <f>'Rev &amp; Exp'!H29-'Rev &amp; Exp'!H26</f>
        <v>31621.52705600017</v>
      </c>
      <c r="I7" s="63">
        <f>'Rev &amp; Exp'!I29-'Rev &amp; Exp'!I26</f>
        <v>35399.864509035098</v>
      </c>
      <c r="J7" s="63">
        <f>'Rev &amp; Exp'!J29-'Rev &amp; Exp'!J26</f>
        <v>36107.861799215811</v>
      </c>
      <c r="K7" s="63">
        <f>'Rev &amp; Exp'!K29-'Rev &amp; Exp'!K26</f>
        <v>38004.385668339964</v>
      </c>
      <c r="L7" s="63">
        <f>'Rev &amp; Exp'!L29-'Rev &amp; Exp'!L26</f>
        <v>39169.841767754464</v>
      </c>
      <c r="M7" s="63">
        <f>'Rev &amp; Exp'!M29-'Rev &amp; Exp'!M26</f>
        <v>40210.222463537903</v>
      </c>
      <c r="N7" s="63">
        <f>'Rev &amp; Exp'!N29-'Rev &amp; Exp'!N26</f>
        <v>41014.426912808653</v>
      </c>
      <c r="O7" s="618">
        <f>IF(DCF!$D$2="5Y",AVERAGE(G7:I7),AVERAGE(L7:N7))</f>
        <v>31755.92011403733</v>
      </c>
      <c r="P7" s="307"/>
      <c r="Q7" s="63"/>
      <c r="R7" s="307"/>
      <c r="S7" s="307"/>
      <c r="T7" s="307"/>
      <c r="U7" s="307"/>
      <c r="V7" s="307"/>
      <c r="W7" s="307"/>
      <c r="X7" s="307"/>
      <c r="Y7" s="307"/>
      <c r="Z7" s="307"/>
      <c r="AA7" s="307"/>
      <c r="AB7" s="307"/>
      <c r="AC7" s="307"/>
      <c r="AD7" s="307"/>
      <c r="AE7" s="307"/>
      <c r="AF7" s="307"/>
      <c r="AG7" s="307"/>
      <c r="AH7" s="307"/>
    </row>
    <row r="8" spans="1:34" ht="17.399999999999999">
      <c r="A8" s="307"/>
      <c r="B8" s="19" t="s">
        <v>56</v>
      </c>
      <c r="C8" s="62"/>
      <c r="D8" s="63"/>
      <c r="E8" s="63">
        <f>'Rev &amp; Exp'!E20*Appendix!H5/12</f>
        <v>-557.83763979781372</v>
      </c>
      <c r="F8" s="63">
        <f>'Rev &amp; Exp'!F20</f>
        <v>-2275.9775703750802</v>
      </c>
      <c r="G8" s="63">
        <f>'Rev &amp; Exp'!G20</f>
        <v>-2334.4322608940852</v>
      </c>
      <c r="H8" s="63">
        <f>'Rev &amp; Exp'!H20</f>
        <v>-2424.4228737520557</v>
      </c>
      <c r="I8" s="63">
        <f>'Rev &amp; Exp'!I20</f>
        <v>-2534.5233581938169</v>
      </c>
      <c r="J8" s="63">
        <f>'Rev &amp; Exp'!J20</f>
        <v>-2585.2138253576932</v>
      </c>
      <c r="K8" s="63">
        <f>'Rev &amp; Exp'!K20</f>
        <v>-2720.9992051136092</v>
      </c>
      <c r="L8" s="63">
        <f>'Rev &amp; Exp'!L20</f>
        <v>-2804.4423410657701</v>
      </c>
      <c r="M8" s="63">
        <f>'Rev &amp; Exp'!M20</f>
        <v>-2878.930455962482</v>
      </c>
      <c r="N8" s="63">
        <f>'Rev &amp; Exp'!N20</f>
        <v>-2936.5090650817315</v>
      </c>
      <c r="O8" s="618">
        <f>IF(DCF!$D$2="5Y",AVERAGE(G8:I8),AVERAGE(L8:N8))</f>
        <v>-2431.1261642799859</v>
      </c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  <c r="AA8" s="307"/>
      <c r="AB8" s="307"/>
      <c r="AC8" s="307"/>
      <c r="AD8" s="307"/>
      <c r="AE8" s="307"/>
      <c r="AF8" s="307"/>
      <c r="AG8" s="307"/>
      <c r="AH8" s="307"/>
    </row>
    <row r="9" spans="1:34" s="221" customFormat="1" ht="21" customHeight="1">
      <c r="A9" s="217"/>
      <c r="B9" s="222" t="s">
        <v>57</v>
      </c>
      <c r="C9" s="223"/>
      <c r="D9" s="230"/>
      <c r="E9" s="230">
        <f>'NWC &amp; Capex'!G80*Appendix!H5/12</f>
        <v>785.0277608812421</v>
      </c>
      <c r="F9" s="230">
        <f>'NWC &amp; Capex'!H80</f>
        <v>3301.0403079204361</v>
      </c>
      <c r="G9" s="230">
        <f>'NWC &amp; Capex'!I80</f>
        <v>3368.6834588993938</v>
      </c>
      <c r="H9" s="230">
        <f>'NWC &amp; Capex'!J80</f>
        <v>3441.5812247735439</v>
      </c>
      <c r="I9" s="230">
        <f>'NWC &amp; Capex'!K80</f>
        <v>3495.2900143908118</v>
      </c>
      <c r="J9" s="230">
        <f>'NWC &amp; Capex'!L80</f>
        <v>3600.1019362754582</v>
      </c>
      <c r="K9" s="230">
        <f>'NWC &amp; Capex'!M80</f>
        <v>3731.9143544518433</v>
      </c>
      <c r="L9" s="230">
        <f>'NWC &amp; Capex'!N80</f>
        <v>3871.1281822719375</v>
      </c>
      <c r="M9" s="230">
        <f>'NWC &amp; Capex'!O80</f>
        <v>4005.7502743548498</v>
      </c>
      <c r="N9" s="230">
        <f>'NWC &amp; Capex'!P80</f>
        <v>4124.8157398537842</v>
      </c>
      <c r="O9" s="619">
        <f>IF(DCF!$D$2="5Y",AVERAGE(G9:I9),AVERAGE(L9:N9))</f>
        <v>3435.1848993545832</v>
      </c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  <c r="AA9" s="217"/>
      <c r="AB9" s="217"/>
      <c r="AC9" s="217"/>
      <c r="AD9" s="217"/>
      <c r="AE9" s="217"/>
      <c r="AF9" s="217"/>
      <c r="AG9" s="217"/>
      <c r="AH9" s="217"/>
    </row>
    <row r="10" spans="1:34" s="221" customFormat="1" ht="21" customHeight="1">
      <c r="A10" s="217"/>
      <c r="B10" s="225" t="s">
        <v>58</v>
      </c>
      <c r="C10" s="226"/>
      <c r="D10" s="227"/>
      <c r="E10" s="227">
        <f t="shared" ref="E10:O10" si="0">E7-E8+E9</f>
        <v>7008.1065918883523</v>
      </c>
      <c r="F10" s="227">
        <f t="shared" si="0"/>
        <v>30925.994621094262</v>
      </c>
      <c r="G10" s="227">
        <f t="shared" si="0"/>
        <v>33949.484496870187</v>
      </c>
      <c r="H10" s="227">
        <f t="shared" si="0"/>
        <v>37487.531154525772</v>
      </c>
      <c r="I10" s="227">
        <f t="shared" si="0"/>
        <v>41429.677881619726</v>
      </c>
      <c r="J10" s="227">
        <f t="shared" si="0"/>
        <v>42293.177560848962</v>
      </c>
      <c r="K10" s="227">
        <f t="shared" si="0"/>
        <v>44457.299227905416</v>
      </c>
      <c r="L10" s="227">
        <f t="shared" si="0"/>
        <v>45845.412291092172</v>
      </c>
      <c r="M10" s="227">
        <f t="shared" si="0"/>
        <v>47094.903193855229</v>
      </c>
      <c r="N10" s="227">
        <f t="shared" si="0"/>
        <v>48075.751717744162</v>
      </c>
      <c r="O10" s="620">
        <f t="shared" si="0"/>
        <v>37622.2311776719</v>
      </c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  <c r="AG10" s="217"/>
      <c r="AH10" s="217"/>
    </row>
    <row r="11" spans="1:34" ht="7.5" customHeight="1">
      <c r="A11" s="307"/>
      <c r="B11" s="307"/>
      <c r="C11" s="307"/>
      <c r="D11" s="307"/>
      <c r="E11" s="307"/>
      <c r="F11" s="307"/>
      <c r="G11" s="307"/>
      <c r="H11" s="307"/>
      <c r="I11" s="307"/>
      <c r="J11" s="307"/>
      <c r="K11" s="307"/>
      <c r="L11" s="307"/>
      <c r="M11" s="307"/>
      <c r="N11" s="307"/>
      <c r="O11" s="617"/>
      <c r="P11" s="307"/>
      <c r="Q11" s="307"/>
      <c r="R11" s="307"/>
      <c r="S11" s="307"/>
      <c r="T11" s="307"/>
      <c r="U11" s="307"/>
      <c r="V11" s="307"/>
      <c r="W11" s="307"/>
      <c r="X11" s="307"/>
      <c r="Y11" s="307"/>
      <c r="Z11" s="307"/>
      <c r="AA11" s="307"/>
      <c r="AB11" s="307"/>
      <c r="AC11" s="307"/>
      <c r="AD11" s="307"/>
      <c r="AE11" s="307"/>
      <c r="AF11" s="307"/>
      <c r="AG11" s="307"/>
      <c r="AH11" s="307"/>
    </row>
    <row r="12" spans="1:34" ht="17.399999999999999">
      <c r="A12" s="307"/>
      <c r="B12" s="19" t="s">
        <v>59</v>
      </c>
      <c r="C12" s="62"/>
      <c r="D12" s="63"/>
      <c r="E12" s="63">
        <f>-'Rev &amp; Exp'!E26*Appendix!H5/12</f>
        <v>1359.4417855436482</v>
      </c>
      <c r="F12" s="63">
        <f>-'Rev &amp; Exp'!F26</f>
        <v>6082.7874828006825</v>
      </c>
      <c r="G12" s="63">
        <f>-'Rev &amp; Exp'!G26</f>
        <v>6778.0510501507606</v>
      </c>
      <c r="H12" s="63">
        <f>-'Rev &amp; Exp'!H26</f>
        <v>7587.960291845855</v>
      </c>
      <c r="I12" s="63">
        <f>-'Rev &amp; Exp'!I26</f>
        <v>8494.6171560779367</v>
      </c>
      <c r="J12" s="63">
        <f>-'Rev &amp; Exp'!J26</f>
        <v>8664.5094991994974</v>
      </c>
      <c r="K12" s="63">
        <f>-'Rev &amp; Exp'!K26</f>
        <v>9119.6028849795912</v>
      </c>
      <c r="L12" s="63">
        <f>-'Rev &amp; Exp'!L26</f>
        <v>9399.2678925734836</v>
      </c>
      <c r="M12" s="63">
        <f>-'Rev &amp; Exp'!M26</f>
        <v>9648.9195742910415</v>
      </c>
      <c r="N12" s="63">
        <f>-'Rev &amp; Exp'!N26</f>
        <v>9841.8979657768614</v>
      </c>
      <c r="O12" s="618">
        <f>IF(DCF!$E$2="EBITDA Multiples",0,IF(DCF!$D$2="5Y",AVERAGE(G12:I12),AVERAGE(L12:N12)))</f>
        <v>7620.2094993581841</v>
      </c>
      <c r="P12" s="307"/>
      <c r="Q12" s="307"/>
      <c r="R12" s="307"/>
      <c r="S12" s="307"/>
      <c r="T12" s="307"/>
      <c r="U12" s="307"/>
      <c r="V12" s="307"/>
      <c r="W12" s="307"/>
      <c r="X12" s="307"/>
      <c r="Y12" s="307"/>
      <c r="Z12" s="307"/>
      <c r="AA12" s="307"/>
      <c r="AB12" s="307"/>
      <c r="AC12" s="307"/>
      <c r="AD12" s="307"/>
      <c r="AE12" s="307"/>
      <c r="AF12" s="307"/>
      <c r="AG12" s="307"/>
      <c r="AH12" s="307"/>
    </row>
    <row r="13" spans="1:34" ht="17.399999999999999">
      <c r="A13" s="307"/>
      <c r="B13" s="19" t="s">
        <v>60</v>
      </c>
      <c r="C13" s="62"/>
      <c r="D13" s="63"/>
      <c r="E13" s="63">
        <f>'NWC &amp; Capex'!G30*Appendix!H5/12</f>
        <v>826.13880440621062</v>
      </c>
      <c r="F13" s="63">
        <f>'NWC &amp; Capex'!H30</f>
        <v>3370.6463219773391</v>
      </c>
      <c r="G13" s="63">
        <f>'NWC &amp; Capex'!I30</f>
        <v>3457.2157548947898</v>
      </c>
      <c r="H13" s="63">
        <f>'NWC &amp; Capex'!J30</f>
        <v>3590.4888293707463</v>
      </c>
      <c r="I13" s="63">
        <f>'NWC &amp; Capex'!K30</f>
        <v>3753.5439480863438</v>
      </c>
      <c r="J13" s="63">
        <f>'NWC &amp; Capex'!L30</f>
        <v>3828.6148270480708</v>
      </c>
      <c r="K13" s="63">
        <f>'NWC &amp; Capex'!M30</f>
        <v>4029.7084128592651</v>
      </c>
      <c r="L13" s="63">
        <f>'NWC &amp; Capex'!N30</f>
        <v>4153.284893995261</v>
      </c>
      <c r="M13" s="63">
        <f>'NWC &amp; Capex'!O30</f>
        <v>4263.5992897853084</v>
      </c>
      <c r="N13" s="63">
        <f>'NWC &amp; Capex'!P30</f>
        <v>4348.8712755810147</v>
      </c>
      <c r="O13" s="618">
        <f>IF(DCF!$E$2="EBITDA Multiples",0,IF(DCF!$D$2="5Y",AVERAGE(G13:I13),AVERAGE(L13:N13)))</f>
        <v>3600.4161774506265</v>
      </c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  <c r="AA13" s="307"/>
      <c r="AB13" s="307"/>
      <c r="AC13" s="307"/>
      <c r="AD13" s="307"/>
      <c r="AE13" s="307"/>
      <c r="AF13" s="307"/>
      <c r="AG13" s="307"/>
      <c r="AH13" s="307"/>
    </row>
    <row r="14" spans="1:34" s="221" customFormat="1" ht="24" customHeight="1">
      <c r="A14" s="217"/>
      <c r="B14" s="222" t="s">
        <v>61</v>
      </c>
      <c r="C14" s="223"/>
      <c r="D14" s="224"/>
      <c r="E14" s="224">
        <f>'NWC &amp; Capex'!G19*Appendix!H5/12</f>
        <v>70.29749767341491</v>
      </c>
      <c r="F14" s="224">
        <f>'NWC &amp; Capex'!H19</f>
        <v>-224.05991197717958</v>
      </c>
      <c r="G14" s="224">
        <f>'NWC &amp; Capex'!I19</f>
        <v>502.5030290176619</v>
      </c>
      <c r="H14" s="224">
        <f>'NWC &amp; Capex'!J19</f>
        <v>275.17516516842443</v>
      </c>
      <c r="I14" s="224">
        <f>'NWC &amp; Capex'!K19</f>
        <v>492.55329295350748</v>
      </c>
      <c r="J14" s="224">
        <f>'NWC &amp; Capex'!L19</f>
        <v>419.33199212491672</v>
      </c>
      <c r="K14" s="224">
        <f>'NWC &amp; Capex'!M19</f>
        <v>918.88344382466312</v>
      </c>
      <c r="L14" s="224">
        <f>'NWC &amp; Capex'!N19</f>
        <v>585.96348978327296</v>
      </c>
      <c r="M14" s="224">
        <f>'NWC &amp; Capex'!O19</f>
        <v>534.21254921955915</v>
      </c>
      <c r="N14" s="224">
        <f>'NWC &amp; Capex'!P19</f>
        <v>395.71260331207304</v>
      </c>
      <c r="O14" s="619">
        <f>IF(DCF!$E$2="EBITDA Multiples",0,IF(DCF!$D$2="5Y",AVERAGE(G14:I14),AVERAGE(L14:N14)))</f>
        <v>423.41049571319792</v>
      </c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  <c r="AG14" s="217"/>
      <c r="AH14" s="217"/>
    </row>
    <row r="15" spans="1:34" s="221" customFormat="1" ht="22.05" customHeight="1">
      <c r="A15" s="217"/>
      <c r="B15" s="225" t="s">
        <v>62</v>
      </c>
      <c r="C15" s="226"/>
      <c r="D15" s="227"/>
      <c r="E15" s="227">
        <f t="shared" ref="E15:N15" si="1">E10-E12-E13-E14</f>
        <v>4752.2285042650792</v>
      </c>
      <c r="F15" s="227">
        <f t="shared" si="1"/>
        <v>21696.620728293419</v>
      </c>
      <c r="G15" s="227">
        <f t="shared" si="1"/>
        <v>23211.714662806975</v>
      </c>
      <c r="H15" s="227">
        <f t="shared" si="1"/>
        <v>26033.906868140744</v>
      </c>
      <c r="I15" s="227">
        <f t="shared" si="1"/>
        <v>28688.963484501935</v>
      </c>
      <c r="J15" s="227">
        <f t="shared" si="1"/>
        <v>29380.721242476477</v>
      </c>
      <c r="K15" s="227">
        <f t="shared" si="1"/>
        <v>30389.104486241897</v>
      </c>
      <c r="L15" s="227">
        <f t="shared" si="1"/>
        <v>31706.896014740159</v>
      </c>
      <c r="M15" s="227">
        <f t="shared" si="1"/>
        <v>32648.171780559318</v>
      </c>
      <c r="N15" s="227">
        <f t="shared" si="1"/>
        <v>33489.269873074212</v>
      </c>
      <c r="O15" s="620">
        <f>IF(DCF!E2="Growth Exit",O10-O12-O13-O14,"")</f>
        <v>25978.19500514989</v>
      </c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  <c r="AG15" s="217"/>
      <c r="AH15" s="217"/>
    </row>
    <row r="16" spans="1:34" ht="6.75" customHeight="1">
      <c r="A16" s="18"/>
      <c r="B16" s="307"/>
      <c r="C16" s="307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18"/>
      <c r="P16" s="307"/>
      <c r="Q16" s="307"/>
      <c r="R16" s="307"/>
      <c r="S16" s="307"/>
      <c r="T16" s="307"/>
      <c r="U16" s="307"/>
      <c r="V16" s="307"/>
      <c r="W16" s="307"/>
      <c r="X16" s="307"/>
      <c r="Y16" s="307"/>
      <c r="Z16" s="307"/>
      <c r="AA16" s="307"/>
      <c r="AB16" s="307"/>
      <c r="AC16" s="307"/>
      <c r="AD16" s="307"/>
      <c r="AE16" s="307"/>
      <c r="AF16" s="307"/>
      <c r="AG16" s="307"/>
      <c r="AH16" s="307"/>
    </row>
    <row r="17" spans="1:34" ht="17.399999999999999" hidden="1">
      <c r="A17" s="307"/>
      <c r="B17" s="19" t="s">
        <v>63</v>
      </c>
      <c r="C17" s="307"/>
      <c r="D17" s="307"/>
      <c r="E17" s="307"/>
      <c r="F17" s="307"/>
      <c r="G17" s="307"/>
      <c r="H17" s="307"/>
      <c r="I17" s="307"/>
      <c r="J17" s="307"/>
      <c r="K17" s="307"/>
      <c r="L17" s="307"/>
      <c r="M17" s="307"/>
      <c r="N17" s="307"/>
      <c r="O17" s="621" t="str">
        <f>LEFT('Trading Multiples'!F67,LEN('Trading Multiples'!F67)-1)&amp;"x"</f>
        <v>13x</v>
      </c>
      <c r="P17" s="307"/>
      <c r="Q17" s="307"/>
      <c r="R17" s="307"/>
      <c r="S17" s="307"/>
      <c r="T17" s="307"/>
      <c r="U17" s="307"/>
      <c r="V17" s="307"/>
      <c r="W17" s="307"/>
      <c r="X17" s="307"/>
      <c r="Y17" s="307"/>
      <c r="Z17" s="307"/>
      <c r="AA17" s="307"/>
      <c r="AB17" s="307"/>
      <c r="AC17" s="307"/>
      <c r="AD17" s="307"/>
      <c r="AE17" s="307"/>
      <c r="AF17" s="307"/>
      <c r="AG17" s="307"/>
      <c r="AH17" s="307"/>
    </row>
    <row r="18" spans="1:34" ht="17.399999999999999">
      <c r="A18" s="307"/>
      <c r="B18" s="67" t="s">
        <v>64</v>
      </c>
      <c r="C18" s="307"/>
      <c r="D18" s="307"/>
      <c r="E18" s="307"/>
      <c r="F18" s="307"/>
      <c r="G18" s="307"/>
      <c r="H18" s="307"/>
      <c r="I18" s="307"/>
      <c r="J18" s="307"/>
      <c r="K18" s="307"/>
      <c r="L18" s="307"/>
      <c r="M18" s="307"/>
      <c r="N18" s="307"/>
      <c r="O18" s="621">
        <f>IF(DCF!E2="Growth Exit",O15*(1+D20)/(D19-D20),O10*VALUE(LEFT(O17,LEN(O17)-1)))</f>
        <v>500532.69860787754</v>
      </c>
      <c r="P18" s="307"/>
      <c r="Q18" s="307"/>
      <c r="R18" s="307"/>
      <c r="S18" s="307"/>
      <c r="T18" s="307"/>
      <c r="U18" s="307"/>
      <c r="V18" s="307"/>
      <c r="W18" s="307"/>
      <c r="X18" s="307"/>
      <c r="Y18" s="307"/>
      <c r="Z18" s="307"/>
      <c r="AA18" s="307"/>
      <c r="AB18" s="307"/>
      <c r="AC18" s="307"/>
      <c r="AD18" s="307"/>
      <c r="AE18" s="307"/>
      <c r="AF18" s="307"/>
      <c r="AG18" s="307"/>
      <c r="AH18" s="307"/>
    </row>
    <row r="19" spans="1:34" ht="17.399999999999999">
      <c r="A19" s="307"/>
      <c r="B19" s="19" t="s">
        <v>65</v>
      </c>
      <c r="D19" s="68">
        <f>WACC!D19</f>
        <v>7.2939116623051053E-2</v>
      </c>
      <c r="E19" s="307"/>
      <c r="F19" s="307"/>
      <c r="G19" s="307"/>
      <c r="H19" s="307"/>
      <c r="I19" s="307"/>
      <c r="J19" s="307"/>
      <c r="K19" s="307"/>
      <c r="L19" s="307"/>
      <c r="M19" s="307"/>
      <c r="N19" s="307"/>
      <c r="O19" s="61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  <c r="AA19" s="307"/>
      <c r="AB19" s="307"/>
      <c r="AC19" s="307"/>
      <c r="AD19" s="307"/>
      <c r="AE19" s="307"/>
      <c r="AF19" s="307"/>
      <c r="AG19" s="307"/>
      <c r="AH19" s="307"/>
    </row>
    <row r="20" spans="1:34" ht="17.399999999999999">
      <c r="A20" s="307"/>
      <c r="B20" s="19" t="s">
        <v>15</v>
      </c>
      <c r="D20" s="68">
        <f>AVERAGE(Master!E17:F17)</f>
        <v>0.02</v>
      </c>
      <c r="E20" s="307"/>
      <c r="F20" s="307"/>
      <c r="G20" s="307"/>
      <c r="H20" s="307"/>
      <c r="I20" s="307"/>
      <c r="J20" s="307"/>
      <c r="K20" s="307"/>
      <c r="L20" s="307"/>
      <c r="M20" s="307"/>
      <c r="N20" s="307"/>
      <c r="O20" s="617"/>
      <c r="P20" s="307"/>
      <c r="Q20" s="307"/>
      <c r="R20" s="307"/>
      <c r="S20" s="307"/>
      <c r="T20" s="307"/>
      <c r="U20" s="307"/>
      <c r="V20" s="307"/>
      <c r="W20" s="307"/>
      <c r="X20" s="307"/>
      <c r="Y20" s="307"/>
      <c r="Z20" s="307"/>
      <c r="AA20" s="307"/>
      <c r="AB20" s="307"/>
      <c r="AC20" s="307"/>
      <c r="AD20" s="307"/>
      <c r="AE20" s="307"/>
      <c r="AF20" s="307"/>
      <c r="AG20" s="307"/>
      <c r="AH20" s="307"/>
    </row>
    <row r="21" spans="1:34" ht="6.75" customHeight="1">
      <c r="A21" s="307"/>
      <c r="B21" s="307"/>
      <c r="C21" s="307"/>
      <c r="D21" s="307"/>
      <c r="E21" s="307"/>
      <c r="F21" s="307"/>
      <c r="G21" s="307"/>
      <c r="H21" s="307"/>
      <c r="I21" s="307"/>
      <c r="J21" s="307"/>
      <c r="K21" s="307"/>
      <c r="L21" s="307"/>
      <c r="M21" s="307"/>
      <c r="N21" s="307"/>
      <c r="O21" s="61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  <c r="AA21" s="307"/>
      <c r="AB21" s="307"/>
      <c r="AC21" s="307"/>
      <c r="AD21" s="307"/>
      <c r="AE21" s="307"/>
      <c r="AF21" s="307"/>
      <c r="AG21" s="307"/>
      <c r="AH21" s="307"/>
    </row>
    <row r="22" spans="1:34" ht="17.399999999999999">
      <c r="A22" s="307"/>
      <c r="B22" s="19" t="s">
        <v>66</v>
      </c>
      <c r="C22" s="62"/>
      <c r="D22" s="69"/>
      <c r="E22" s="70">
        <f>Appendix!H5/12-Appendix!H5/12/2</f>
        <v>0.125</v>
      </c>
      <c r="F22" s="70">
        <f>(Appendix!H5+12)/12-0.5</f>
        <v>0.75</v>
      </c>
      <c r="G22" s="70">
        <f t="shared" ref="G22:N22" si="2">F22+1</f>
        <v>1.75</v>
      </c>
      <c r="H22" s="70">
        <f t="shared" si="2"/>
        <v>2.75</v>
      </c>
      <c r="I22" s="70">
        <f t="shared" si="2"/>
        <v>3.75</v>
      </c>
      <c r="J22" s="70">
        <f t="shared" si="2"/>
        <v>4.75</v>
      </c>
      <c r="K22" s="70">
        <f t="shared" si="2"/>
        <v>5.75</v>
      </c>
      <c r="L22" s="70">
        <f t="shared" si="2"/>
        <v>6.75</v>
      </c>
      <c r="M22" s="70">
        <f t="shared" si="2"/>
        <v>7.75</v>
      </c>
      <c r="N22" s="70">
        <f t="shared" si="2"/>
        <v>8.75</v>
      </c>
      <c r="O22" s="622">
        <f>LEFT(DCF!D2,LEN(DCF!D2)-1)-2+F22+0.5</f>
        <v>4.25</v>
      </c>
      <c r="P22" s="307"/>
      <c r="Q22" s="307"/>
      <c r="R22" s="307"/>
      <c r="S22" s="307"/>
      <c r="T22" s="307"/>
      <c r="U22" s="307"/>
      <c r="V22" s="307"/>
      <c r="W22" s="307"/>
      <c r="X22" s="307"/>
      <c r="Y22" s="307"/>
      <c r="Z22" s="307"/>
      <c r="AA22" s="307"/>
      <c r="AB22" s="307"/>
      <c r="AC22" s="307"/>
      <c r="AD22" s="307"/>
      <c r="AE22" s="307"/>
      <c r="AF22" s="307"/>
      <c r="AG22" s="307"/>
      <c r="AH22" s="307"/>
    </row>
    <row r="23" spans="1:34" s="221" customFormat="1" ht="22.05" customHeight="1">
      <c r="A23" s="217"/>
      <c r="B23" s="218" t="s">
        <v>67</v>
      </c>
      <c r="C23" s="219"/>
      <c r="D23" s="220"/>
      <c r="E23" s="220">
        <f t="shared" ref="E23:N23" si="3">E15/POWER(1+$D$19,E22)</f>
        <v>4710.5913479157734</v>
      </c>
      <c r="F23" s="220">
        <f t="shared" si="3"/>
        <v>20580.730615862245</v>
      </c>
      <c r="G23" s="220">
        <f t="shared" si="3"/>
        <v>20521.109380933001</v>
      </c>
      <c r="H23" s="220">
        <f t="shared" si="3"/>
        <v>21451.510588326124</v>
      </c>
      <c r="I23" s="220">
        <f t="shared" si="3"/>
        <v>22032.222664024572</v>
      </c>
      <c r="J23" s="220">
        <f t="shared" si="3"/>
        <v>21029.591092654809</v>
      </c>
      <c r="K23" s="220">
        <f t="shared" si="3"/>
        <v>20272.681578034648</v>
      </c>
      <c r="L23" s="220">
        <f t="shared" si="3"/>
        <v>19713.872621430826</v>
      </c>
      <c r="M23" s="220">
        <f t="shared" si="3"/>
        <v>18919.166782719734</v>
      </c>
      <c r="N23" s="220">
        <f t="shared" si="3"/>
        <v>18087.299889981143</v>
      </c>
      <c r="O23" s="623">
        <f>O18/POWER(1+$D$19,O22)</f>
        <v>371097.79090345872</v>
      </c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</row>
    <row r="24" spans="1:34" ht="9" customHeight="1">
      <c r="A24" s="307"/>
      <c r="B24" s="307"/>
      <c r="C24" s="307"/>
      <c r="D24" s="307"/>
      <c r="E24" s="307"/>
      <c r="F24" s="307"/>
      <c r="G24" s="307"/>
      <c r="H24" s="307"/>
      <c r="I24" s="307"/>
      <c r="J24" s="307"/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  <c r="Z24" s="307"/>
      <c r="AA24" s="307"/>
      <c r="AB24" s="307"/>
      <c r="AC24" s="307"/>
      <c r="AD24" s="307"/>
      <c r="AE24" s="307"/>
      <c r="AF24" s="307"/>
      <c r="AG24" s="307"/>
      <c r="AH24" s="307"/>
    </row>
    <row r="25" spans="1:34" ht="17.399999999999999">
      <c r="A25" s="307"/>
      <c r="B25" s="67" t="s">
        <v>68</v>
      </c>
      <c r="C25" s="71">
        <f>IF(DCF!D2="5Y",SUM(E23:I23)+O23,SUM(E23:O23))</f>
        <v>460393.95550052042</v>
      </c>
      <c r="D25" s="307"/>
      <c r="E25" s="307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  <c r="AA25" s="307"/>
      <c r="AB25" s="307"/>
      <c r="AC25" s="307"/>
      <c r="AD25" s="307"/>
      <c r="AE25" s="307"/>
      <c r="AF25" s="307"/>
      <c r="AG25" s="307"/>
      <c r="AH25" s="307"/>
    </row>
    <row r="26" spans="1:34" ht="18">
      <c r="A26" s="307"/>
      <c r="B26" s="19" t="s">
        <v>69</v>
      </c>
      <c r="C26" s="72">
        <f>C25-C27</f>
        <v>89296.164597061696</v>
      </c>
      <c r="D26" s="73">
        <f>C26/C25</f>
        <v>0.19395598819272675</v>
      </c>
      <c r="F26" s="307"/>
      <c r="G26" s="307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Y26" s="307"/>
      <c r="Z26" s="307"/>
      <c r="AA26" s="307"/>
      <c r="AB26" s="307"/>
      <c r="AC26" s="307"/>
      <c r="AD26" s="307"/>
      <c r="AE26" s="307"/>
      <c r="AF26" s="307"/>
      <c r="AG26" s="307"/>
      <c r="AH26" s="307"/>
    </row>
    <row r="27" spans="1:34" ht="18">
      <c r="A27" s="307"/>
      <c r="B27" s="19" t="s">
        <v>64</v>
      </c>
      <c r="C27" s="72">
        <f>O23</f>
        <v>371097.79090345872</v>
      </c>
      <c r="D27" s="73">
        <f>C27/C25</f>
        <v>0.80604401180727325</v>
      </c>
      <c r="F27" s="307"/>
      <c r="G27" s="307"/>
      <c r="H27" s="307"/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Y27" s="307"/>
      <c r="Z27" s="307"/>
      <c r="AA27" s="307"/>
      <c r="AB27" s="307"/>
      <c r="AC27" s="307"/>
      <c r="AD27" s="307"/>
      <c r="AE27" s="307"/>
      <c r="AF27" s="307"/>
      <c r="AG27" s="307"/>
      <c r="AH27" s="307"/>
    </row>
    <row r="28" spans="1:34" ht="9.75" customHeight="1">
      <c r="A28" s="307"/>
      <c r="B28" s="307"/>
      <c r="C28" s="307"/>
      <c r="D28" s="307"/>
      <c r="E28" s="307"/>
      <c r="F28" s="307"/>
      <c r="G28" s="307"/>
      <c r="H28" s="307"/>
      <c r="I28" s="307"/>
      <c r="J28" s="307"/>
      <c r="K28" s="307"/>
      <c r="L28" s="307"/>
      <c r="M28" s="307"/>
      <c r="N28" s="307"/>
      <c r="O28" s="307"/>
      <c r="P28" s="307"/>
      <c r="Q28" s="307"/>
      <c r="R28" s="307"/>
      <c r="S28" s="307"/>
      <c r="T28" s="307"/>
      <c r="U28" s="307"/>
      <c r="V28" s="307"/>
      <c r="W28" s="307"/>
      <c r="X28" s="307"/>
      <c r="Y28" s="307"/>
      <c r="Z28" s="307"/>
      <c r="AA28" s="307"/>
      <c r="AB28" s="307"/>
      <c r="AC28" s="307"/>
      <c r="AD28" s="307"/>
      <c r="AE28" s="307"/>
      <c r="AF28" s="307"/>
      <c r="AG28" s="307"/>
      <c r="AH28" s="307"/>
    </row>
    <row r="29" spans="1:34" ht="17.399999999999999">
      <c r="A29" s="307"/>
      <c r="B29" s="19" t="s">
        <v>70</v>
      </c>
      <c r="C29" s="63">
        <f>Appendix!H9</f>
        <v>54330</v>
      </c>
      <c r="D29" s="307"/>
      <c r="E29" s="307"/>
      <c r="F29" s="307"/>
      <c r="G29" s="307"/>
      <c r="H29" s="307"/>
      <c r="I29" s="307"/>
      <c r="J29" s="307"/>
      <c r="K29" s="307"/>
      <c r="L29" s="307"/>
      <c r="M29" s="307"/>
      <c r="N29" s="307"/>
      <c r="O29" s="307"/>
      <c r="P29" s="307"/>
      <c r="Q29" s="307"/>
      <c r="R29" s="307"/>
      <c r="S29" s="307"/>
      <c r="T29" s="307"/>
      <c r="U29" s="307"/>
      <c r="V29" s="307"/>
      <c r="W29" s="307"/>
      <c r="X29" s="307"/>
      <c r="Y29" s="307"/>
      <c r="Z29" s="307"/>
      <c r="AA29" s="307"/>
      <c r="AB29" s="307"/>
      <c r="AC29" s="307"/>
      <c r="AD29" s="307"/>
      <c r="AE29" s="307"/>
      <c r="AF29" s="307"/>
      <c r="AG29" s="307"/>
      <c r="AH29" s="307"/>
    </row>
    <row r="30" spans="1:34" ht="7.5" customHeight="1">
      <c r="A30" s="307"/>
      <c r="B30" s="307"/>
      <c r="C30" s="63"/>
      <c r="D30" s="307"/>
      <c r="E30" s="307"/>
      <c r="F30" s="307"/>
      <c r="G30" s="307"/>
      <c r="H30" s="307"/>
      <c r="I30" s="307"/>
      <c r="J30" s="307"/>
      <c r="K30" s="307"/>
      <c r="L30" s="307"/>
      <c r="M30" s="307"/>
      <c r="N30" s="307"/>
      <c r="O30" s="307"/>
      <c r="P30" s="307"/>
      <c r="Q30" s="307"/>
      <c r="R30" s="307"/>
      <c r="S30" s="307"/>
      <c r="T30" s="307"/>
      <c r="U30" s="307"/>
      <c r="V30" s="307"/>
      <c r="W30" s="307"/>
      <c r="X30" s="307"/>
      <c r="Y30" s="307"/>
      <c r="Z30" s="307"/>
      <c r="AA30" s="307"/>
      <c r="AB30" s="307"/>
      <c r="AC30" s="307"/>
      <c r="AD30" s="307"/>
      <c r="AE30" s="307"/>
      <c r="AF30" s="307"/>
      <c r="AG30" s="307"/>
      <c r="AH30" s="307"/>
    </row>
    <row r="31" spans="1:34" ht="17.399999999999999">
      <c r="A31" s="307"/>
      <c r="B31" s="65" t="s">
        <v>71</v>
      </c>
      <c r="C31" s="74">
        <f>C25-C29</f>
        <v>406063.95550052042</v>
      </c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07"/>
      <c r="T31" s="307"/>
      <c r="U31" s="307"/>
      <c r="V31" s="307"/>
      <c r="W31" s="307"/>
      <c r="X31" s="307"/>
      <c r="Y31" s="307"/>
      <c r="Z31" s="307"/>
      <c r="AA31" s="307"/>
      <c r="AB31" s="307"/>
      <c r="AC31" s="307"/>
      <c r="AD31" s="307"/>
      <c r="AE31" s="307"/>
      <c r="AF31" s="307"/>
      <c r="AG31" s="307"/>
      <c r="AH31" s="307"/>
    </row>
    <row r="32" spans="1:34" ht="17.399999999999999">
      <c r="A32" s="307"/>
      <c r="B32" s="19" t="s">
        <v>72</v>
      </c>
      <c r="C32" s="63">
        <f>Master!E12</f>
        <v>995.51</v>
      </c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  <c r="AA32" s="307"/>
      <c r="AB32" s="307"/>
      <c r="AC32" s="307"/>
      <c r="AD32" s="307"/>
      <c r="AE32" s="307"/>
      <c r="AF32" s="307"/>
      <c r="AG32" s="307"/>
      <c r="AH32" s="307"/>
    </row>
    <row r="33" spans="1:34" ht="7.5" customHeight="1">
      <c r="A33" s="307"/>
      <c r="B33" s="307"/>
      <c r="C33" s="63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  <c r="AA33" s="307"/>
      <c r="AB33" s="307"/>
      <c r="AC33" s="307"/>
      <c r="AD33" s="307"/>
      <c r="AE33" s="307"/>
      <c r="AF33" s="307"/>
      <c r="AG33" s="307"/>
      <c r="AH33" s="307"/>
    </row>
    <row r="34" spans="1:34" ht="17.399999999999999">
      <c r="A34" s="307"/>
      <c r="B34" s="65" t="str">
        <f>IF(Appendix!$H$11="Yes", "Fair price", _xludf.concat(_xludf.concat("Fair price (",Master!$E$11),")"))</f>
        <v>Fair price</v>
      </c>
      <c r="C34" s="75">
        <f>C31/C32</f>
        <v>407.89540587288968</v>
      </c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7"/>
      <c r="Y34" s="307"/>
      <c r="Z34" s="307"/>
      <c r="AA34" s="307"/>
      <c r="AB34" s="307"/>
      <c r="AC34" s="307"/>
      <c r="AD34" s="307"/>
      <c r="AE34" s="307"/>
      <c r="AF34" s="307"/>
      <c r="AG34" s="307"/>
      <c r="AH34" s="307"/>
    </row>
    <row r="35" spans="1:34" ht="17.399999999999999">
      <c r="A35" s="307"/>
      <c r="B35" s="76" t="str">
        <f>_xlfn.CONCAT(_xlfn.CONCAT("Fair price (",Master!$G$4),")")</f>
        <v>Fair price (USD)</v>
      </c>
      <c r="C35" s="77">
        <f>C34/Appendix!$H$13</f>
        <v>407.89540587288968</v>
      </c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  <c r="Z35" s="307"/>
      <c r="AA35" s="307"/>
      <c r="AB35" s="307"/>
      <c r="AC35" s="307"/>
      <c r="AD35" s="307"/>
      <c r="AE35" s="307"/>
      <c r="AF35" s="307"/>
      <c r="AG35" s="307"/>
      <c r="AH35" s="307"/>
    </row>
    <row r="36" spans="1:34" ht="17.399999999999999">
      <c r="A36" s="307"/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  <c r="Z36" s="307"/>
      <c r="AA36" s="307"/>
      <c r="AB36" s="307"/>
      <c r="AC36" s="307"/>
      <c r="AD36" s="307"/>
      <c r="AE36" s="307"/>
      <c r="AF36" s="307"/>
      <c r="AG36" s="307"/>
      <c r="AH36" s="307"/>
    </row>
    <row r="37" spans="1:34" ht="21">
      <c r="A37" s="307"/>
      <c r="B37" s="216" t="s">
        <v>73</v>
      </c>
      <c r="C37" s="305"/>
      <c r="D37" s="305"/>
      <c r="E37" s="305"/>
      <c r="F37" s="309"/>
      <c r="G37" s="305"/>
      <c r="H37" s="305"/>
      <c r="I37" s="305"/>
      <c r="J37" s="305"/>
      <c r="K37" s="305"/>
      <c r="L37" s="305"/>
      <c r="M37" s="305"/>
      <c r="N37" s="305"/>
      <c r="O37" s="79"/>
      <c r="R37" s="307"/>
      <c r="S37" s="307"/>
      <c r="T37" s="307"/>
      <c r="U37" s="307"/>
      <c r="V37" s="307"/>
      <c r="W37" s="307"/>
      <c r="X37" s="307"/>
      <c r="Y37" s="307"/>
      <c r="Z37" s="307"/>
      <c r="AA37" s="307"/>
      <c r="AB37" s="307"/>
      <c r="AC37" s="307"/>
      <c r="AD37" s="307"/>
      <c r="AE37" s="307"/>
      <c r="AF37" s="307"/>
      <c r="AG37" s="307"/>
      <c r="AH37" s="307"/>
    </row>
    <row r="38" spans="1:34" ht="25.05" customHeight="1">
      <c r="A38" s="307"/>
      <c r="B38" s="80"/>
      <c r="D38" s="7"/>
      <c r="E38" s="422" t="s">
        <v>32</v>
      </c>
      <c r="F38" s="421"/>
      <c r="G38" s="421"/>
      <c r="H38" s="421"/>
      <c r="I38" s="421"/>
      <c r="J38" s="421"/>
      <c r="K38" s="421"/>
      <c r="L38" s="421"/>
      <c r="M38" s="421"/>
      <c r="N38" s="421"/>
      <c r="O38" s="81"/>
      <c r="R38" s="307"/>
      <c r="S38" s="307"/>
      <c r="T38" s="307"/>
      <c r="U38" s="307"/>
      <c r="V38" s="307"/>
      <c r="W38" s="307"/>
      <c r="X38" s="307"/>
      <c r="Y38" s="307"/>
      <c r="Z38" s="307"/>
      <c r="AA38" s="307"/>
      <c r="AB38" s="307"/>
      <c r="AC38" s="307"/>
      <c r="AD38" s="307"/>
      <c r="AE38" s="307"/>
      <c r="AF38" s="307"/>
      <c r="AG38" s="307"/>
      <c r="AH38" s="307"/>
    </row>
    <row r="39" spans="1:34" ht="17.399999999999999">
      <c r="A39" s="307"/>
      <c r="B39" s="80"/>
      <c r="D39" s="7"/>
      <c r="E39" s="82" t="str">
        <f t="shared" ref="E39:N39" si="4">E5</f>
        <v>3M/FY26</v>
      </c>
      <c r="F39" s="82" t="str">
        <f t="shared" si="4"/>
        <v>FY27</v>
      </c>
      <c r="G39" s="82" t="str">
        <f t="shared" si="4"/>
        <v>FY28</v>
      </c>
      <c r="H39" s="82" t="str">
        <f t="shared" si="4"/>
        <v>FY29</v>
      </c>
      <c r="I39" s="82" t="str">
        <f t="shared" si="4"/>
        <v>FY30</v>
      </c>
      <c r="J39" s="82" t="str">
        <f t="shared" si="4"/>
        <v>FY31</v>
      </c>
      <c r="K39" s="82" t="str">
        <f t="shared" si="4"/>
        <v>FY32</v>
      </c>
      <c r="L39" s="82" t="str">
        <f t="shared" si="4"/>
        <v>FY33</v>
      </c>
      <c r="M39" s="82" t="str">
        <f t="shared" si="4"/>
        <v>FY34</v>
      </c>
      <c r="N39" s="82" t="str">
        <f t="shared" si="4"/>
        <v>FY35</v>
      </c>
      <c r="O39" s="624" t="s">
        <v>54</v>
      </c>
      <c r="R39" s="307"/>
      <c r="S39" s="307"/>
      <c r="T39" s="307"/>
      <c r="U39" s="307"/>
      <c r="V39" s="307"/>
      <c r="W39" s="307"/>
      <c r="X39" s="307"/>
      <c r="Y39" s="307"/>
      <c r="Z39" s="307"/>
      <c r="AA39" s="307"/>
      <c r="AB39" s="307"/>
      <c r="AC39" s="307"/>
      <c r="AD39" s="307"/>
      <c r="AE39" s="307"/>
      <c r="AF39" s="307"/>
      <c r="AG39" s="307"/>
      <c r="AH39" s="307"/>
    </row>
    <row r="40" spans="1:34" ht="17.399999999999999">
      <c r="A40" s="307"/>
      <c r="B40" s="80"/>
      <c r="D40" s="7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625"/>
      <c r="R40" s="307"/>
      <c r="S40" s="307"/>
      <c r="T40" s="307"/>
      <c r="U40" s="307"/>
      <c r="V40" s="307"/>
      <c r="W40" s="307"/>
      <c r="X40" s="307"/>
      <c r="Y40" s="307"/>
      <c r="Z40" s="307"/>
      <c r="AA40" s="307"/>
      <c r="AB40" s="307"/>
      <c r="AC40" s="307"/>
      <c r="AD40" s="307"/>
      <c r="AE40" s="307"/>
      <c r="AF40" s="307"/>
      <c r="AG40" s="307"/>
      <c r="AH40" s="307"/>
    </row>
    <row r="41" spans="1:34" ht="17.399999999999999">
      <c r="A41" s="307"/>
      <c r="B41" s="427" t="s">
        <v>13</v>
      </c>
      <c r="C41" s="83" t="s">
        <v>74</v>
      </c>
      <c r="D41" s="84">
        <f>WACC!E17</f>
        <v>8.1548772479152196E-2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625"/>
      <c r="R41" s="307"/>
      <c r="S41" s="307"/>
      <c r="T41" s="307"/>
      <c r="U41" s="307"/>
      <c r="V41" s="307"/>
      <c r="W41" s="307"/>
      <c r="X41" s="307"/>
      <c r="Y41" s="307"/>
      <c r="Z41" s="307"/>
      <c r="AA41" s="307"/>
      <c r="AB41" s="307"/>
      <c r="AC41" s="307"/>
      <c r="AD41" s="307"/>
      <c r="AE41" s="307"/>
      <c r="AF41" s="307"/>
      <c r="AG41" s="307"/>
      <c r="AH41" s="307"/>
    </row>
    <row r="42" spans="1:34" ht="17.399999999999999">
      <c r="A42" s="307"/>
      <c r="B42" s="428"/>
      <c r="C42" s="83" t="s">
        <v>15</v>
      </c>
      <c r="D42" s="85">
        <f>Master!E17</f>
        <v>0.01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625"/>
      <c r="R42" s="307"/>
      <c r="S42" s="307"/>
      <c r="T42" s="307"/>
      <c r="U42" s="307"/>
      <c r="V42" s="307"/>
      <c r="W42" s="307"/>
      <c r="X42" s="307"/>
      <c r="Y42" s="307"/>
      <c r="Z42" s="307"/>
      <c r="AA42" s="307"/>
      <c r="AB42" s="307"/>
      <c r="AC42" s="307"/>
      <c r="AD42" s="307"/>
      <c r="AE42" s="307"/>
      <c r="AF42" s="307"/>
      <c r="AG42" s="307"/>
      <c r="AH42" s="307"/>
    </row>
    <row r="43" spans="1:34" ht="17.399999999999999" hidden="1">
      <c r="A43" s="307"/>
      <c r="B43" s="428"/>
      <c r="C43" s="83" t="s">
        <v>75</v>
      </c>
      <c r="D43" s="86" t="str">
        <f>'Trading Multiples'!K55</f>
        <v>10.2x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625"/>
      <c r="R43" s="307"/>
      <c r="S43" s="307"/>
      <c r="T43" s="307"/>
      <c r="U43" s="307"/>
      <c r="V43" s="307"/>
      <c r="W43" s="307"/>
      <c r="X43" s="307"/>
      <c r="Y43" s="307"/>
      <c r="Z43" s="307"/>
      <c r="AA43" s="307"/>
      <c r="AB43" s="307"/>
      <c r="AC43" s="307"/>
      <c r="AD43" s="307"/>
      <c r="AE43" s="307"/>
      <c r="AF43" s="307"/>
      <c r="AG43" s="307"/>
      <c r="AH43" s="307"/>
    </row>
    <row r="44" spans="1:34" ht="17.399999999999999">
      <c r="A44" s="307"/>
      <c r="B44" s="428"/>
      <c r="C44" s="8" t="s">
        <v>64</v>
      </c>
      <c r="D44" s="7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625">
        <f>IF(DCF!$E$2="Growth Exit",$O$15*(1+D42)/(D41-D42),$O$10*VALUE(LEFT(D43,LEN(D43)-1)))</f>
        <v>366714.56470964028</v>
      </c>
      <c r="R44" s="307"/>
      <c r="S44" s="307"/>
      <c r="T44" s="307"/>
      <c r="U44" s="307"/>
      <c r="V44" s="307"/>
      <c r="W44" s="307"/>
      <c r="X44" s="307"/>
      <c r="Y44" s="307"/>
      <c r="Z44" s="307"/>
      <c r="AA44" s="307"/>
      <c r="AB44" s="307"/>
      <c r="AC44" s="307"/>
      <c r="AD44" s="307"/>
      <c r="AE44" s="307"/>
      <c r="AF44" s="307"/>
      <c r="AG44" s="307"/>
      <c r="AH44" s="307"/>
    </row>
    <row r="45" spans="1:34" ht="17.399999999999999">
      <c r="A45" s="307"/>
      <c r="B45" s="428"/>
      <c r="D45" s="7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625"/>
      <c r="R45" s="307"/>
      <c r="S45" s="307"/>
      <c r="T45" s="307"/>
      <c r="U45" s="307"/>
      <c r="V45" s="307"/>
      <c r="W45" s="307"/>
      <c r="X45" s="307"/>
      <c r="Y45" s="307"/>
      <c r="Z45" s="307"/>
      <c r="AA45" s="307"/>
      <c r="AB45" s="307"/>
      <c r="AC45" s="307"/>
      <c r="AD45" s="307"/>
      <c r="AE45" s="307"/>
      <c r="AF45" s="307"/>
      <c r="AG45" s="307"/>
      <c r="AH45" s="307"/>
    </row>
    <row r="46" spans="1:34" ht="17.399999999999999">
      <c r="A46" s="307"/>
      <c r="B46" s="428"/>
      <c r="C46" s="87" t="s">
        <v>67</v>
      </c>
      <c r="D46" s="11"/>
      <c r="E46" s="88">
        <f t="shared" ref="E46:N46" si="5">E$15/POWER(1+$D41,E$22)</f>
        <v>4705.8876159708334</v>
      </c>
      <c r="F46" s="88">
        <f t="shared" si="5"/>
        <v>20457.733448961269</v>
      </c>
      <c r="G46" s="88">
        <f t="shared" si="5"/>
        <v>20236.086769230627</v>
      </c>
      <c r="H46" s="88">
        <f t="shared" si="5"/>
        <v>20985.172710715044</v>
      </c>
      <c r="I46" s="88">
        <f t="shared" si="5"/>
        <v>21381.686123207179</v>
      </c>
      <c r="J46" s="88">
        <f t="shared" si="5"/>
        <v>20246.195968645214</v>
      </c>
      <c r="K46" s="88">
        <f t="shared" si="5"/>
        <v>19362.114190755365</v>
      </c>
      <c r="L46" s="88">
        <f t="shared" si="5"/>
        <v>18678.521400180889</v>
      </c>
      <c r="M46" s="88">
        <f t="shared" si="5"/>
        <v>17782.856506724187</v>
      </c>
      <c r="N46" s="88">
        <f t="shared" si="5"/>
        <v>16865.616767174597</v>
      </c>
      <c r="O46" s="626">
        <f>O44/POWER(1+D41,$O$22)</f>
        <v>262804.13664599427</v>
      </c>
      <c r="R46" s="307"/>
      <c r="S46" s="307"/>
      <c r="T46" s="307"/>
      <c r="U46" s="307"/>
      <c r="V46" s="307"/>
      <c r="W46" s="307"/>
      <c r="X46" s="307"/>
      <c r="Y46" s="307"/>
      <c r="Z46" s="307"/>
      <c r="AA46" s="307"/>
      <c r="AB46" s="307"/>
      <c r="AC46" s="307"/>
      <c r="AD46" s="307"/>
      <c r="AE46" s="307"/>
      <c r="AF46" s="307"/>
      <c r="AG46" s="307"/>
      <c r="AH46" s="307"/>
    </row>
    <row r="47" spans="1:34" ht="17.399999999999999">
      <c r="A47" s="307"/>
      <c r="B47" s="428"/>
      <c r="D47" s="7"/>
      <c r="E47" s="64"/>
      <c r="F47" s="35"/>
      <c r="G47" s="35"/>
      <c r="H47" s="35"/>
      <c r="I47" s="35"/>
      <c r="J47" s="35"/>
      <c r="K47" s="35"/>
      <c r="L47" s="35"/>
      <c r="M47" s="35"/>
      <c r="N47" s="35"/>
      <c r="O47" s="625"/>
      <c r="R47" s="307"/>
      <c r="S47" s="307"/>
      <c r="T47" s="307"/>
      <c r="U47" s="307"/>
      <c r="V47" s="307"/>
      <c r="W47" s="307"/>
      <c r="X47" s="307"/>
      <c r="Y47" s="307"/>
      <c r="Z47" s="307"/>
      <c r="AA47" s="307"/>
      <c r="AB47" s="307"/>
      <c r="AC47" s="307"/>
      <c r="AD47" s="307"/>
      <c r="AE47" s="307"/>
      <c r="AF47" s="307"/>
      <c r="AG47" s="307"/>
      <c r="AH47" s="307"/>
    </row>
    <row r="48" spans="1:34" ht="17.399999999999999">
      <c r="A48" s="307"/>
      <c r="B48" s="428"/>
      <c r="C48" s="89" t="s">
        <v>68</v>
      </c>
      <c r="D48" s="90">
        <f>IF(DCF!$D$2="5Y",SUM(E46:I46)+O46,SUM(E46:O46))</f>
        <v>350570.7033140792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625"/>
      <c r="R48" s="307"/>
      <c r="S48" s="307"/>
      <c r="T48" s="307"/>
      <c r="U48" s="307"/>
      <c r="V48" s="307"/>
      <c r="W48" s="307"/>
      <c r="X48" s="307"/>
      <c r="Y48" s="307"/>
      <c r="Z48" s="307"/>
      <c r="AA48" s="307"/>
      <c r="AB48" s="307"/>
      <c r="AC48" s="307"/>
      <c r="AD48" s="307"/>
      <c r="AE48" s="307"/>
      <c r="AF48" s="307"/>
      <c r="AG48" s="307"/>
      <c r="AH48" s="307"/>
    </row>
    <row r="49" spans="1:34" ht="17.399999999999999">
      <c r="A49" s="307"/>
      <c r="B49" s="428"/>
      <c r="C49" s="89" t="s">
        <v>71</v>
      </c>
      <c r="D49" s="90">
        <f>D48-$C$29</f>
        <v>296240.7033140792</v>
      </c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625"/>
      <c r="R49" s="307"/>
      <c r="S49" s="307"/>
      <c r="T49" s="307"/>
      <c r="U49" s="307"/>
      <c r="V49" s="307"/>
      <c r="W49" s="307"/>
      <c r="X49" s="307"/>
      <c r="Y49" s="307"/>
      <c r="Z49" s="307"/>
      <c r="AA49" s="307"/>
      <c r="AB49" s="307"/>
      <c r="AC49" s="307"/>
      <c r="AD49" s="307"/>
      <c r="AE49" s="307"/>
      <c r="AF49" s="307"/>
      <c r="AG49" s="307"/>
      <c r="AH49" s="307"/>
    </row>
    <row r="50" spans="1:34" ht="17.399999999999999">
      <c r="A50" s="307"/>
      <c r="B50" s="428"/>
      <c r="C50" s="89" t="str">
        <f>IF(Appendix!$H$11="Yes", "Fair price", _xludf.concat(_xludf.concat("Fair price (",Master!$E$11),")"))</f>
        <v>Fair price</v>
      </c>
      <c r="D50" s="91">
        <f>D49/$C$32</f>
        <v>297.57682325047381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625"/>
      <c r="R50" s="307"/>
      <c r="S50" s="307"/>
      <c r="T50" s="307"/>
      <c r="U50" s="307"/>
      <c r="V50" s="307"/>
      <c r="W50" s="307"/>
      <c r="X50" s="307"/>
      <c r="Y50" s="307"/>
      <c r="Z50" s="307"/>
      <c r="AA50" s="307"/>
      <c r="AB50" s="307"/>
      <c r="AC50" s="307"/>
      <c r="AD50" s="307"/>
      <c r="AE50" s="307"/>
      <c r="AF50" s="307"/>
      <c r="AG50" s="307"/>
      <c r="AH50" s="307"/>
    </row>
    <row r="51" spans="1:34" ht="17.399999999999999">
      <c r="A51" s="307"/>
      <c r="B51" s="428"/>
      <c r="C51" s="92" t="str">
        <f>_xlfn.CONCAT(_xlfn.CONCAT("Fair price (",Master!$G$4),")")</f>
        <v>Fair price (USD)</v>
      </c>
      <c r="D51" s="91">
        <f>D50/Appendix!$H$13</f>
        <v>297.57682325047381</v>
      </c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625"/>
      <c r="R51" s="307"/>
      <c r="S51" s="307"/>
      <c r="T51" s="307"/>
      <c r="U51" s="307"/>
      <c r="V51" s="307"/>
      <c r="W51" s="307"/>
      <c r="X51" s="307"/>
      <c r="Y51" s="307"/>
      <c r="Z51" s="307"/>
      <c r="AA51" s="307"/>
      <c r="AB51" s="307"/>
      <c r="AC51" s="307"/>
      <c r="AD51" s="307"/>
      <c r="AE51" s="307"/>
      <c r="AF51" s="307"/>
      <c r="AG51" s="307"/>
      <c r="AH51" s="307"/>
    </row>
    <row r="52" spans="1:34" ht="17.399999999999999">
      <c r="A52" s="307"/>
      <c r="B52" s="93"/>
      <c r="C52" s="94"/>
      <c r="D52" s="12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627"/>
      <c r="R52" s="307"/>
      <c r="S52" s="307"/>
      <c r="T52" s="307"/>
      <c r="U52" s="307"/>
      <c r="V52" s="307"/>
      <c r="W52" s="307"/>
      <c r="X52" s="307"/>
      <c r="Y52" s="307"/>
      <c r="Z52" s="307"/>
      <c r="AA52" s="307"/>
      <c r="AB52" s="307"/>
      <c r="AC52" s="307"/>
      <c r="AD52" s="307"/>
      <c r="AE52" s="307"/>
      <c r="AF52" s="307"/>
      <c r="AG52" s="307"/>
      <c r="AH52" s="307"/>
    </row>
    <row r="53" spans="1:34" ht="17.399999999999999">
      <c r="A53" s="307"/>
      <c r="B53" s="96"/>
      <c r="C53" s="83"/>
      <c r="D53" s="7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625"/>
      <c r="R53" s="307"/>
      <c r="S53" s="307"/>
      <c r="T53" s="307"/>
      <c r="U53" s="307"/>
      <c r="V53" s="307"/>
      <c r="W53" s="307"/>
      <c r="X53" s="307"/>
      <c r="Y53" s="307"/>
      <c r="Z53" s="307"/>
      <c r="AA53" s="307"/>
      <c r="AB53" s="307"/>
      <c r="AC53" s="307"/>
      <c r="AD53" s="307"/>
      <c r="AE53" s="307"/>
      <c r="AF53" s="307"/>
      <c r="AG53" s="307"/>
      <c r="AH53" s="307"/>
    </row>
    <row r="54" spans="1:34" ht="17.399999999999999">
      <c r="A54" s="307"/>
      <c r="B54" s="427" t="s">
        <v>14</v>
      </c>
      <c r="C54" s="83" t="s">
        <v>74</v>
      </c>
      <c r="D54" s="84">
        <f>WACC!D17</f>
        <v>6.4329460766949911E-2</v>
      </c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625"/>
      <c r="R54" s="307"/>
      <c r="S54" s="307"/>
      <c r="T54" s="307"/>
      <c r="U54" s="307"/>
      <c r="V54" s="307"/>
      <c r="W54" s="307"/>
      <c r="X54" s="307"/>
      <c r="Y54" s="307"/>
      <c r="Z54" s="307"/>
      <c r="AA54" s="307"/>
      <c r="AB54" s="307"/>
      <c r="AC54" s="307"/>
      <c r="AD54" s="307"/>
      <c r="AE54" s="307"/>
      <c r="AF54" s="307"/>
      <c r="AG54" s="307"/>
      <c r="AH54" s="307"/>
    </row>
    <row r="55" spans="1:34" ht="17.399999999999999">
      <c r="A55" s="307"/>
      <c r="B55" s="428"/>
      <c r="C55" s="83" t="s">
        <v>15</v>
      </c>
      <c r="D55" s="85">
        <f>Master!F17</f>
        <v>0.03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625"/>
      <c r="R55" s="307"/>
      <c r="S55" s="307"/>
      <c r="T55" s="307"/>
      <c r="U55" s="307"/>
      <c r="V55" s="307"/>
      <c r="W55" s="307"/>
      <c r="X55" s="307"/>
      <c r="Y55" s="307"/>
      <c r="Z55" s="307"/>
      <c r="AA55" s="307"/>
      <c r="AB55" s="307"/>
      <c r="AC55" s="307"/>
      <c r="AD55" s="307"/>
      <c r="AE55" s="307"/>
      <c r="AF55" s="307"/>
      <c r="AG55" s="307"/>
      <c r="AH55" s="307"/>
    </row>
    <row r="56" spans="1:34" ht="17.399999999999999" hidden="1">
      <c r="A56" s="307"/>
      <c r="B56" s="428"/>
      <c r="C56" s="83" t="s">
        <v>75</v>
      </c>
      <c r="D56" s="86" t="str">
        <f>'Trading Multiples'!N55</f>
        <v>15.84x</v>
      </c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625"/>
      <c r="R56" s="307"/>
      <c r="S56" s="307"/>
      <c r="T56" s="307"/>
      <c r="U56" s="307"/>
      <c r="V56" s="307"/>
      <c r="W56" s="307"/>
      <c r="X56" s="307"/>
      <c r="Y56" s="307"/>
      <c r="Z56" s="307"/>
      <c r="AA56" s="307"/>
      <c r="AB56" s="307"/>
      <c r="AC56" s="307"/>
      <c r="AD56" s="307"/>
      <c r="AE56" s="307"/>
      <c r="AF56" s="307"/>
      <c r="AG56" s="307"/>
      <c r="AH56" s="307"/>
    </row>
    <row r="57" spans="1:34" ht="17.399999999999999">
      <c r="A57" s="307"/>
      <c r="B57" s="428"/>
      <c r="C57" s="8" t="s">
        <v>64</v>
      </c>
      <c r="D57" s="7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625">
        <f>IF(DCF!$E$2="Growth Exit",$O$15*(1+D55)/(D54-D55),$O$10*VALUE(LEFT(D56,LEN(D56)-1)))</f>
        <v>779433.76497963362</v>
      </c>
      <c r="R57" s="307"/>
      <c r="S57" s="307"/>
      <c r="T57" s="307"/>
      <c r="U57" s="307"/>
      <c r="V57" s="307"/>
      <c r="W57" s="307"/>
      <c r="X57" s="307"/>
      <c r="Y57" s="307"/>
      <c r="Z57" s="307"/>
      <c r="AA57" s="307"/>
      <c r="AB57" s="307"/>
      <c r="AC57" s="307"/>
      <c r="AD57" s="307"/>
      <c r="AE57" s="307"/>
      <c r="AF57" s="307"/>
      <c r="AG57" s="307"/>
      <c r="AH57" s="307"/>
    </row>
    <row r="58" spans="1:34" ht="17.399999999999999">
      <c r="A58" s="307"/>
      <c r="B58" s="428"/>
      <c r="D58" s="7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625"/>
      <c r="R58" s="307"/>
      <c r="S58" s="307"/>
      <c r="T58" s="307"/>
      <c r="U58" s="307"/>
      <c r="V58" s="307"/>
      <c r="W58" s="307"/>
      <c r="X58" s="307"/>
      <c r="Y58" s="307"/>
      <c r="Z58" s="307"/>
      <c r="AA58" s="307"/>
      <c r="AB58" s="307"/>
      <c r="AC58" s="307"/>
      <c r="AD58" s="307"/>
      <c r="AE58" s="307"/>
      <c r="AF58" s="307"/>
      <c r="AG58" s="307"/>
      <c r="AH58" s="307"/>
    </row>
    <row r="59" spans="1:34" ht="17.399999999999999">
      <c r="A59" s="307"/>
      <c r="B59" s="428"/>
      <c r="C59" s="87" t="s">
        <v>67</v>
      </c>
      <c r="D59" s="11"/>
      <c r="E59" s="88">
        <f t="shared" ref="E59:N59" si="6">E$15/POWER(1+$D54,E$22)</f>
        <v>4715.3377353440947</v>
      </c>
      <c r="F59" s="88">
        <f t="shared" si="6"/>
        <v>20705.467207170368</v>
      </c>
      <c r="G59" s="88">
        <f t="shared" si="6"/>
        <v>20812.491661680418</v>
      </c>
      <c r="H59" s="88">
        <f t="shared" si="6"/>
        <v>21932.09492449469</v>
      </c>
      <c r="I59" s="88">
        <f t="shared" si="6"/>
        <v>22708.034431993507</v>
      </c>
      <c r="J59" s="88">
        <f t="shared" si="6"/>
        <v>21849.980585473779</v>
      </c>
      <c r="K59" s="88">
        <f t="shared" si="6"/>
        <v>21233.931961192906</v>
      </c>
      <c r="L59" s="88">
        <f t="shared" si="6"/>
        <v>20815.658953859354</v>
      </c>
      <c r="M59" s="88">
        <f t="shared" si="6"/>
        <v>20138.133642081164</v>
      </c>
      <c r="N59" s="88">
        <f t="shared" si="6"/>
        <v>19408.409523942912</v>
      </c>
      <c r="O59" s="626">
        <f>O57/POWER(1+D54,$O$22)</f>
        <v>598006.4386184992</v>
      </c>
      <c r="R59" s="307"/>
      <c r="S59" s="307"/>
      <c r="T59" s="307"/>
      <c r="U59" s="307"/>
      <c r="V59" s="307"/>
      <c r="W59" s="307"/>
      <c r="X59" s="307"/>
      <c r="Y59" s="307"/>
      <c r="Z59" s="307"/>
      <c r="AA59" s="307"/>
      <c r="AB59" s="307"/>
      <c r="AC59" s="307"/>
      <c r="AD59" s="307"/>
      <c r="AE59" s="307"/>
      <c r="AF59" s="307"/>
      <c r="AG59" s="307"/>
      <c r="AH59" s="307"/>
    </row>
    <row r="60" spans="1:34" ht="17.399999999999999">
      <c r="A60" s="307"/>
      <c r="B60" s="428"/>
      <c r="D60" s="7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625"/>
      <c r="R60" s="307"/>
      <c r="S60" s="307"/>
      <c r="T60" s="307"/>
      <c r="U60" s="307"/>
      <c r="V60" s="307"/>
      <c r="W60" s="307"/>
      <c r="X60" s="307"/>
      <c r="Y60" s="307"/>
      <c r="Z60" s="307"/>
      <c r="AA60" s="307"/>
      <c r="AB60" s="307"/>
      <c r="AC60" s="307"/>
      <c r="AD60" s="307"/>
      <c r="AE60" s="307"/>
      <c r="AF60" s="307"/>
      <c r="AG60" s="307"/>
      <c r="AH60" s="307"/>
    </row>
    <row r="61" spans="1:34" ht="17.399999999999999">
      <c r="A61" s="307"/>
      <c r="B61" s="428"/>
      <c r="C61" s="89" t="s">
        <v>68</v>
      </c>
      <c r="D61" s="90">
        <f>IF(DCF!$D$2="5Y",SUM(E59:I59)+O59,SUM(E59:O59))</f>
        <v>688879.86457918223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625"/>
      <c r="R61" s="307"/>
      <c r="S61" s="307"/>
      <c r="T61" s="307"/>
      <c r="U61" s="307"/>
      <c r="V61" s="307"/>
      <c r="W61" s="307"/>
      <c r="X61" s="307"/>
      <c r="Y61" s="307"/>
      <c r="Z61" s="307"/>
      <c r="AA61" s="307"/>
      <c r="AB61" s="307"/>
      <c r="AC61" s="307"/>
      <c r="AD61" s="307"/>
      <c r="AE61" s="307"/>
      <c r="AF61" s="307"/>
      <c r="AG61" s="307"/>
      <c r="AH61" s="307"/>
    </row>
    <row r="62" spans="1:34" ht="17.399999999999999">
      <c r="A62" s="307"/>
      <c r="B62" s="428"/>
      <c r="C62" s="89" t="s">
        <v>71</v>
      </c>
      <c r="D62" s="90">
        <f>D61-$C$29</f>
        <v>634549.86457918223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625"/>
      <c r="R62" s="307"/>
      <c r="S62" s="307"/>
      <c r="T62" s="307"/>
      <c r="U62" s="307"/>
      <c r="V62" s="307"/>
      <c r="W62" s="307"/>
      <c r="X62" s="307"/>
      <c r="Y62" s="307"/>
      <c r="Z62" s="307"/>
      <c r="AA62" s="307"/>
      <c r="AB62" s="307"/>
      <c r="AC62" s="307"/>
      <c r="AD62" s="307"/>
      <c r="AE62" s="307"/>
      <c r="AF62" s="307"/>
      <c r="AG62" s="307"/>
      <c r="AH62" s="307"/>
    </row>
    <row r="63" spans="1:34" ht="17.399999999999999">
      <c r="A63" s="307"/>
      <c r="B63" s="428"/>
      <c r="C63" s="89" t="str">
        <f>IF(Appendix!$H$11="Yes", "Fair price", _xludf.concat(_xludf.concat("Fair price (",Master!$E$11),")"))</f>
        <v>Fair price</v>
      </c>
      <c r="D63" s="91">
        <f>D62/$C$32</f>
        <v>637.41184375765408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625"/>
      <c r="R63" s="307"/>
      <c r="S63" s="307"/>
      <c r="T63" s="307"/>
      <c r="U63" s="307"/>
      <c r="V63" s="307"/>
      <c r="W63" s="307"/>
      <c r="X63" s="307"/>
      <c r="Y63" s="307"/>
      <c r="Z63" s="307"/>
      <c r="AA63" s="307"/>
      <c r="AB63" s="307"/>
      <c r="AC63" s="307"/>
      <c r="AD63" s="307"/>
      <c r="AE63" s="307"/>
      <c r="AF63" s="307"/>
      <c r="AG63" s="307"/>
      <c r="AH63" s="307"/>
    </row>
    <row r="64" spans="1:34" ht="17.399999999999999">
      <c r="A64" s="307"/>
      <c r="B64" s="428"/>
      <c r="C64" s="92" t="str">
        <f>_xlfn.CONCAT(_xlfn.CONCAT("Fair price (",Master!$G$4),")")</f>
        <v>Fair price (USD)</v>
      </c>
      <c r="D64" s="91">
        <f>D63/Appendix!$H$13</f>
        <v>637.41184375765408</v>
      </c>
      <c r="F64" s="7"/>
      <c r="O64" s="97"/>
      <c r="Q64" s="21"/>
      <c r="R64" s="307"/>
      <c r="S64" s="307"/>
      <c r="T64" s="307"/>
      <c r="U64" s="307"/>
      <c r="V64" s="307"/>
      <c r="W64" s="307"/>
      <c r="X64" s="307"/>
      <c r="Y64" s="307"/>
      <c r="Z64" s="307"/>
      <c r="AA64" s="307"/>
      <c r="AB64" s="307"/>
      <c r="AC64" s="307"/>
      <c r="AD64" s="307"/>
      <c r="AE64" s="307"/>
      <c r="AF64" s="307"/>
      <c r="AG64" s="307"/>
      <c r="AH64" s="307"/>
    </row>
    <row r="65" spans="1:34" ht="17.399999999999999">
      <c r="A65" s="307"/>
      <c r="B65" s="98"/>
      <c r="C65" s="306"/>
      <c r="D65" s="306"/>
      <c r="E65" s="306"/>
      <c r="F65" s="310"/>
      <c r="G65" s="306"/>
      <c r="H65" s="306"/>
      <c r="I65" s="306"/>
      <c r="J65" s="306"/>
      <c r="K65" s="306"/>
      <c r="L65" s="306"/>
      <c r="M65" s="306"/>
      <c r="N65" s="306"/>
      <c r="O65" s="99"/>
      <c r="Q65" s="21"/>
      <c r="R65" s="307"/>
      <c r="S65" s="307"/>
      <c r="T65" s="307"/>
      <c r="U65" s="307"/>
      <c r="V65" s="307"/>
      <c r="W65" s="307"/>
      <c r="X65" s="307"/>
      <c r="Y65" s="307"/>
      <c r="Z65" s="307"/>
      <c r="AA65" s="307"/>
      <c r="AB65" s="307"/>
      <c r="AC65" s="307"/>
      <c r="AD65" s="307"/>
      <c r="AE65" s="307"/>
      <c r="AF65" s="307"/>
      <c r="AG65" s="307"/>
      <c r="AH65" s="307"/>
    </row>
    <row r="66" spans="1:34" ht="17.399999999999999">
      <c r="A66" s="307"/>
      <c r="B66" s="307"/>
      <c r="C66" s="307"/>
      <c r="D66" s="307"/>
      <c r="E66" s="307"/>
      <c r="F66" s="307"/>
      <c r="G66" s="307"/>
      <c r="H66" s="307"/>
      <c r="I66" s="307"/>
      <c r="J66" s="307"/>
      <c r="K66" s="307"/>
      <c r="L66" s="307"/>
      <c r="M66" s="307"/>
      <c r="N66" s="307"/>
      <c r="O66" s="307"/>
      <c r="P66" s="307"/>
      <c r="Q66" s="307"/>
      <c r="R66" s="307"/>
      <c r="S66" s="307"/>
      <c r="T66" s="307"/>
      <c r="U66" s="307"/>
      <c r="V66" s="307"/>
      <c r="W66" s="307"/>
      <c r="X66" s="307"/>
      <c r="Y66" s="307"/>
      <c r="Z66" s="307"/>
      <c r="AA66" s="307"/>
      <c r="AB66" s="307"/>
      <c r="AC66" s="307"/>
      <c r="AD66" s="307"/>
      <c r="AE66" s="307"/>
      <c r="AF66" s="307"/>
      <c r="AG66" s="307"/>
      <c r="AH66" s="307"/>
    </row>
    <row r="67" spans="1:34" ht="17.399999999999999">
      <c r="A67" s="307"/>
      <c r="B67" s="307"/>
      <c r="C67" s="307"/>
      <c r="D67" s="307"/>
      <c r="E67" s="307"/>
      <c r="F67" s="307"/>
      <c r="G67" s="307"/>
      <c r="H67" s="307"/>
      <c r="I67" s="307"/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307"/>
      <c r="V67" s="307"/>
      <c r="W67" s="307"/>
      <c r="X67" s="307"/>
      <c r="Y67" s="307"/>
      <c r="Z67" s="307"/>
      <c r="AA67" s="307"/>
      <c r="AB67" s="307"/>
      <c r="AC67" s="307"/>
      <c r="AD67" s="307"/>
      <c r="AE67" s="307"/>
      <c r="AF67" s="307"/>
      <c r="AG67" s="307"/>
      <c r="AH67" s="307"/>
    </row>
    <row r="68" spans="1:34" ht="17.399999999999999">
      <c r="A68" s="307"/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  <c r="P68" s="307"/>
      <c r="Q68" s="307"/>
      <c r="R68" s="307"/>
      <c r="S68" s="307"/>
      <c r="T68" s="307"/>
      <c r="U68" s="307"/>
      <c r="V68" s="307"/>
      <c r="W68" s="307"/>
      <c r="X68" s="307"/>
      <c r="Y68" s="307"/>
      <c r="Z68" s="307"/>
      <c r="AA68" s="307"/>
      <c r="AB68" s="307"/>
      <c r="AC68" s="307"/>
      <c r="AD68" s="307"/>
      <c r="AE68" s="307"/>
      <c r="AF68" s="307"/>
      <c r="AG68" s="307"/>
      <c r="AH68" s="307"/>
    </row>
    <row r="69" spans="1:34" ht="17.399999999999999">
      <c r="A69" s="307"/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  <c r="Z69" s="307"/>
      <c r="AA69" s="307"/>
      <c r="AB69" s="307"/>
      <c r="AC69" s="307"/>
      <c r="AD69" s="307"/>
      <c r="AE69" s="307"/>
      <c r="AF69" s="307"/>
      <c r="AG69" s="307"/>
      <c r="AH69" s="307"/>
    </row>
    <row r="70" spans="1:34" ht="17.399999999999999">
      <c r="A70" s="307"/>
      <c r="B70" s="307"/>
      <c r="C70" s="307"/>
      <c r="D70" s="307"/>
      <c r="E70" s="307"/>
      <c r="F70" s="307"/>
      <c r="G70" s="307"/>
      <c r="H70" s="307"/>
      <c r="I70" s="307"/>
      <c r="J70" s="307"/>
      <c r="K70" s="307"/>
      <c r="L70" s="307"/>
      <c r="M70" s="307"/>
      <c r="N70" s="307"/>
      <c r="O70" s="307"/>
      <c r="P70" s="307"/>
      <c r="Q70" s="307"/>
      <c r="R70" s="307"/>
      <c r="S70" s="307"/>
      <c r="T70" s="307"/>
      <c r="U70" s="307"/>
      <c r="V70" s="307"/>
      <c r="W70" s="307"/>
      <c r="X70" s="307"/>
      <c r="Y70" s="307"/>
      <c r="Z70" s="307"/>
      <c r="AA70" s="307"/>
      <c r="AB70" s="307"/>
      <c r="AC70" s="307"/>
      <c r="AD70" s="307"/>
      <c r="AE70" s="307"/>
      <c r="AF70" s="307"/>
      <c r="AG70" s="307"/>
      <c r="AH70" s="307"/>
    </row>
    <row r="71" spans="1:34" ht="17.399999999999999">
      <c r="A71" s="307"/>
      <c r="B71" s="307"/>
      <c r="C71" s="307"/>
      <c r="D71" s="307"/>
      <c r="E71" s="307"/>
      <c r="F71" s="307"/>
      <c r="G71" s="307"/>
      <c r="H71" s="307"/>
      <c r="I71" s="307"/>
      <c r="J71" s="307"/>
      <c r="K71" s="307"/>
      <c r="L71" s="307"/>
      <c r="M71" s="307"/>
      <c r="N71" s="307"/>
      <c r="O71" s="307"/>
      <c r="P71" s="307"/>
      <c r="Q71" s="307"/>
      <c r="R71" s="307"/>
      <c r="S71" s="307"/>
      <c r="T71" s="307"/>
      <c r="U71" s="307"/>
      <c r="V71" s="307"/>
      <c r="W71" s="307"/>
      <c r="X71" s="307"/>
      <c r="Y71" s="307"/>
      <c r="Z71" s="307"/>
      <c r="AA71" s="307"/>
      <c r="AB71" s="307"/>
      <c r="AC71" s="307"/>
      <c r="AD71" s="307"/>
      <c r="AE71" s="307"/>
      <c r="AF71" s="307"/>
      <c r="AG71" s="307"/>
      <c r="AH71" s="307"/>
    </row>
    <row r="72" spans="1:34" ht="17.399999999999999">
      <c r="A72" s="307"/>
      <c r="B72" s="307"/>
      <c r="C72" s="307"/>
      <c r="D72" s="307"/>
      <c r="E72" s="307"/>
      <c r="F72" s="307"/>
      <c r="G72" s="307"/>
      <c r="H72" s="307"/>
      <c r="I72" s="307"/>
      <c r="J72" s="307"/>
      <c r="K72" s="307"/>
      <c r="L72" s="307"/>
      <c r="M72" s="307"/>
      <c r="N72" s="307"/>
      <c r="O72" s="307"/>
      <c r="P72" s="307"/>
      <c r="Q72" s="307"/>
      <c r="R72" s="307"/>
      <c r="S72" s="307"/>
      <c r="T72" s="307"/>
      <c r="U72" s="307"/>
      <c r="V72" s="307"/>
      <c r="W72" s="307"/>
      <c r="X72" s="307"/>
      <c r="Y72" s="307"/>
      <c r="Z72" s="307"/>
      <c r="AA72" s="307"/>
      <c r="AB72" s="307"/>
      <c r="AC72" s="307"/>
      <c r="AD72" s="307"/>
      <c r="AE72" s="307"/>
      <c r="AF72" s="307"/>
      <c r="AG72" s="307"/>
      <c r="AH72" s="307"/>
    </row>
    <row r="73" spans="1:34" ht="17.399999999999999">
      <c r="A73" s="307"/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307"/>
      <c r="P73" s="307"/>
      <c r="Q73" s="307"/>
      <c r="R73" s="307"/>
      <c r="S73" s="307"/>
      <c r="T73" s="307"/>
      <c r="U73" s="307"/>
      <c r="V73" s="307"/>
      <c r="W73" s="307"/>
      <c r="X73" s="307"/>
      <c r="Y73" s="307"/>
      <c r="Z73" s="307"/>
      <c r="AA73" s="307"/>
      <c r="AB73" s="307"/>
      <c r="AC73" s="307"/>
      <c r="AD73" s="307"/>
      <c r="AE73" s="307"/>
      <c r="AF73" s="307"/>
      <c r="AG73" s="307"/>
      <c r="AH73" s="307"/>
    </row>
    <row r="74" spans="1:34" ht="17.399999999999999">
      <c r="A74" s="307"/>
      <c r="B74" s="307"/>
      <c r="C74" s="307"/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7"/>
      <c r="Q74" s="307"/>
      <c r="R74" s="307"/>
      <c r="S74" s="307"/>
      <c r="T74" s="307"/>
      <c r="U74" s="307"/>
      <c r="V74" s="307"/>
      <c r="W74" s="307"/>
      <c r="X74" s="307"/>
      <c r="Y74" s="307"/>
      <c r="Z74" s="307"/>
      <c r="AA74" s="307"/>
      <c r="AB74" s="307"/>
      <c r="AC74" s="307"/>
      <c r="AD74" s="307"/>
      <c r="AE74" s="307"/>
      <c r="AF74" s="307"/>
      <c r="AG74" s="307"/>
      <c r="AH74" s="307"/>
    </row>
    <row r="75" spans="1:34" ht="17.399999999999999">
      <c r="A75" s="307"/>
      <c r="B75" s="307"/>
      <c r="C75" s="307"/>
      <c r="D75" s="307"/>
      <c r="E75" s="307"/>
      <c r="F75" s="307"/>
      <c r="G75" s="307"/>
      <c r="H75" s="307"/>
      <c r="I75" s="307"/>
      <c r="J75" s="307"/>
      <c r="K75" s="307"/>
      <c r="L75" s="307"/>
      <c r="M75" s="307"/>
      <c r="N75" s="307"/>
      <c r="O75" s="307"/>
      <c r="P75" s="307"/>
      <c r="Q75" s="307"/>
      <c r="R75" s="307"/>
      <c r="S75" s="307"/>
      <c r="T75" s="307"/>
      <c r="U75" s="307"/>
      <c r="V75" s="307"/>
      <c r="W75" s="307"/>
      <c r="X75" s="307"/>
      <c r="Y75" s="307"/>
      <c r="Z75" s="307"/>
      <c r="AA75" s="307"/>
      <c r="AB75" s="307"/>
      <c r="AC75" s="307"/>
      <c r="AD75" s="307"/>
      <c r="AE75" s="307"/>
      <c r="AF75" s="307"/>
      <c r="AG75" s="307"/>
      <c r="AH75" s="307"/>
    </row>
    <row r="76" spans="1:34" ht="17.399999999999999">
      <c r="A76" s="307"/>
      <c r="B76" s="307"/>
      <c r="C76" s="307"/>
      <c r="D76" s="307"/>
      <c r="E76" s="307"/>
      <c r="F76" s="307"/>
      <c r="G76" s="307"/>
      <c r="H76" s="307"/>
      <c r="I76" s="307"/>
      <c r="J76" s="307"/>
      <c r="K76" s="307"/>
      <c r="L76" s="307"/>
      <c r="M76" s="307"/>
      <c r="N76" s="307"/>
      <c r="O76" s="307"/>
      <c r="P76" s="307"/>
      <c r="Q76" s="307"/>
      <c r="R76" s="307"/>
      <c r="S76" s="307"/>
      <c r="T76" s="307"/>
      <c r="U76" s="307"/>
      <c r="V76" s="307"/>
      <c r="W76" s="307"/>
      <c r="X76" s="307"/>
      <c r="Y76" s="307"/>
      <c r="Z76" s="307"/>
      <c r="AA76" s="307"/>
      <c r="AB76" s="307"/>
      <c r="AC76" s="307"/>
      <c r="AD76" s="307"/>
      <c r="AE76" s="307"/>
      <c r="AF76" s="307"/>
      <c r="AG76" s="307"/>
      <c r="AH76" s="307"/>
    </row>
    <row r="77" spans="1:34" ht="17.399999999999999">
      <c r="A77" s="307"/>
      <c r="B77" s="307"/>
      <c r="C77" s="307"/>
      <c r="D77" s="307"/>
      <c r="E77" s="307"/>
      <c r="F77" s="307"/>
      <c r="G77" s="307"/>
      <c r="H77" s="307"/>
      <c r="I77" s="307"/>
      <c r="J77" s="307"/>
      <c r="K77" s="307"/>
      <c r="L77" s="307"/>
      <c r="M77" s="307"/>
      <c r="N77" s="307"/>
      <c r="O77" s="307"/>
      <c r="P77" s="307"/>
      <c r="Q77" s="307"/>
      <c r="R77" s="307"/>
      <c r="S77" s="307"/>
      <c r="T77" s="307"/>
      <c r="U77" s="307"/>
      <c r="V77" s="307"/>
      <c r="W77" s="307"/>
      <c r="X77" s="307"/>
      <c r="Y77" s="307"/>
      <c r="Z77" s="307"/>
      <c r="AA77" s="307"/>
      <c r="AB77" s="307"/>
      <c r="AC77" s="307"/>
      <c r="AD77" s="307"/>
      <c r="AE77" s="307"/>
      <c r="AF77" s="307"/>
      <c r="AG77" s="307"/>
      <c r="AH77" s="307"/>
    </row>
    <row r="78" spans="1:34" ht="17.399999999999999">
      <c r="A78" s="307"/>
      <c r="B78" s="307"/>
      <c r="C78" s="307"/>
      <c r="D78" s="307"/>
      <c r="E78" s="307"/>
      <c r="F78" s="307"/>
      <c r="G78" s="307"/>
      <c r="H78" s="307"/>
      <c r="I78" s="307"/>
      <c r="J78" s="307"/>
      <c r="K78" s="307"/>
      <c r="L78" s="307"/>
      <c r="M78" s="307"/>
      <c r="N78" s="307"/>
      <c r="O78" s="307"/>
      <c r="P78" s="307"/>
      <c r="Q78" s="307"/>
      <c r="R78" s="307"/>
      <c r="S78" s="307"/>
      <c r="T78" s="307"/>
      <c r="U78" s="307"/>
      <c r="V78" s="307"/>
      <c r="W78" s="307"/>
      <c r="X78" s="307"/>
      <c r="Y78" s="307"/>
      <c r="Z78" s="307"/>
      <c r="AA78" s="307"/>
      <c r="AB78" s="307"/>
      <c r="AC78" s="307"/>
      <c r="AD78" s="307"/>
      <c r="AE78" s="307"/>
      <c r="AF78" s="307"/>
      <c r="AG78" s="307"/>
      <c r="AH78" s="307"/>
    </row>
    <row r="79" spans="1:34" ht="17.399999999999999">
      <c r="A79" s="307"/>
      <c r="B79" s="307"/>
      <c r="C79" s="307"/>
      <c r="D79" s="307"/>
      <c r="E79" s="307"/>
      <c r="F79" s="307"/>
      <c r="G79" s="307"/>
      <c r="H79" s="307"/>
      <c r="I79" s="307"/>
      <c r="J79" s="307"/>
      <c r="K79" s="307"/>
      <c r="L79" s="307"/>
      <c r="M79" s="307"/>
      <c r="N79" s="307"/>
      <c r="O79" s="307"/>
      <c r="P79" s="307"/>
      <c r="Q79" s="307"/>
      <c r="R79" s="307"/>
      <c r="S79" s="307"/>
      <c r="T79" s="307"/>
      <c r="U79" s="307"/>
      <c r="V79" s="307"/>
      <c r="W79" s="307"/>
      <c r="X79" s="307"/>
      <c r="Y79" s="307"/>
      <c r="Z79" s="307"/>
      <c r="AA79" s="307"/>
      <c r="AB79" s="307"/>
      <c r="AC79" s="307"/>
      <c r="AD79" s="307"/>
      <c r="AE79" s="307"/>
      <c r="AF79" s="307"/>
      <c r="AG79" s="307"/>
      <c r="AH79" s="307"/>
    </row>
    <row r="80" spans="1:34" ht="17.399999999999999">
      <c r="A80" s="307"/>
      <c r="B80" s="307"/>
      <c r="C80" s="307"/>
      <c r="D80" s="307"/>
      <c r="E80" s="307"/>
      <c r="F80" s="307"/>
      <c r="G80" s="307"/>
      <c r="H80" s="307"/>
      <c r="I80" s="307"/>
      <c r="J80" s="307"/>
      <c r="K80" s="307"/>
      <c r="L80" s="307"/>
      <c r="M80" s="307"/>
      <c r="N80" s="307"/>
      <c r="O80" s="307"/>
      <c r="P80" s="307"/>
      <c r="Q80" s="307"/>
      <c r="R80" s="307"/>
      <c r="S80" s="307"/>
      <c r="T80" s="307"/>
      <c r="U80" s="307"/>
      <c r="V80" s="307"/>
      <c r="W80" s="307"/>
      <c r="X80" s="307"/>
      <c r="Y80" s="307"/>
      <c r="Z80" s="307"/>
      <c r="AA80" s="307"/>
      <c r="AB80" s="307"/>
      <c r="AC80" s="307"/>
      <c r="AD80" s="307"/>
      <c r="AE80" s="307"/>
      <c r="AF80" s="307"/>
      <c r="AG80" s="307"/>
      <c r="AH80" s="307"/>
    </row>
    <row r="81" spans="1:34" ht="17.399999999999999">
      <c r="A81" s="307"/>
      <c r="B81" s="307"/>
      <c r="C81" s="307"/>
      <c r="D81" s="307"/>
      <c r="E81" s="307"/>
      <c r="F81" s="307"/>
      <c r="G81" s="307"/>
      <c r="H81" s="307"/>
      <c r="I81" s="307"/>
      <c r="J81" s="307"/>
      <c r="K81" s="307"/>
      <c r="L81" s="307"/>
      <c r="M81" s="307"/>
      <c r="N81" s="307"/>
      <c r="O81" s="307"/>
      <c r="P81" s="307"/>
      <c r="Q81" s="307"/>
      <c r="R81" s="307"/>
      <c r="S81" s="307"/>
      <c r="T81" s="307"/>
      <c r="U81" s="307"/>
      <c r="V81" s="307"/>
      <c r="W81" s="307"/>
      <c r="X81" s="307"/>
      <c r="Y81" s="307"/>
      <c r="Z81" s="307"/>
      <c r="AA81" s="307"/>
      <c r="AB81" s="307"/>
      <c r="AC81" s="307"/>
      <c r="AD81" s="307"/>
      <c r="AE81" s="307"/>
      <c r="AF81" s="307"/>
      <c r="AG81" s="307"/>
      <c r="AH81" s="307"/>
    </row>
    <row r="82" spans="1:34" ht="17.399999999999999">
      <c r="A82" s="307"/>
      <c r="B82" s="307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  <c r="U82" s="307"/>
      <c r="V82" s="307"/>
      <c r="W82" s="307"/>
      <c r="X82" s="307"/>
      <c r="Y82" s="307"/>
      <c r="Z82" s="307"/>
      <c r="AA82" s="307"/>
      <c r="AB82" s="307"/>
      <c r="AC82" s="307"/>
      <c r="AD82" s="307"/>
      <c r="AE82" s="307"/>
      <c r="AF82" s="307"/>
      <c r="AG82" s="307"/>
      <c r="AH82" s="307"/>
    </row>
    <row r="83" spans="1:34" ht="17.399999999999999">
      <c r="A83" s="307"/>
      <c r="B83" s="307"/>
      <c r="C83" s="307"/>
      <c r="D83" s="307"/>
      <c r="E83" s="307"/>
      <c r="F83" s="307"/>
      <c r="G83" s="307"/>
      <c r="H83" s="307"/>
      <c r="I83" s="307"/>
      <c r="J83" s="307"/>
      <c r="K83" s="307"/>
      <c r="L83" s="307"/>
      <c r="M83" s="307"/>
      <c r="N83" s="307"/>
      <c r="O83" s="307"/>
      <c r="P83" s="307"/>
      <c r="Q83" s="307"/>
      <c r="R83" s="307"/>
      <c r="S83" s="307"/>
      <c r="T83" s="307"/>
      <c r="U83" s="307"/>
      <c r="V83" s="307"/>
      <c r="W83" s="307"/>
      <c r="X83" s="307"/>
      <c r="Y83" s="307"/>
      <c r="Z83" s="307"/>
      <c r="AA83" s="307"/>
      <c r="AB83" s="307"/>
      <c r="AC83" s="307"/>
      <c r="AD83" s="307"/>
      <c r="AE83" s="307"/>
      <c r="AF83" s="307"/>
      <c r="AG83" s="307"/>
      <c r="AH83" s="307"/>
    </row>
    <row r="84" spans="1:34" ht="17.399999999999999">
      <c r="A84" s="307"/>
      <c r="B84" s="307"/>
      <c r="C84" s="307"/>
      <c r="D84" s="307"/>
      <c r="E84" s="307"/>
      <c r="F84" s="307"/>
      <c r="G84" s="307"/>
      <c r="H84" s="307"/>
      <c r="I84" s="307"/>
      <c r="J84" s="307"/>
      <c r="K84" s="307"/>
      <c r="L84" s="307"/>
      <c r="M84" s="307"/>
      <c r="N84" s="307"/>
      <c r="O84" s="307"/>
      <c r="P84" s="307"/>
      <c r="Q84" s="307"/>
      <c r="R84" s="307"/>
      <c r="S84" s="307"/>
      <c r="T84" s="307"/>
      <c r="U84" s="307"/>
      <c r="V84" s="307"/>
      <c r="W84" s="307"/>
      <c r="X84" s="307"/>
      <c r="Y84" s="307"/>
      <c r="Z84" s="307"/>
      <c r="AA84" s="307"/>
      <c r="AB84" s="307"/>
      <c r="AC84" s="307"/>
      <c r="AD84" s="307"/>
      <c r="AE84" s="307"/>
      <c r="AF84" s="307"/>
      <c r="AG84" s="307"/>
      <c r="AH84" s="307"/>
    </row>
    <row r="85" spans="1:34" ht="17.399999999999999">
      <c r="A85" s="307"/>
      <c r="B85" s="307"/>
      <c r="C85" s="307"/>
      <c r="D85" s="307"/>
      <c r="E85" s="307"/>
      <c r="F85" s="307"/>
      <c r="G85" s="307"/>
      <c r="H85" s="307"/>
      <c r="I85" s="307"/>
      <c r="J85" s="307"/>
      <c r="K85" s="307"/>
      <c r="L85" s="307"/>
      <c r="M85" s="307"/>
      <c r="N85" s="307"/>
      <c r="O85" s="307"/>
      <c r="P85" s="307"/>
      <c r="Q85" s="307"/>
      <c r="R85" s="307"/>
      <c r="S85" s="307"/>
      <c r="T85" s="307"/>
      <c r="U85" s="307"/>
      <c r="V85" s="307"/>
      <c r="W85" s="307"/>
      <c r="X85" s="307"/>
      <c r="Y85" s="307"/>
      <c r="Z85" s="307"/>
      <c r="AA85" s="307"/>
      <c r="AB85" s="307"/>
      <c r="AC85" s="307"/>
      <c r="AD85" s="307"/>
      <c r="AE85" s="307"/>
      <c r="AF85" s="307"/>
      <c r="AG85" s="307"/>
      <c r="AH85" s="307"/>
    </row>
    <row r="86" spans="1:34" ht="17.399999999999999">
      <c r="A86" s="307"/>
      <c r="B86" s="307"/>
      <c r="C86" s="307"/>
      <c r="D86" s="307"/>
      <c r="E86" s="307"/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307"/>
      <c r="Q86" s="307"/>
      <c r="R86" s="307"/>
      <c r="S86" s="307"/>
      <c r="T86" s="307"/>
      <c r="U86" s="307"/>
      <c r="V86" s="307"/>
      <c r="W86" s="307"/>
      <c r="X86" s="307"/>
      <c r="Y86" s="307"/>
      <c r="Z86" s="307"/>
      <c r="AA86" s="307"/>
      <c r="AB86" s="307"/>
      <c r="AC86" s="307"/>
      <c r="AD86" s="307"/>
      <c r="AE86" s="307"/>
      <c r="AF86" s="307"/>
      <c r="AG86" s="307"/>
      <c r="AH86" s="307"/>
    </row>
    <row r="87" spans="1:34" ht="17.399999999999999">
      <c r="A87" s="307"/>
      <c r="B87" s="307"/>
      <c r="C87" s="307"/>
      <c r="D87" s="307"/>
      <c r="E87" s="307"/>
      <c r="F87" s="307"/>
      <c r="G87" s="307"/>
      <c r="H87" s="307"/>
      <c r="I87" s="307"/>
      <c r="J87" s="307"/>
      <c r="K87" s="307"/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  <c r="Z87" s="307"/>
      <c r="AA87" s="307"/>
      <c r="AB87" s="307"/>
      <c r="AC87" s="307"/>
      <c r="AD87" s="307"/>
      <c r="AE87" s="307"/>
      <c r="AF87" s="307"/>
      <c r="AG87" s="307"/>
      <c r="AH87" s="307"/>
    </row>
    <row r="88" spans="1:34" ht="17.399999999999999">
      <c r="A88" s="307"/>
      <c r="B88" s="307"/>
      <c r="C88" s="307"/>
      <c r="D88" s="307"/>
      <c r="E88" s="307"/>
      <c r="F88" s="307"/>
      <c r="G88" s="307"/>
      <c r="H88" s="307"/>
      <c r="I88" s="307"/>
      <c r="J88" s="307"/>
      <c r="K88" s="307"/>
      <c r="L88" s="307"/>
      <c r="M88" s="307"/>
      <c r="N88" s="307"/>
      <c r="O88" s="307"/>
      <c r="P88" s="307"/>
      <c r="Q88" s="307"/>
      <c r="R88" s="307"/>
      <c r="S88" s="307"/>
      <c r="T88" s="307"/>
      <c r="U88" s="307"/>
      <c r="V88" s="307"/>
      <c r="W88" s="307"/>
      <c r="X88" s="307"/>
      <c r="Y88" s="307"/>
      <c r="Z88" s="307"/>
      <c r="AA88" s="307"/>
      <c r="AB88" s="307"/>
      <c r="AC88" s="307"/>
      <c r="AD88" s="307"/>
      <c r="AE88" s="307"/>
      <c r="AF88" s="307"/>
      <c r="AG88" s="307"/>
      <c r="AH88" s="307"/>
    </row>
    <row r="89" spans="1:34" ht="17.399999999999999">
      <c r="A89" s="307"/>
      <c r="B89" s="307"/>
      <c r="C89" s="307"/>
      <c r="D89" s="307"/>
      <c r="E89" s="307"/>
      <c r="F89" s="307"/>
      <c r="G89" s="307"/>
      <c r="H89" s="307"/>
      <c r="I89" s="307"/>
      <c r="J89" s="307"/>
      <c r="K89" s="307"/>
      <c r="L89" s="307"/>
      <c r="M89" s="307"/>
      <c r="N89" s="307"/>
      <c r="O89" s="307"/>
      <c r="P89" s="307"/>
      <c r="Q89" s="307"/>
      <c r="R89" s="307"/>
      <c r="S89" s="307"/>
      <c r="T89" s="307"/>
      <c r="U89" s="307"/>
      <c r="V89" s="307"/>
      <c r="W89" s="307"/>
      <c r="X89" s="307"/>
      <c r="Y89" s="307"/>
      <c r="Z89" s="307"/>
      <c r="AA89" s="307"/>
      <c r="AB89" s="307"/>
      <c r="AC89" s="307"/>
      <c r="AD89" s="307"/>
      <c r="AE89" s="307"/>
      <c r="AF89" s="307"/>
      <c r="AG89" s="307"/>
      <c r="AH89" s="307"/>
    </row>
    <row r="90" spans="1:34" ht="17.399999999999999">
      <c r="A90" s="307"/>
      <c r="B90" s="307"/>
      <c r="C90" s="307"/>
      <c r="D90" s="307"/>
      <c r="E90" s="307"/>
      <c r="F90" s="307"/>
      <c r="G90" s="307"/>
      <c r="H90" s="307"/>
      <c r="I90" s="307"/>
      <c r="J90" s="307"/>
      <c r="K90" s="307"/>
      <c r="L90" s="307"/>
      <c r="M90" s="307"/>
      <c r="N90" s="307"/>
      <c r="O90" s="307"/>
      <c r="P90" s="307"/>
      <c r="Q90" s="307"/>
      <c r="R90" s="307"/>
      <c r="S90" s="307"/>
      <c r="T90" s="307"/>
      <c r="U90" s="307"/>
      <c r="V90" s="307"/>
      <c r="W90" s="307"/>
      <c r="X90" s="307"/>
      <c r="Y90" s="307"/>
      <c r="Z90" s="307"/>
      <c r="AA90" s="307"/>
      <c r="AB90" s="307"/>
      <c r="AC90" s="307"/>
      <c r="AD90" s="307"/>
      <c r="AE90" s="307"/>
      <c r="AF90" s="307"/>
      <c r="AG90" s="307"/>
      <c r="AH90" s="307"/>
    </row>
    <row r="91" spans="1:34" ht="17.399999999999999">
      <c r="A91" s="307"/>
      <c r="B91" s="307"/>
      <c r="C91" s="307"/>
      <c r="D91" s="307"/>
      <c r="E91" s="307"/>
      <c r="F91" s="307"/>
      <c r="G91" s="307"/>
      <c r="H91" s="307"/>
      <c r="I91" s="307"/>
      <c r="J91" s="307"/>
      <c r="K91" s="307"/>
      <c r="L91" s="307"/>
      <c r="M91" s="307"/>
      <c r="N91" s="307"/>
      <c r="O91" s="307"/>
      <c r="P91" s="307"/>
      <c r="Q91" s="307"/>
      <c r="R91" s="307"/>
      <c r="S91" s="307"/>
      <c r="T91" s="307"/>
      <c r="U91" s="307"/>
      <c r="V91" s="307"/>
      <c r="W91" s="307"/>
      <c r="X91" s="307"/>
      <c r="Y91" s="307"/>
      <c r="Z91" s="307"/>
      <c r="AA91" s="307"/>
      <c r="AB91" s="307"/>
      <c r="AC91" s="307"/>
      <c r="AD91" s="307"/>
      <c r="AE91" s="307"/>
      <c r="AF91" s="307"/>
      <c r="AG91" s="307"/>
      <c r="AH91" s="307"/>
    </row>
    <row r="92" spans="1:34" ht="17.399999999999999">
      <c r="A92" s="307"/>
      <c r="B92" s="307"/>
      <c r="C92" s="307"/>
      <c r="D92" s="307"/>
      <c r="E92" s="307"/>
      <c r="F92" s="307"/>
      <c r="G92" s="307"/>
      <c r="H92" s="307"/>
      <c r="I92" s="307"/>
      <c r="J92" s="307"/>
      <c r="K92" s="307"/>
      <c r="L92" s="307"/>
      <c r="M92" s="307"/>
      <c r="N92" s="307"/>
      <c r="O92" s="307"/>
      <c r="P92" s="307"/>
      <c r="Q92" s="307"/>
      <c r="R92" s="307"/>
      <c r="S92" s="307"/>
      <c r="T92" s="307"/>
      <c r="U92" s="307"/>
      <c r="V92" s="307"/>
      <c r="W92" s="307"/>
      <c r="X92" s="307"/>
      <c r="Y92" s="307"/>
      <c r="Z92" s="307"/>
      <c r="AA92" s="307"/>
      <c r="AB92" s="307"/>
      <c r="AC92" s="307"/>
      <c r="AD92" s="307"/>
      <c r="AE92" s="307"/>
      <c r="AF92" s="307"/>
      <c r="AG92" s="307"/>
      <c r="AH92" s="307"/>
    </row>
    <row r="93" spans="1:34" ht="17.399999999999999">
      <c r="A93" s="307"/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07"/>
      <c r="R93" s="307"/>
      <c r="S93" s="307"/>
      <c r="T93" s="307"/>
      <c r="U93" s="307"/>
      <c r="V93" s="307"/>
      <c r="W93" s="307"/>
      <c r="X93" s="307"/>
      <c r="Y93" s="307"/>
      <c r="Z93" s="307"/>
      <c r="AA93" s="307"/>
      <c r="AB93" s="307"/>
      <c r="AC93" s="307"/>
      <c r="AD93" s="307"/>
      <c r="AE93" s="307"/>
      <c r="AF93" s="307"/>
      <c r="AG93" s="307"/>
      <c r="AH93" s="307"/>
    </row>
    <row r="94" spans="1:34" ht="17.399999999999999">
      <c r="A94" s="307"/>
      <c r="B94" s="307"/>
      <c r="C94" s="307"/>
      <c r="D94" s="307"/>
      <c r="E94" s="307"/>
      <c r="F94" s="307"/>
      <c r="G94" s="307"/>
      <c r="H94" s="307"/>
      <c r="I94" s="307"/>
      <c r="J94" s="307"/>
      <c r="K94" s="307"/>
      <c r="L94" s="307"/>
      <c r="M94" s="307"/>
      <c r="N94" s="307"/>
      <c r="O94" s="307"/>
      <c r="P94" s="307"/>
      <c r="Q94" s="307"/>
      <c r="R94" s="307"/>
      <c r="S94" s="307"/>
      <c r="T94" s="307"/>
      <c r="U94" s="307"/>
      <c r="V94" s="307"/>
      <c r="W94" s="307"/>
      <c r="X94" s="307"/>
      <c r="Y94" s="307"/>
      <c r="Z94" s="307"/>
      <c r="AA94" s="307"/>
      <c r="AB94" s="307"/>
      <c r="AC94" s="307"/>
      <c r="AD94" s="307"/>
      <c r="AE94" s="307"/>
      <c r="AF94" s="307"/>
      <c r="AG94" s="307"/>
      <c r="AH94" s="307"/>
    </row>
    <row r="95" spans="1:34" ht="17.399999999999999">
      <c r="A95" s="307"/>
      <c r="B95" s="307"/>
      <c r="C95" s="307"/>
      <c r="D95" s="307"/>
      <c r="E95" s="307"/>
      <c r="F95" s="307"/>
      <c r="G95" s="307"/>
      <c r="H95" s="307"/>
      <c r="I95" s="307"/>
      <c r="J95" s="307"/>
      <c r="K95" s="307"/>
      <c r="L95" s="307"/>
      <c r="M95" s="307"/>
      <c r="N95" s="307"/>
      <c r="O95" s="307"/>
      <c r="P95" s="307"/>
      <c r="Q95" s="307"/>
      <c r="R95" s="307"/>
      <c r="S95" s="307"/>
      <c r="T95" s="307"/>
      <c r="U95" s="307"/>
      <c r="V95" s="307"/>
      <c r="W95" s="307"/>
      <c r="X95" s="307"/>
      <c r="Y95" s="307"/>
      <c r="Z95" s="307"/>
      <c r="AA95" s="307"/>
      <c r="AB95" s="307"/>
      <c r="AC95" s="307"/>
      <c r="AD95" s="307"/>
      <c r="AE95" s="307"/>
      <c r="AF95" s="307"/>
      <c r="AG95" s="307"/>
      <c r="AH95" s="307"/>
    </row>
    <row r="96" spans="1:34" ht="17.399999999999999">
      <c r="A96" s="307"/>
      <c r="B96" s="307"/>
      <c r="C96" s="307"/>
      <c r="D96" s="307"/>
      <c r="E96" s="307"/>
      <c r="F96" s="307"/>
      <c r="G96" s="307"/>
      <c r="H96" s="307"/>
      <c r="I96" s="307"/>
      <c r="J96" s="307"/>
      <c r="K96" s="307"/>
      <c r="L96" s="307"/>
      <c r="M96" s="307"/>
      <c r="N96" s="307"/>
      <c r="O96" s="307"/>
      <c r="P96" s="307"/>
      <c r="Q96" s="307"/>
      <c r="R96" s="307"/>
      <c r="S96" s="307"/>
      <c r="T96" s="307"/>
      <c r="U96" s="307"/>
      <c r="V96" s="307"/>
      <c r="W96" s="307"/>
      <c r="X96" s="307"/>
      <c r="Y96" s="307"/>
      <c r="Z96" s="307"/>
      <c r="AA96" s="307"/>
      <c r="AB96" s="307"/>
      <c r="AC96" s="307"/>
      <c r="AD96" s="307"/>
      <c r="AE96" s="307"/>
      <c r="AF96" s="307"/>
      <c r="AG96" s="307"/>
      <c r="AH96" s="307"/>
    </row>
    <row r="97" spans="1:34" ht="17.399999999999999">
      <c r="A97" s="307"/>
      <c r="B97" s="307"/>
      <c r="C97" s="307"/>
      <c r="D97" s="307"/>
      <c r="E97" s="307"/>
      <c r="F97" s="307"/>
      <c r="G97" s="307"/>
      <c r="H97" s="307"/>
      <c r="I97" s="307"/>
      <c r="J97" s="307"/>
      <c r="K97" s="307"/>
      <c r="L97" s="307"/>
      <c r="M97" s="307"/>
      <c r="N97" s="307"/>
      <c r="O97" s="307"/>
      <c r="P97" s="307"/>
      <c r="Q97" s="307"/>
      <c r="R97" s="307"/>
      <c r="S97" s="307"/>
      <c r="T97" s="307"/>
      <c r="U97" s="307"/>
      <c r="V97" s="307"/>
      <c r="W97" s="307"/>
      <c r="X97" s="307"/>
      <c r="Y97" s="307"/>
      <c r="Z97" s="307"/>
      <c r="AA97" s="307"/>
      <c r="AB97" s="307"/>
      <c r="AC97" s="307"/>
      <c r="AD97" s="307"/>
      <c r="AE97" s="307"/>
      <c r="AF97" s="307"/>
      <c r="AG97" s="307"/>
      <c r="AH97" s="307"/>
    </row>
    <row r="98" spans="1:34" ht="17.399999999999999">
      <c r="A98" s="307"/>
      <c r="B98" s="307"/>
      <c r="C98" s="307"/>
      <c r="D98" s="307"/>
      <c r="E98" s="307"/>
      <c r="F98" s="307"/>
      <c r="G98" s="307"/>
      <c r="H98" s="307"/>
      <c r="I98" s="307"/>
      <c r="J98" s="307"/>
      <c r="K98" s="307"/>
      <c r="L98" s="307"/>
      <c r="M98" s="307"/>
      <c r="N98" s="307"/>
      <c r="O98" s="307"/>
      <c r="P98" s="307"/>
      <c r="Q98" s="307"/>
      <c r="R98" s="307"/>
      <c r="S98" s="307"/>
      <c r="T98" s="307"/>
      <c r="U98" s="307"/>
      <c r="V98" s="307"/>
      <c r="W98" s="307"/>
      <c r="X98" s="307"/>
      <c r="Y98" s="307"/>
      <c r="Z98" s="307"/>
      <c r="AA98" s="307"/>
      <c r="AB98" s="307"/>
      <c r="AC98" s="307"/>
      <c r="AD98" s="307"/>
      <c r="AE98" s="307"/>
      <c r="AF98" s="307"/>
      <c r="AG98" s="307"/>
      <c r="AH98" s="307"/>
    </row>
    <row r="99" spans="1:34" ht="17.399999999999999">
      <c r="A99" s="307"/>
      <c r="B99" s="307"/>
      <c r="C99" s="307"/>
      <c r="D99" s="307"/>
      <c r="E99" s="307"/>
      <c r="F99" s="307"/>
      <c r="G99" s="307"/>
      <c r="H99" s="307"/>
      <c r="I99" s="307"/>
      <c r="J99" s="307"/>
      <c r="K99" s="307"/>
      <c r="L99" s="307"/>
      <c r="M99" s="307"/>
      <c r="N99" s="307"/>
      <c r="O99" s="307"/>
      <c r="P99" s="307"/>
      <c r="Q99" s="307"/>
      <c r="R99" s="307"/>
      <c r="S99" s="307"/>
      <c r="T99" s="307"/>
      <c r="U99" s="307"/>
      <c r="V99" s="307"/>
      <c r="W99" s="307"/>
      <c r="X99" s="307"/>
      <c r="Y99" s="307"/>
      <c r="Z99" s="307"/>
      <c r="AA99" s="307"/>
      <c r="AB99" s="307"/>
      <c r="AC99" s="307"/>
      <c r="AD99" s="307"/>
      <c r="AE99" s="307"/>
      <c r="AF99" s="307"/>
      <c r="AG99" s="307"/>
      <c r="AH99" s="307"/>
    </row>
    <row r="100" spans="1:34" ht="17.399999999999999">
      <c r="A100" s="307"/>
      <c r="B100" s="307"/>
      <c r="C100" s="307"/>
      <c r="D100" s="307"/>
      <c r="E100" s="307"/>
      <c r="F100" s="307"/>
      <c r="G100" s="307"/>
      <c r="H100" s="307"/>
      <c r="I100" s="307"/>
      <c r="J100" s="307"/>
      <c r="K100" s="307"/>
      <c r="L100" s="307"/>
      <c r="M100" s="307"/>
      <c r="N100" s="307"/>
      <c r="O100" s="307"/>
      <c r="P100" s="307"/>
      <c r="Q100" s="307"/>
      <c r="R100" s="307"/>
      <c r="S100" s="307"/>
      <c r="T100" s="307"/>
      <c r="U100" s="307"/>
      <c r="V100" s="307"/>
      <c r="W100" s="307"/>
      <c r="X100" s="307"/>
      <c r="Y100" s="307"/>
      <c r="Z100" s="307"/>
      <c r="AA100" s="307"/>
      <c r="AB100" s="307"/>
      <c r="AC100" s="307"/>
      <c r="AD100" s="307"/>
      <c r="AE100" s="307"/>
      <c r="AF100" s="307"/>
      <c r="AG100" s="307"/>
      <c r="AH100" s="307"/>
    </row>
    <row r="101" spans="1:34" ht="17.399999999999999">
      <c r="A101" s="307"/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  <c r="P101" s="307"/>
      <c r="Q101" s="307"/>
      <c r="R101" s="307"/>
      <c r="S101" s="307"/>
      <c r="T101" s="307"/>
      <c r="U101" s="307"/>
      <c r="V101" s="307"/>
      <c r="W101" s="307"/>
      <c r="X101" s="307"/>
      <c r="Y101" s="307"/>
      <c r="Z101" s="307"/>
      <c r="AA101" s="307"/>
      <c r="AB101" s="307"/>
      <c r="AC101" s="307"/>
      <c r="AD101" s="307"/>
      <c r="AE101" s="307"/>
      <c r="AF101" s="307"/>
      <c r="AG101" s="307"/>
      <c r="AH101" s="307"/>
    </row>
    <row r="102" spans="1:34" ht="17.399999999999999">
      <c r="A102" s="307"/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  <c r="P102" s="307"/>
      <c r="Q102" s="307"/>
      <c r="R102" s="307"/>
      <c r="S102" s="307"/>
      <c r="T102" s="307"/>
      <c r="U102" s="307"/>
      <c r="V102" s="307"/>
      <c r="W102" s="307"/>
      <c r="X102" s="307"/>
      <c r="Y102" s="307"/>
      <c r="Z102" s="307"/>
      <c r="AA102" s="307"/>
      <c r="AB102" s="307"/>
      <c r="AC102" s="307"/>
      <c r="AD102" s="307"/>
      <c r="AE102" s="307"/>
      <c r="AF102" s="307"/>
      <c r="AG102" s="307"/>
      <c r="AH102" s="307"/>
    </row>
    <row r="103" spans="1:34" ht="17.399999999999999">
      <c r="A103" s="307"/>
      <c r="B103" s="307"/>
      <c r="C103" s="307"/>
      <c r="D103" s="307"/>
      <c r="E103" s="307"/>
      <c r="F103" s="307"/>
      <c r="G103" s="307"/>
      <c r="H103" s="307"/>
      <c r="I103" s="307"/>
      <c r="J103" s="307"/>
      <c r="K103" s="307"/>
      <c r="L103" s="307"/>
      <c r="M103" s="307"/>
      <c r="N103" s="307"/>
      <c r="O103" s="307"/>
      <c r="P103" s="307"/>
      <c r="Q103" s="307"/>
      <c r="R103" s="307"/>
      <c r="S103" s="307"/>
      <c r="T103" s="307"/>
      <c r="U103" s="307"/>
      <c r="V103" s="307"/>
      <c r="W103" s="307"/>
      <c r="X103" s="307"/>
      <c r="Y103" s="307"/>
      <c r="Z103" s="307"/>
      <c r="AA103" s="307"/>
      <c r="AB103" s="307"/>
      <c r="AC103" s="307"/>
      <c r="AD103" s="307"/>
      <c r="AE103" s="307"/>
      <c r="AF103" s="307"/>
      <c r="AG103" s="307"/>
      <c r="AH103" s="307"/>
    </row>
    <row r="104" spans="1:34" ht="17.399999999999999">
      <c r="A104" s="307"/>
      <c r="B104" s="307"/>
      <c r="C104" s="307"/>
      <c r="D104" s="307"/>
      <c r="E104" s="307"/>
      <c r="F104" s="307"/>
      <c r="G104" s="307"/>
      <c r="H104" s="307"/>
      <c r="I104" s="307"/>
      <c r="J104" s="307"/>
      <c r="K104" s="307"/>
      <c r="L104" s="307"/>
      <c r="M104" s="307"/>
      <c r="N104" s="307"/>
      <c r="O104" s="307"/>
      <c r="P104" s="307"/>
      <c r="Q104" s="307"/>
      <c r="R104" s="307"/>
      <c r="S104" s="307"/>
      <c r="T104" s="307"/>
      <c r="U104" s="307"/>
      <c r="V104" s="307"/>
      <c r="W104" s="307"/>
      <c r="X104" s="307"/>
      <c r="Y104" s="307"/>
      <c r="Z104" s="307"/>
      <c r="AA104" s="307"/>
      <c r="AB104" s="307"/>
      <c r="AC104" s="307"/>
      <c r="AD104" s="307"/>
      <c r="AE104" s="307"/>
      <c r="AF104" s="307"/>
      <c r="AG104" s="307"/>
      <c r="AH104" s="307"/>
    </row>
    <row r="105" spans="1:34" ht="17.399999999999999">
      <c r="A105" s="307"/>
      <c r="B105" s="307"/>
      <c r="C105" s="307"/>
      <c r="D105" s="307"/>
      <c r="E105" s="307"/>
      <c r="F105" s="307"/>
      <c r="G105" s="307"/>
      <c r="H105" s="307"/>
      <c r="I105" s="307"/>
      <c r="J105" s="307"/>
      <c r="K105" s="307"/>
      <c r="L105" s="307"/>
      <c r="M105" s="307"/>
      <c r="N105" s="307"/>
      <c r="O105" s="307"/>
      <c r="P105" s="307"/>
      <c r="Q105" s="307"/>
      <c r="R105" s="307"/>
      <c r="S105" s="307"/>
      <c r="T105" s="307"/>
      <c r="U105" s="307"/>
      <c r="V105" s="307"/>
      <c r="W105" s="307"/>
      <c r="X105" s="307"/>
      <c r="Y105" s="307"/>
      <c r="Z105" s="307"/>
      <c r="AA105" s="307"/>
      <c r="AB105" s="307"/>
      <c r="AC105" s="307"/>
      <c r="AD105" s="307"/>
      <c r="AE105" s="307"/>
      <c r="AF105" s="307"/>
      <c r="AG105" s="307"/>
      <c r="AH105" s="307"/>
    </row>
    <row r="106" spans="1:34" ht="17.399999999999999">
      <c r="A106" s="307"/>
      <c r="B106" s="307"/>
      <c r="C106" s="307"/>
      <c r="D106" s="307"/>
      <c r="E106" s="307"/>
      <c r="F106" s="307"/>
      <c r="G106" s="307"/>
      <c r="H106" s="307"/>
      <c r="I106" s="307"/>
      <c r="J106" s="307"/>
      <c r="K106" s="307"/>
      <c r="L106" s="307"/>
      <c r="M106" s="307"/>
      <c r="N106" s="307"/>
      <c r="O106" s="307"/>
      <c r="P106" s="307"/>
      <c r="Q106" s="307"/>
      <c r="R106" s="307"/>
      <c r="S106" s="307"/>
      <c r="T106" s="307"/>
      <c r="U106" s="307"/>
      <c r="V106" s="307"/>
      <c r="W106" s="307"/>
      <c r="X106" s="307"/>
      <c r="Y106" s="307"/>
      <c r="Z106" s="307"/>
      <c r="AA106" s="307"/>
      <c r="AB106" s="307"/>
      <c r="AC106" s="307"/>
      <c r="AD106" s="307"/>
      <c r="AE106" s="307"/>
      <c r="AF106" s="307"/>
      <c r="AG106" s="307"/>
      <c r="AH106" s="307"/>
    </row>
    <row r="107" spans="1:34" ht="17.399999999999999">
      <c r="A107" s="307"/>
      <c r="B107" s="307"/>
      <c r="C107" s="307"/>
      <c r="D107" s="307"/>
      <c r="E107" s="307"/>
      <c r="F107" s="307"/>
      <c r="G107" s="307"/>
      <c r="H107" s="307"/>
      <c r="I107" s="307"/>
      <c r="J107" s="307"/>
      <c r="K107" s="307"/>
      <c r="L107" s="307"/>
      <c r="M107" s="307"/>
      <c r="N107" s="307"/>
      <c r="O107" s="307"/>
      <c r="P107" s="307"/>
      <c r="Q107" s="307"/>
      <c r="R107" s="307"/>
      <c r="S107" s="307"/>
      <c r="T107" s="307"/>
      <c r="U107" s="307"/>
      <c r="V107" s="307"/>
      <c r="W107" s="307"/>
      <c r="X107" s="307"/>
      <c r="Y107" s="307"/>
      <c r="Z107" s="307"/>
      <c r="AA107" s="307"/>
      <c r="AB107" s="307"/>
      <c r="AC107" s="307"/>
      <c r="AD107" s="307"/>
      <c r="AE107" s="307"/>
      <c r="AF107" s="307"/>
      <c r="AG107" s="307"/>
      <c r="AH107" s="307"/>
    </row>
    <row r="108" spans="1:34" ht="17.399999999999999">
      <c r="A108" s="307"/>
      <c r="B108" s="307"/>
      <c r="C108" s="307"/>
      <c r="D108" s="307"/>
      <c r="E108" s="307"/>
      <c r="F108" s="307"/>
      <c r="G108" s="307"/>
      <c r="H108" s="307"/>
      <c r="I108" s="307"/>
      <c r="J108" s="307"/>
      <c r="K108" s="307"/>
      <c r="L108" s="307"/>
      <c r="M108" s="307"/>
      <c r="N108" s="307"/>
      <c r="O108" s="307"/>
      <c r="P108" s="307"/>
      <c r="Q108" s="307"/>
      <c r="R108" s="307"/>
      <c r="S108" s="307"/>
      <c r="T108" s="307"/>
      <c r="U108" s="307"/>
      <c r="V108" s="307"/>
      <c r="W108" s="307"/>
      <c r="X108" s="307"/>
      <c r="Y108" s="307"/>
      <c r="Z108" s="307"/>
      <c r="AA108" s="307"/>
      <c r="AB108" s="307"/>
      <c r="AC108" s="307"/>
      <c r="AD108" s="307"/>
      <c r="AE108" s="307"/>
      <c r="AF108" s="307"/>
      <c r="AG108" s="307"/>
      <c r="AH108" s="307"/>
    </row>
    <row r="109" spans="1:34" ht="17.399999999999999">
      <c r="A109" s="307"/>
      <c r="B109" s="307"/>
      <c r="C109" s="307"/>
      <c r="D109" s="307"/>
      <c r="E109" s="307"/>
      <c r="F109" s="307"/>
      <c r="G109" s="307"/>
      <c r="H109" s="307"/>
      <c r="I109" s="307"/>
      <c r="J109" s="307"/>
      <c r="K109" s="307"/>
      <c r="L109" s="307"/>
      <c r="M109" s="307"/>
      <c r="N109" s="307"/>
      <c r="O109" s="307"/>
      <c r="P109" s="307"/>
      <c r="Q109" s="307"/>
      <c r="R109" s="307"/>
      <c r="S109" s="307"/>
      <c r="T109" s="307"/>
      <c r="U109" s="307"/>
      <c r="V109" s="307"/>
      <c r="W109" s="307"/>
      <c r="X109" s="307"/>
      <c r="Y109" s="307"/>
      <c r="Z109" s="307"/>
      <c r="AA109" s="307"/>
      <c r="AB109" s="307"/>
      <c r="AC109" s="307"/>
      <c r="AD109" s="307"/>
      <c r="AE109" s="307"/>
      <c r="AF109" s="307"/>
      <c r="AG109" s="307"/>
      <c r="AH109" s="307"/>
    </row>
    <row r="110" spans="1:34" ht="17.399999999999999">
      <c r="A110" s="307"/>
      <c r="B110" s="307"/>
      <c r="C110" s="307"/>
      <c r="D110" s="307"/>
      <c r="E110" s="307"/>
      <c r="F110" s="307"/>
      <c r="G110" s="307"/>
      <c r="H110" s="307"/>
      <c r="I110" s="307"/>
      <c r="J110" s="307"/>
      <c r="K110" s="307"/>
      <c r="L110" s="307"/>
      <c r="M110" s="307"/>
      <c r="N110" s="307"/>
      <c r="O110" s="307"/>
      <c r="P110" s="307"/>
      <c r="Q110" s="307"/>
      <c r="R110" s="307"/>
      <c r="S110" s="307"/>
      <c r="T110" s="307"/>
      <c r="U110" s="307"/>
      <c r="V110" s="307"/>
      <c r="W110" s="307"/>
      <c r="X110" s="307"/>
      <c r="Y110" s="307"/>
      <c r="Z110" s="307"/>
      <c r="AA110" s="307"/>
      <c r="AB110" s="307"/>
      <c r="AC110" s="307"/>
      <c r="AD110" s="307"/>
      <c r="AE110" s="307"/>
      <c r="AF110" s="307"/>
      <c r="AG110" s="307"/>
      <c r="AH110" s="307"/>
    </row>
    <row r="111" spans="1:34" ht="17.399999999999999">
      <c r="A111" s="307"/>
      <c r="B111" s="307"/>
      <c r="C111" s="307"/>
      <c r="D111" s="307"/>
      <c r="E111" s="307"/>
      <c r="F111" s="307"/>
      <c r="G111" s="307"/>
      <c r="H111" s="307"/>
      <c r="I111" s="307"/>
      <c r="J111" s="307"/>
      <c r="K111" s="307"/>
      <c r="L111" s="307"/>
      <c r="M111" s="307"/>
      <c r="N111" s="307"/>
      <c r="O111" s="307"/>
      <c r="P111" s="307"/>
      <c r="Q111" s="307"/>
      <c r="R111" s="307"/>
      <c r="S111" s="307"/>
      <c r="T111" s="307"/>
      <c r="U111" s="307"/>
      <c r="V111" s="307"/>
      <c r="W111" s="307"/>
      <c r="X111" s="307"/>
      <c r="Y111" s="307"/>
      <c r="Z111" s="307"/>
      <c r="AA111" s="307"/>
      <c r="AB111" s="307"/>
      <c r="AC111" s="307"/>
      <c r="AD111" s="307"/>
      <c r="AE111" s="307"/>
      <c r="AF111" s="307"/>
      <c r="AG111" s="307"/>
      <c r="AH111" s="307"/>
    </row>
    <row r="112" spans="1:34" ht="17.399999999999999">
      <c r="A112" s="307"/>
      <c r="B112" s="307"/>
      <c r="C112" s="307"/>
      <c r="D112" s="307"/>
      <c r="E112" s="307"/>
      <c r="F112" s="307"/>
      <c r="G112" s="307"/>
      <c r="H112" s="307"/>
      <c r="I112" s="307"/>
      <c r="J112" s="307"/>
      <c r="K112" s="307"/>
      <c r="L112" s="307"/>
      <c r="M112" s="307"/>
      <c r="N112" s="307"/>
      <c r="O112" s="307"/>
      <c r="P112" s="307"/>
      <c r="Q112" s="307"/>
      <c r="R112" s="307"/>
      <c r="S112" s="307"/>
      <c r="T112" s="307"/>
      <c r="U112" s="307"/>
      <c r="V112" s="307"/>
      <c r="W112" s="307"/>
      <c r="X112" s="307"/>
      <c r="Y112" s="307"/>
      <c r="Z112" s="307"/>
      <c r="AA112" s="307"/>
      <c r="AB112" s="307"/>
      <c r="AC112" s="307"/>
      <c r="AD112" s="307"/>
      <c r="AE112" s="307"/>
      <c r="AF112" s="307"/>
      <c r="AG112" s="307"/>
      <c r="AH112" s="307"/>
    </row>
    <row r="113" spans="1:34" ht="17.399999999999999">
      <c r="A113" s="307"/>
      <c r="B113" s="307"/>
      <c r="C113" s="307"/>
      <c r="D113" s="307"/>
      <c r="E113" s="307"/>
      <c r="F113" s="307"/>
      <c r="G113" s="307"/>
      <c r="H113" s="307"/>
      <c r="I113" s="307"/>
      <c r="J113" s="307"/>
      <c r="K113" s="307"/>
      <c r="L113" s="307"/>
      <c r="M113" s="307"/>
      <c r="N113" s="307"/>
      <c r="O113" s="307"/>
      <c r="P113" s="307"/>
      <c r="Q113" s="307"/>
      <c r="R113" s="307"/>
      <c r="S113" s="307"/>
      <c r="T113" s="307"/>
      <c r="U113" s="307"/>
      <c r="V113" s="307"/>
      <c r="W113" s="307"/>
      <c r="X113" s="307"/>
      <c r="Y113" s="307"/>
      <c r="Z113" s="307"/>
      <c r="AA113" s="307"/>
      <c r="AB113" s="307"/>
      <c r="AC113" s="307"/>
      <c r="AD113" s="307"/>
      <c r="AE113" s="307"/>
      <c r="AF113" s="307"/>
      <c r="AG113" s="307"/>
      <c r="AH113" s="307"/>
    </row>
    <row r="114" spans="1:34" ht="17.399999999999999">
      <c r="A114" s="307"/>
      <c r="B114" s="307"/>
      <c r="C114" s="307"/>
      <c r="D114" s="307"/>
      <c r="E114" s="307"/>
      <c r="F114" s="307"/>
      <c r="G114" s="307"/>
      <c r="H114" s="307"/>
      <c r="I114" s="307"/>
      <c r="J114" s="307"/>
      <c r="K114" s="307"/>
      <c r="L114" s="307"/>
      <c r="M114" s="307"/>
      <c r="N114" s="307"/>
      <c r="O114" s="307"/>
      <c r="P114" s="307"/>
      <c r="Q114" s="307"/>
      <c r="R114" s="307"/>
      <c r="S114" s="307"/>
      <c r="T114" s="307"/>
      <c r="U114" s="307"/>
      <c r="V114" s="307"/>
      <c r="W114" s="307"/>
      <c r="X114" s="307"/>
      <c r="Y114" s="307"/>
      <c r="Z114" s="307"/>
      <c r="AA114" s="307"/>
      <c r="AB114" s="307"/>
      <c r="AC114" s="307"/>
      <c r="AD114" s="307"/>
      <c r="AE114" s="307"/>
      <c r="AF114" s="307"/>
      <c r="AG114" s="307"/>
      <c r="AH114" s="307"/>
    </row>
    <row r="115" spans="1:34" ht="17.399999999999999">
      <c r="A115" s="307"/>
      <c r="B115" s="307"/>
      <c r="C115" s="307"/>
      <c r="D115" s="307"/>
      <c r="E115" s="307"/>
      <c r="F115" s="307"/>
      <c r="G115" s="307"/>
      <c r="H115" s="307"/>
      <c r="I115" s="307"/>
      <c r="J115" s="307"/>
      <c r="K115" s="307"/>
      <c r="L115" s="307"/>
      <c r="M115" s="307"/>
      <c r="N115" s="307"/>
      <c r="O115" s="307"/>
      <c r="P115" s="307"/>
      <c r="Q115" s="307"/>
      <c r="R115" s="307"/>
      <c r="S115" s="307"/>
      <c r="T115" s="307"/>
      <c r="U115" s="307"/>
      <c r="V115" s="307"/>
      <c r="W115" s="307"/>
      <c r="X115" s="307"/>
      <c r="Y115" s="307"/>
      <c r="Z115" s="307"/>
      <c r="AA115" s="307"/>
      <c r="AB115" s="307"/>
      <c r="AC115" s="307"/>
      <c r="AD115" s="307"/>
      <c r="AE115" s="307"/>
      <c r="AF115" s="307"/>
      <c r="AG115" s="307"/>
      <c r="AH115" s="307"/>
    </row>
    <row r="116" spans="1:34" ht="17.399999999999999">
      <c r="A116" s="307"/>
      <c r="B116" s="307"/>
      <c r="C116" s="307"/>
      <c r="D116" s="307"/>
      <c r="E116" s="307"/>
      <c r="F116" s="307"/>
      <c r="G116" s="307"/>
      <c r="H116" s="307"/>
      <c r="I116" s="307"/>
      <c r="J116" s="307"/>
      <c r="K116" s="307"/>
      <c r="L116" s="307"/>
      <c r="M116" s="307"/>
      <c r="N116" s="307"/>
      <c r="O116" s="307"/>
      <c r="P116" s="307"/>
      <c r="Q116" s="307"/>
      <c r="R116" s="307"/>
      <c r="S116" s="307"/>
      <c r="T116" s="307"/>
      <c r="U116" s="307"/>
      <c r="V116" s="307"/>
      <c r="W116" s="307"/>
      <c r="X116" s="307"/>
      <c r="Y116" s="307"/>
      <c r="Z116" s="307"/>
      <c r="AA116" s="307"/>
      <c r="AB116" s="307"/>
      <c r="AC116" s="307"/>
      <c r="AD116" s="307"/>
      <c r="AE116" s="307"/>
      <c r="AF116" s="307"/>
      <c r="AG116" s="307"/>
      <c r="AH116" s="307"/>
    </row>
    <row r="117" spans="1:34" ht="17.399999999999999">
      <c r="A117" s="307"/>
      <c r="B117" s="307"/>
      <c r="C117" s="307"/>
      <c r="D117" s="307"/>
      <c r="E117" s="307"/>
      <c r="F117" s="307"/>
      <c r="G117" s="307"/>
      <c r="H117" s="307"/>
      <c r="I117" s="307"/>
      <c r="J117" s="307"/>
      <c r="K117" s="307"/>
      <c r="L117" s="307"/>
      <c r="M117" s="307"/>
      <c r="N117" s="307"/>
      <c r="O117" s="307"/>
      <c r="P117" s="307"/>
      <c r="Q117" s="307"/>
      <c r="R117" s="307"/>
      <c r="S117" s="307"/>
      <c r="T117" s="307"/>
      <c r="U117" s="307"/>
      <c r="V117" s="307"/>
      <c r="W117" s="307"/>
      <c r="X117" s="307"/>
      <c r="Y117" s="307"/>
      <c r="Z117" s="307"/>
      <c r="AA117" s="307"/>
      <c r="AB117" s="307"/>
      <c r="AC117" s="307"/>
      <c r="AD117" s="307"/>
      <c r="AE117" s="307"/>
      <c r="AF117" s="307"/>
      <c r="AG117" s="307"/>
      <c r="AH117" s="307"/>
    </row>
    <row r="118" spans="1:34" ht="17.399999999999999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07"/>
      <c r="P118" s="307"/>
      <c r="Q118" s="307"/>
      <c r="R118" s="307"/>
      <c r="S118" s="307"/>
      <c r="T118" s="307"/>
      <c r="U118" s="307"/>
      <c r="V118" s="307"/>
      <c r="W118" s="307"/>
      <c r="X118" s="307"/>
      <c r="Y118" s="307"/>
      <c r="Z118" s="307"/>
      <c r="AA118" s="307"/>
      <c r="AB118" s="307"/>
      <c r="AC118" s="307"/>
      <c r="AD118" s="307"/>
      <c r="AE118" s="307"/>
      <c r="AF118" s="307"/>
      <c r="AG118" s="307"/>
      <c r="AH118" s="307"/>
    </row>
    <row r="119" spans="1:34" ht="17.399999999999999">
      <c r="A119" s="307"/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07"/>
      <c r="P119" s="307"/>
      <c r="Q119" s="307"/>
      <c r="R119" s="307"/>
      <c r="S119" s="307"/>
      <c r="T119" s="307"/>
      <c r="U119" s="307"/>
      <c r="V119" s="307"/>
      <c r="W119" s="307"/>
      <c r="X119" s="307"/>
      <c r="Y119" s="307"/>
      <c r="Z119" s="307"/>
      <c r="AA119" s="307"/>
      <c r="AB119" s="307"/>
      <c r="AC119" s="307"/>
      <c r="AD119" s="307"/>
      <c r="AE119" s="307"/>
      <c r="AF119" s="307"/>
      <c r="AG119" s="307"/>
      <c r="AH119" s="307"/>
    </row>
    <row r="120" spans="1:34" ht="17.399999999999999">
      <c r="A120" s="307"/>
      <c r="B120" s="307"/>
      <c r="C120" s="307"/>
      <c r="D120" s="307"/>
      <c r="E120" s="307"/>
      <c r="F120" s="307"/>
      <c r="G120" s="307"/>
      <c r="H120" s="307"/>
      <c r="I120" s="307"/>
      <c r="J120" s="307"/>
      <c r="K120" s="307"/>
      <c r="L120" s="307"/>
      <c r="M120" s="307"/>
      <c r="N120" s="307"/>
      <c r="O120" s="307"/>
      <c r="P120" s="307"/>
      <c r="Q120" s="307"/>
      <c r="R120" s="307"/>
      <c r="S120" s="307"/>
      <c r="T120" s="307"/>
      <c r="U120" s="307"/>
      <c r="V120" s="307"/>
      <c r="W120" s="307"/>
      <c r="X120" s="307"/>
      <c r="Y120" s="307"/>
      <c r="Z120" s="307"/>
      <c r="AA120" s="307"/>
      <c r="AB120" s="307"/>
      <c r="AC120" s="307"/>
      <c r="AD120" s="307"/>
      <c r="AE120" s="307"/>
      <c r="AF120" s="307"/>
      <c r="AG120" s="307"/>
      <c r="AH120" s="307"/>
    </row>
    <row r="121" spans="1:34" ht="17.399999999999999">
      <c r="A121" s="307"/>
      <c r="B121" s="307"/>
      <c r="C121" s="307"/>
      <c r="D121" s="307"/>
      <c r="E121" s="307"/>
      <c r="F121" s="307"/>
      <c r="G121" s="307"/>
      <c r="H121" s="307"/>
      <c r="I121" s="307"/>
      <c r="J121" s="307"/>
      <c r="K121" s="307"/>
      <c r="L121" s="307"/>
      <c r="M121" s="307"/>
      <c r="N121" s="307"/>
      <c r="O121" s="307"/>
      <c r="P121" s="307"/>
      <c r="Q121" s="307"/>
      <c r="R121" s="307"/>
      <c r="S121" s="307"/>
      <c r="T121" s="307"/>
      <c r="U121" s="307"/>
      <c r="V121" s="307"/>
      <c r="W121" s="307"/>
      <c r="X121" s="307"/>
      <c r="Y121" s="307"/>
      <c r="Z121" s="307"/>
      <c r="AA121" s="307"/>
      <c r="AB121" s="307"/>
      <c r="AC121" s="307"/>
      <c r="AD121" s="307"/>
      <c r="AE121" s="307"/>
      <c r="AF121" s="307"/>
      <c r="AG121" s="307"/>
      <c r="AH121" s="307"/>
    </row>
    <row r="122" spans="1:34" ht="17.399999999999999">
      <c r="A122" s="307"/>
      <c r="B122" s="307"/>
      <c r="C122" s="307"/>
      <c r="D122" s="307"/>
      <c r="E122" s="307"/>
      <c r="F122" s="307"/>
      <c r="G122" s="307"/>
      <c r="H122" s="307"/>
      <c r="I122" s="307"/>
      <c r="J122" s="307"/>
      <c r="K122" s="307"/>
      <c r="L122" s="307"/>
      <c r="M122" s="307"/>
      <c r="N122" s="307"/>
      <c r="O122" s="307"/>
      <c r="P122" s="307"/>
      <c r="Q122" s="307"/>
      <c r="R122" s="307"/>
      <c r="S122" s="307"/>
      <c r="T122" s="307"/>
      <c r="U122" s="307"/>
      <c r="V122" s="307"/>
      <c r="W122" s="307"/>
      <c r="X122" s="307"/>
      <c r="Y122" s="307"/>
      <c r="Z122" s="307"/>
      <c r="AA122" s="307"/>
      <c r="AB122" s="307"/>
      <c r="AC122" s="307"/>
      <c r="AD122" s="307"/>
      <c r="AE122" s="307"/>
      <c r="AF122" s="307"/>
      <c r="AG122" s="307"/>
      <c r="AH122" s="307"/>
    </row>
    <row r="123" spans="1:34" ht="17.399999999999999">
      <c r="A123" s="307"/>
      <c r="B123" s="307"/>
      <c r="C123" s="307"/>
      <c r="D123" s="307"/>
      <c r="E123" s="307"/>
      <c r="F123" s="307"/>
      <c r="G123" s="307"/>
      <c r="H123" s="307"/>
      <c r="I123" s="307"/>
      <c r="J123" s="307"/>
      <c r="K123" s="307"/>
      <c r="L123" s="307"/>
      <c r="M123" s="307"/>
      <c r="N123" s="307"/>
      <c r="O123" s="307"/>
      <c r="P123" s="307"/>
      <c r="Q123" s="307"/>
      <c r="R123" s="307"/>
      <c r="S123" s="307"/>
      <c r="T123" s="307"/>
      <c r="U123" s="307"/>
      <c r="V123" s="307"/>
      <c r="W123" s="307"/>
      <c r="X123" s="307"/>
      <c r="Y123" s="307"/>
      <c r="Z123" s="307"/>
      <c r="AA123" s="307"/>
      <c r="AB123" s="307"/>
      <c r="AC123" s="307"/>
      <c r="AD123" s="307"/>
      <c r="AE123" s="307"/>
      <c r="AF123" s="307"/>
      <c r="AG123" s="307"/>
      <c r="AH123" s="307"/>
    </row>
    <row r="124" spans="1:34" ht="17.399999999999999">
      <c r="A124" s="307"/>
      <c r="B124" s="307"/>
      <c r="C124" s="307"/>
      <c r="D124" s="307"/>
      <c r="E124" s="307"/>
      <c r="F124" s="307"/>
      <c r="G124" s="307"/>
      <c r="H124" s="307"/>
      <c r="I124" s="307"/>
      <c r="J124" s="307"/>
      <c r="K124" s="307"/>
      <c r="L124" s="307"/>
      <c r="M124" s="307"/>
      <c r="N124" s="307"/>
      <c r="O124" s="307"/>
      <c r="P124" s="307"/>
      <c r="Q124" s="307"/>
      <c r="R124" s="307"/>
      <c r="S124" s="307"/>
      <c r="T124" s="307"/>
      <c r="U124" s="307"/>
      <c r="V124" s="307"/>
      <c r="W124" s="307"/>
      <c r="X124" s="307"/>
      <c r="Y124" s="307"/>
      <c r="Z124" s="307"/>
      <c r="AA124" s="307"/>
      <c r="AB124" s="307"/>
      <c r="AC124" s="307"/>
      <c r="AD124" s="307"/>
      <c r="AE124" s="307"/>
      <c r="AF124" s="307"/>
      <c r="AG124" s="307"/>
      <c r="AH124" s="307"/>
    </row>
    <row r="125" spans="1:34" ht="17.399999999999999">
      <c r="A125" s="307"/>
      <c r="B125" s="307"/>
      <c r="C125" s="307"/>
      <c r="D125" s="307"/>
      <c r="E125" s="307"/>
      <c r="F125" s="307"/>
      <c r="G125" s="307"/>
      <c r="H125" s="307"/>
      <c r="I125" s="307"/>
      <c r="J125" s="307"/>
      <c r="K125" s="307"/>
      <c r="L125" s="307"/>
      <c r="M125" s="307"/>
      <c r="N125" s="307"/>
      <c r="O125" s="307"/>
      <c r="P125" s="307"/>
      <c r="Q125" s="307"/>
      <c r="R125" s="307"/>
      <c r="S125" s="307"/>
      <c r="T125" s="307"/>
      <c r="U125" s="307"/>
      <c r="V125" s="307"/>
      <c r="W125" s="307"/>
      <c r="X125" s="307"/>
      <c r="Y125" s="307"/>
      <c r="Z125" s="307"/>
      <c r="AA125" s="307"/>
      <c r="AB125" s="307"/>
      <c r="AC125" s="307"/>
      <c r="AD125" s="307"/>
      <c r="AE125" s="307"/>
      <c r="AF125" s="307"/>
      <c r="AG125" s="307"/>
      <c r="AH125" s="307"/>
    </row>
    <row r="126" spans="1:34" ht="17.399999999999999">
      <c r="A126" s="307"/>
      <c r="B126" s="307"/>
      <c r="C126" s="307"/>
      <c r="D126" s="307"/>
      <c r="E126" s="307"/>
      <c r="F126" s="307"/>
      <c r="G126" s="307"/>
      <c r="H126" s="307"/>
      <c r="I126" s="307"/>
      <c r="J126" s="307"/>
      <c r="K126" s="307"/>
      <c r="L126" s="307"/>
      <c r="M126" s="307"/>
      <c r="N126" s="307"/>
      <c r="O126" s="307"/>
      <c r="P126" s="307"/>
      <c r="Q126" s="307"/>
      <c r="R126" s="307"/>
      <c r="S126" s="307"/>
      <c r="T126" s="307"/>
      <c r="U126" s="307"/>
      <c r="V126" s="307"/>
      <c r="W126" s="307"/>
      <c r="X126" s="307"/>
      <c r="Y126" s="307"/>
      <c r="Z126" s="307"/>
      <c r="AA126" s="307"/>
      <c r="AB126" s="307"/>
      <c r="AC126" s="307"/>
      <c r="AD126" s="307"/>
      <c r="AE126" s="307"/>
      <c r="AF126" s="307"/>
      <c r="AG126" s="307"/>
      <c r="AH126" s="307"/>
    </row>
    <row r="127" spans="1:34" ht="17.399999999999999">
      <c r="A127" s="307"/>
      <c r="B127" s="307"/>
      <c r="C127" s="307"/>
      <c r="D127" s="307"/>
      <c r="E127" s="307"/>
      <c r="F127" s="307"/>
      <c r="G127" s="307"/>
      <c r="H127" s="307"/>
      <c r="I127" s="307"/>
      <c r="J127" s="307"/>
      <c r="K127" s="307"/>
      <c r="L127" s="307"/>
      <c r="M127" s="307"/>
      <c r="N127" s="307"/>
      <c r="O127" s="307"/>
      <c r="P127" s="307"/>
      <c r="Q127" s="307"/>
      <c r="R127" s="307"/>
      <c r="S127" s="307"/>
      <c r="T127" s="307"/>
      <c r="U127" s="307"/>
      <c r="V127" s="307"/>
      <c r="W127" s="307"/>
      <c r="X127" s="307"/>
      <c r="Y127" s="307"/>
      <c r="Z127" s="307"/>
      <c r="AA127" s="307"/>
      <c r="AB127" s="307"/>
      <c r="AC127" s="307"/>
      <c r="AD127" s="307"/>
      <c r="AE127" s="307"/>
      <c r="AF127" s="307"/>
      <c r="AG127" s="307"/>
      <c r="AH127" s="307"/>
    </row>
    <row r="128" spans="1:34" ht="17.399999999999999">
      <c r="A128" s="307"/>
      <c r="B128" s="307"/>
      <c r="C128" s="307"/>
      <c r="D128" s="307"/>
      <c r="E128" s="307"/>
      <c r="F128" s="307"/>
      <c r="G128" s="307"/>
      <c r="H128" s="307"/>
      <c r="I128" s="307"/>
      <c r="J128" s="307"/>
      <c r="K128" s="307"/>
      <c r="L128" s="307"/>
      <c r="M128" s="307"/>
      <c r="N128" s="307"/>
      <c r="O128" s="307"/>
      <c r="P128" s="307"/>
      <c r="Q128" s="307"/>
      <c r="R128" s="307"/>
      <c r="S128" s="307"/>
      <c r="T128" s="307"/>
      <c r="U128" s="307"/>
      <c r="V128" s="307"/>
      <c r="W128" s="307"/>
      <c r="X128" s="307"/>
      <c r="Y128" s="307"/>
      <c r="Z128" s="307"/>
      <c r="AA128" s="307"/>
      <c r="AB128" s="307"/>
      <c r="AC128" s="307"/>
      <c r="AD128" s="307"/>
      <c r="AE128" s="307"/>
      <c r="AF128" s="307"/>
      <c r="AG128" s="307"/>
      <c r="AH128" s="307"/>
    </row>
    <row r="129" spans="1:34" ht="17.399999999999999">
      <c r="A129" s="307"/>
      <c r="B129" s="307"/>
      <c r="C129" s="307"/>
      <c r="D129" s="307"/>
      <c r="E129" s="307"/>
      <c r="F129" s="307"/>
      <c r="G129" s="307"/>
      <c r="H129" s="307"/>
      <c r="I129" s="307"/>
      <c r="J129" s="307"/>
      <c r="K129" s="307"/>
      <c r="L129" s="307"/>
      <c r="M129" s="307"/>
      <c r="N129" s="307"/>
      <c r="O129" s="307"/>
      <c r="P129" s="307"/>
      <c r="Q129" s="307"/>
      <c r="R129" s="307"/>
      <c r="S129" s="307"/>
      <c r="T129" s="307"/>
      <c r="U129" s="307"/>
      <c r="V129" s="307"/>
      <c r="W129" s="307"/>
      <c r="X129" s="307"/>
      <c r="Y129" s="307"/>
      <c r="Z129" s="307"/>
      <c r="AA129" s="307"/>
      <c r="AB129" s="307"/>
      <c r="AC129" s="307"/>
      <c r="AD129" s="307"/>
      <c r="AE129" s="307"/>
      <c r="AF129" s="307"/>
      <c r="AG129" s="307"/>
      <c r="AH129" s="307"/>
    </row>
    <row r="130" spans="1:34" ht="17.399999999999999">
      <c r="A130" s="307"/>
      <c r="B130" s="307"/>
      <c r="C130" s="307"/>
      <c r="D130" s="307"/>
      <c r="E130" s="307"/>
      <c r="F130" s="307"/>
      <c r="G130" s="307"/>
      <c r="H130" s="307"/>
      <c r="I130" s="307"/>
      <c r="J130" s="307"/>
      <c r="K130" s="307"/>
      <c r="L130" s="307"/>
      <c r="M130" s="307"/>
      <c r="N130" s="307"/>
      <c r="O130" s="307"/>
      <c r="P130" s="307"/>
      <c r="Q130" s="307"/>
      <c r="R130" s="307"/>
      <c r="S130" s="307"/>
      <c r="T130" s="307"/>
      <c r="U130" s="307"/>
      <c r="V130" s="307"/>
      <c r="W130" s="307"/>
      <c r="X130" s="307"/>
      <c r="Y130" s="307"/>
      <c r="Z130" s="307"/>
      <c r="AA130" s="307"/>
      <c r="AB130" s="307"/>
      <c r="AC130" s="307"/>
      <c r="AD130" s="307"/>
      <c r="AE130" s="307"/>
      <c r="AF130" s="307"/>
      <c r="AG130" s="307"/>
      <c r="AH130" s="307"/>
    </row>
    <row r="131" spans="1:34" ht="17.399999999999999">
      <c r="A131" s="307"/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07"/>
      <c r="P131" s="307"/>
      <c r="Q131" s="307"/>
      <c r="R131" s="307"/>
      <c r="S131" s="307"/>
      <c r="T131" s="307"/>
      <c r="U131" s="307"/>
      <c r="V131" s="307"/>
      <c r="W131" s="307"/>
      <c r="X131" s="307"/>
      <c r="Y131" s="307"/>
      <c r="Z131" s="307"/>
      <c r="AA131" s="307"/>
      <c r="AB131" s="307"/>
      <c r="AC131" s="307"/>
      <c r="AD131" s="307"/>
      <c r="AE131" s="307"/>
      <c r="AF131" s="307"/>
      <c r="AG131" s="307"/>
      <c r="AH131" s="307"/>
    </row>
    <row r="132" spans="1:34" ht="17.399999999999999">
      <c r="A132" s="307"/>
      <c r="B132" s="307"/>
      <c r="C132" s="307"/>
      <c r="D132" s="307"/>
      <c r="E132" s="307"/>
      <c r="F132" s="307"/>
      <c r="G132" s="307"/>
      <c r="H132" s="307"/>
      <c r="I132" s="307"/>
      <c r="J132" s="307"/>
      <c r="K132" s="307"/>
      <c r="L132" s="307"/>
      <c r="M132" s="307"/>
      <c r="N132" s="307"/>
      <c r="O132" s="307"/>
      <c r="P132" s="307"/>
      <c r="Q132" s="307"/>
      <c r="R132" s="307"/>
      <c r="S132" s="307"/>
      <c r="T132" s="307"/>
      <c r="U132" s="307"/>
      <c r="V132" s="307"/>
      <c r="W132" s="307"/>
      <c r="X132" s="307"/>
      <c r="Y132" s="307"/>
      <c r="Z132" s="307"/>
      <c r="AA132" s="307"/>
      <c r="AB132" s="307"/>
      <c r="AC132" s="307"/>
      <c r="AD132" s="307"/>
      <c r="AE132" s="307"/>
      <c r="AF132" s="307"/>
      <c r="AG132" s="307"/>
      <c r="AH132" s="307"/>
    </row>
    <row r="133" spans="1:34" ht="17.399999999999999">
      <c r="A133" s="307"/>
      <c r="B133" s="307"/>
      <c r="C133" s="307"/>
      <c r="D133" s="307"/>
      <c r="E133" s="307"/>
      <c r="F133" s="307"/>
      <c r="G133" s="307"/>
      <c r="H133" s="307"/>
      <c r="I133" s="307"/>
      <c r="J133" s="307"/>
      <c r="K133" s="307"/>
      <c r="L133" s="307"/>
      <c r="M133" s="307"/>
      <c r="N133" s="307"/>
      <c r="O133" s="307"/>
      <c r="P133" s="307"/>
      <c r="Q133" s="307"/>
      <c r="R133" s="307"/>
      <c r="S133" s="307"/>
      <c r="T133" s="307"/>
      <c r="U133" s="307"/>
      <c r="V133" s="307"/>
      <c r="W133" s="307"/>
      <c r="X133" s="307"/>
      <c r="Y133" s="307"/>
      <c r="Z133" s="307"/>
      <c r="AA133" s="307"/>
      <c r="AB133" s="307"/>
      <c r="AC133" s="307"/>
      <c r="AD133" s="307"/>
      <c r="AE133" s="307"/>
      <c r="AF133" s="307"/>
      <c r="AG133" s="307"/>
      <c r="AH133" s="307"/>
    </row>
    <row r="134" spans="1:34" ht="17.399999999999999">
      <c r="A134" s="307"/>
      <c r="B134" s="307"/>
      <c r="C134" s="307"/>
      <c r="D134" s="307"/>
      <c r="E134" s="307"/>
      <c r="F134" s="307"/>
      <c r="G134" s="307"/>
      <c r="H134" s="307"/>
      <c r="I134" s="307"/>
      <c r="J134" s="307"/>
      <c r="K134" s="307"/>
      <c r="L134" s="307"/>
      <c r="M134" s="307"/>
      <c r="N134" s="307"/>
      <c r="O134" s="307"/>
      <c r="P134" s="307"/>
      <c r="Q134" s="307"/>
      <c r="R134" s="307"/>
      <c r="S134" s="307"/>
      <c r="T134" s="307"/>
      <c r="U134" s="307"/>
      <c r="V134" s="307"/>
      <c r="W134" s="307"/>
      <c r="X134" s="307"/>
      <c r="Y134" s="307"/>
      <c r="Z134" s="307"/>
      <c r="AA134" s="307"/>
      <c r="AB134" s="307"/>
      <c r="AC134" s="307"/>
      <c r="AD134" s="307"/>
      <c r="AE134" s="307"/>
      <c r="AF134" s="307"/>
      <c r="AG134" s="307"/>
      <c r="AH134" s="307"/>
    </row>
    <row r="135" spans="1:34" ht="17.399999999999999">
      <c r="A135" s="307"/>
      <c r="B135" s="307"/>
      <c r="C135" s="307"/>
      <c r="D135" s="307"/>
      <c r="E135" s="307"/>
      <c r="F135" s="307"/>
      <c r="G135" s="307"/>
      <c r="H135" s="307"/>
      <c r="I135" s="307"/>
      <c r="J135" s="307"/>
      <c r="K135" s="307"/>
      <c r="L135" s="307"/>
      <c r="M135" s="307"/>
      <c r="N135" s="307"/>
      <c r="O135" s="307"/>
      <c r="P135" s="307"/>
      <c r="Q135" s="307"/>
      <c r="R135" s="307"/>
      <c r="S135" s="307"/>
      <c r="T135" s="307"/>
      <c r="U135" s="307"/>
      <c r="V135" s="307"/>
      <c r="W135" s="307"/>
      <c r="X135" s="307"/>
      <c r="Y135" s="307"/>
      <c r="Z135" s="307"/>
      <c r="AA135" s="307"/>
      <c r="AB135" s="307"/>
      <c r="AC135" s="307"/>
      <c r="AD135" s="307"/>
      <c r="AE135" s="307"/>
      <c r="AF135" s="307"/>
      <c r="AG135" s="307"/>
      <c r="AH135" s="307"/>
    </row>
    <row r="136" spans="1:34" ht="17.399999999999999">
      <c r="A136" s="307"/>
      <c r="B136" s="307"/>
      <c r="C136" s="307"/>
      <c r="D136" s="307"/>
      <c r="E136" s="307"/>
      <c r="F136" s="307"/>
      <c r="G136" s="307"/>
      <c r="H136" s="307"/>
      <c r="I136" s="307"/>
      <c r="J136" s="307"/>
      <c r="K136" s="307"/>
      <c r="L136" s="307"/>
      <c r="M136" s="307"/>
      <c r="N136" s="307"/>
      <c r="O136" s="307"/>
      <c r="P136" s="307"/>
      <c r="Q136" s="307"/>
      <c r="R136" s="307"/>
      <c r="S136" s="307"/>
      <c r="T136" s="307"/>
      <c r="U136" s="307"/>
      <c r="V136" s="307"/>
      <c r="W136" s="307"/>
      <c r="X136" s="307"/>
      <c r="Y136" s="307"/>
      <c r="Z136" s="307"/>
      <c r="AA136" s="307"/>
      <c r="AB136" s="307"/>
      <c r="AC136" s="307"/>
      <c r="AD136" s="307"/>
      <c r="AE136" s="307"/>
      <c r="AF136" s="307"/>
      <c r="AG136" s="307"/>
      <c r="AH136" s="307"/>
    </row>
    <row r="137" spans="1:34" ht="17.399999999999999">
      <c r="A137" s="307"/>
      <c r="B137" s="307"/>
      <c r="C137" s="307"/>
      <c r="D137" s="307"/>
      <c r="E137" s="307"/>
      <c r="F137" s="307"/>
      <c r="G137" s="307"/>
      <c r="H137" s="307"/>
      <c r="I137" s="307"/>
      <c r="J137" s="307"/>
      <c r="K137" s="307"/>
      <c r="L137" s="307"/>
      <c r="M137" s="307"/>
      <c r="N137" s="307"/>
      <c r="O137" s="307"/>
      <c r="P137" s="307"/>
      <c r="Q137" s="307"/>
      <c r="R137" s="307"/>
      <c r="S137" s="307"/>
      <c r="T137" s="307"/>
      <c r="U137" s="307"/>
      <c r="V137" s="307"/>
      <c r="W137" s="307"/>
      <c r="X137" s="307"/>
      <c r="Y137" s="307"/>
      <c r="Z137" s="307"/>
      <c r="AA137" s="307"/>
      <c r="AB137" s="307"/>
      <c r="AC137" s="307"/>
      <c r="AD137" s="307"/>
      <c r="AE137" s="307"/>
      <c r="AF137" s="307"/>
      <c r="AG137" s="307"/>
      <c r="AH137" s="307"/>
    </row>
    <row r="138" spans="1:34" ht="17.399999999999999">
      <c r="A138" s="307"/>
      <c r="B138" s="307"/>
      <c r="C138" s="307"/>
      <c r="D138" s="307"/>
      <c r="E138" s="307"/>
      <c r="F138" s="307"/>
      <c r="G138" s="307"/>
      <c r="H138" s="307"/>
      <c r="I138" s="307"/>
      <c r="J138" s="307"/>
      <c r="K138" s="307"/>
      <c r="L138" s="307"/>
      <c r="M138" s="307"/>
      <c r="N138" s="307"/>
      <c r="O138" s="307"/>
      <c r="P138" s="307"/>
      <c r="Q138" s="307"/>
      <c r="R138" s="307"/>
      <c r="S138" s="307"/>
      <c r="T138" s="307"/>
      <c r="U138" s="307"/>
      <c r="V138" s="307"/>
      <c r="W138" s="307"/>
      <c r="X138" s="307"/>
      <c r="Y138" s="307"/>
      <c r="Z138" s="307"/>
      <c r="AA138" s="307"/>
      <c r="AB138" s="307"/>
      <c r="AC138" s="307"/>
      <c r="AD138" s="307"/>
      <c r="AE138" s="307"/>
      <c r="AF138" s="307"/>
      <c r="AG138" s="307"/>
      <c r="AH138" s="307"/>
    </row>
    <row r="139" spans="1:34" ht="17.399999999999999">
      <c r="A139" s="307"/>
      <c r="B139" s="307"/>
      <c r="C139" s="307"/>
      <c r="D139" s="307"/>
      <c r="E139" s="307"/>
      <c r="F139" s="307"/>
      <c r="G139" s="307"/>
      <c r="H139" s="307"/>
      <c r="I139" s="307"/>
      <c r="J139" s="307"/>
      <c r="K139" s="307"/>
      <c r="L139" s="307"/>
      <c r="M139" s="307"/>
      <c r="N139" s="307"/>
      <c r="O139" s="307"/>
      <c r="P139" s="307"/>
      <c r="Q139" s="307"/>
      <c r="R139" s="307"/>
      <c r="S139" s="307"/>
      <c r="T139" s="307"/>
      <c r="U139" s="307"/>
      <c r="V139" s="307"/>
      <c r="W139" s="307"/>
      <c r="X139" s="307"/>
      <c r="Y139" s="307"/>
      <c r="Z139" s="307"/>
      <c r="AA139" s="307"/>
      <c r="AB139" s="307"/>
      <c r="AC139" s="307"/>
      <c r="AD139" s="307"/>
      <c r="AE139" s="307"/>
      <c r="AF139" s="307"/>
      <c r="AG139" s="307"/>
      <c r="AH139" s="307"/>
    </row>
    <row r="140" spans="1:34" ht="17.399999999999999">
      <c r="A140" s="307"/>
      <c r="B140" s="307"/>
      <c r="C140" s="307"/>
      <c r="D140" s="307"/>
      <c r="E140" s="307"/>
      <c r="F140" s="307"/>
      <c r="G140" s="307"/>
      <c r="H140" s="307"/>
      <c r="I140" s="307"/>
      <c r="J140" s="307"/>
      <c r="K140" s="307"/>
      <c r="L140" s="307"/>
      <c r="M140" s="307"/>
      <c r="N140" s="307"/>
      <c r="O140" s="307"/>
      <c r="P140" s="307"/>
      <c r="Q140" s="307"/>
      <c r="R140" s="307"/>
      <c r="S140" s="307"/>
      <c r="T140" s="307"/>
      <c r="U140" s="307"/>
      <c r="V140" s="307"/>
      <c r="W140" s="307"/>
      <c r="X140" s="307"/>
      <c r="Y140" s="307"/>
      <c r="Z140" s="307"/>
      <c r="AA140" s="307"/>
      <c r="AB140" s="307"/>
      <c r="AC140" s="307"/>
      <c r="AD140" s="307"/>
      <c r="AE140" s="307"/>
      <c r="AF140" s="307"/>
      <c r="AG140" s="307"/>
      <c r="AH140" s="307"/>
    </row>
    <row r="141" spans="1:34" ht="17.399999999999999">
      <c r="A141" s="307"/>
      <c r="B141" s="307"/>
      <c r="C141" s="307"/>
      <c r="D141" s="307"/>
      <c r="E141" s="307"/>
      <c r="F141" s="307"/>
      <c r="G141" s="307"/>
      <c r="H141" s="307"/>
      <c r="I141" s="307"/>
      <c r="J141" s="307"/>
      <c r="K141" s="307"/>
      <c r="L141" s="307"/>
      <c r="M141" s="307"/>
      <c r="N141" s="307"/>
      <c r="O141" s="307"/>
      <c r="P141" s="307"/>
      <c r="Q141" s="307"/>
      <c r="R141" s="307"/>
      <c r="S141" s="307"/>
      <c r="T141" s="307"/>
      <c r="U141" s="307"/>
      <c r="V141" s="307"/>
      <c r="W141" s="307"/>
      <c r="X141" s="307"/>
      <c r="Y141" s="307"/>
      <c r="Z141" s="307"/>
      <c r="AA141" s="307"/>
      <c r="AB141" s="307"/>
      <c r="AC141" s="307"/>
      <c r="AD141" s="307"/>
      <c r="AE141" s="307"/>
      <c r="AF141" s="307"/>
      <c r="AG141" s="307"/>
      <c r="AH141" s="307"/>
    </row>
    <row r="142" spans="1:34" ht="17.399999999999999">
      <c r="A142" s="307"/>
      <c r="B142" s="307"/>
      <c r="C142" s="307"/>
      <c r="D142" s="307"/>
      <c r="E142" s="307"/>
      <c r="F142" s="307"/>
      <c r="G142" s="307"/>
      <c r="H142" s="307"/>
      <c r="I142" s="307"/>
      <c r="J142" s="307"/>
      <c r="K142" s="307"/>
      <c r="L142" s="307"/>
      <c r="M142" s="307"/>
      <c r="N142" s="307"/>
      <c r="O142" s="307"/>
      <c r="P142" s="307"/>
      <c r="Q142" s="307"/>
      <c r="R142" s="307"/>
      <c r="S142" s="307"/>
      <c r="T142" s="307"/>
      <c r="U142" s="307"/>
      <c r="V142" s="307"/>
      <c r="W142" s="307"/>
      <c r="X142" s="307"/>
      <c r="Y142" s="307"/>
      <c r="Z142" s="307"/>
      <c r="AA142" s="307"/>
      <c r="AB142" s="307"/>
      <c r="AC142" s="307"/>
      <c r="AD142" s="307"/>
      <c r="AE142" s="307"/>
      <c r="AF142" s="307"/>
      <c r="AG142" s="307"/>
      <c r="AH142" s="307"/>
    </row>
    <row r="143" spans="1:34" ht="17.399999999999999">
      <c r="A143" s="307"/>
      <c r="B143" s="307"/>
      <c r="C143" s="307"/>
      <c r="D143" s="307"/>
      <c r="E143" s="307"/>
      <c r="F143" s="307"/>
      <c r="G143" s="307"/>
      <c r="H143" s="307"/>
      <c r="I143" s="307"/>
      <c r="J143" s="307"/>
      <c r="K143" s="307"/>
      <c r="L143" s="307"/>
      <c r="M143" s="307"/>
      <c r="N143" s="307"/>
      <c r="O143" s="307"/>
      <c r="P143" s="307"/>
      <c r="Q143" s="307"/>
      <c r="R143" s="307"/>
      <c r="S143" s="307"/>
      <c r="T143" s="307"/>
      <c r="U143" s="307"/>
      <c r="V143" s="307"/>
      <c r="W143" s="307"/>
      <c r="X143" s="307"/>
      <c r="Y143" s="307"/>
      <c r="Z143" s="307"/>
      <c r="AA143" s="307"/>
      <c r="AB143" s="307"/>
      <c r="AC143" s="307"/>
      <c r="AD143" s="307"/>
      <c r="AE143" s="307"/>
      <c r="AF143" s="307"/>
      <c r="AG143" s="307"/>
      <c r="AH143" s="307"/>
    </row>
    <row r="144" spans="1:34" ht="17.399999999999999">
      <c r="A144" s="307"/>
      <c r="B144" s="307"/>
      <c r="C144" s="307"/>
      <c r="D144" s="307"/>
      <c r="E144" s="307"/>
      <c r="F144" s="307"/>
      <c r="G144" s="307"/>
      <c r="H144" s="307"/>
      <c r="I144" s="307"/>
      <c r="J144" s="307"/>
      <c r="K144" s="307"/>
      <c r="L144" s="307"/>
      <c r="M144" s="307"/>
      <c r="N144" s="307"/>
      <c r="O144" s="307"/>
      <c r="P144" s="307"/>
      <c r="Q144" s="307"/>
      <c r="R144" s="307"/>
      <c r="S144" s="307"/>
      <c r="T144" s="307"/>
      <c r="U144" s="307"/>
      <c r="V144" s="307"/>
      <c r="W144" s="307"/>
      <c r="X144" s="307"/>
      <c r="Y144" s="307"/>
      <c r="Z144" s="307"/>
      <c r="AA144" s="307"/>
      <c r="AB144" s="307"/>
      <c r="AC144" s="307"/>
      <c r="AD144" s="307"/>
      <c r="AE144" s="307"/>
      <c r="AF144" s="307"/>
      <c r="AG144" s="307"/>
      <c r="AH144" s="307"/>
    </row>
    <row r="145" spans="1:34" ht="17.399999999999999">
      <c r="A145" s="307"/>
      <c r="B145" s="307"/>
      <c r="C145" s="307"/>
      <c r="D145" s="307"/>
      <c r="E145" s="307"/>
      <c r="F145" s="307"/>
      <c r="G145" s="307"/>
      <c r="H145" s="307"/>
      <c r="I145" s="307"/>
      <c r="J145" s="307"/>
      <c r="K145" s="307"/>
      <c r="L145" s="307"/>
      <c r="M145" s="307"/>
      <c r="N145" s="307"/>
      <c r="O145" s="307"/>
      <c r="P145" s="307"/>
      <c r="Q145" s="307"/>
      <c r="R145" s="307"/>
      <c r="S145" s="307"/>
      <c r="T145" s="307"/>
      <c r="U145" s="307"/>
      <c r="V145" s="307"/>
      <c r="W145" s="307"/>
      <c r="X145" s="307"/>
      <c r="Y145" s="307"/>
      <c r="Z145" s="307"/>
      <c r="AA145" s="307"/>
      <c r="AB145" s="307"/>
      <c r="AC145" s="307"/>
      <c r="AD145" s="307"/>
      <c r="AE145" s="307"/>
      <c r="AF145" s="307"/>
      <c r="AG145" s="307"/>
      <c r="AH145" s="307"/>
    </row>
    <row r="146" spans="1:34" ht="17.399999999999999">
      <c r="A146" s="307"/>
      <c r="B146" s="307"/>
      <c r="C146" s="307"/>
      <c r="D146" s="307"/>
      <c r="E146" s="307"/>
      <c r="F146" s="307"/>
      <c r="G146" s="307"/>
      <c r="H146" s="307"/>
      <c r="I146" s="307"/>
      <c r="J146" s="307"/>
      <c r="K146" s="307"/>
      <c r="L146" s="307"/>
      <c r="M146" s="307"/>
      <c r="N146" s="307"/>
      <c r="O146" s="307"/>
      <c r="P146" s="307"/>
      <c r="Q146" s="307"/>
      <c r="R146" s="307"/>
      <c r="S146" s="307"/>
      <c r="T146" s="307"/>
      <c r="U146" s="307"/>
      <c r="V146" s="307"/>
      <c r="W146" s="307"/>
      <c r="X146" s="307"/>
      <c r="Y146" s="307"/>
      <c r="Z146" s="307"/>
      <c r="AA146" s="307"/>
      <c r="AB146" s="307"/>
      <c r="AC146" s="307"/>
      <c r="AD146" s="307"/>
      <c r="AE146" s="307"/>
      <c r="AF146" s="307"/>
      <c r="AG146" s="307"/>
      <c r="AH146" s="307"/>
    </row>
    <row r="147" spans="1:34" ht="17.399999999999999">
      <c r="A147" s="307"/>
      <c r="B147" s="307"/>
      <c r="C147" s="307"/>
      <c r="D147" s="307"/>
      <c r="E147" s="307"/>
      <c r="F147" s="307"/>
      <c r="G147" s="307"/>
      <c r="H147" s="307"/>
      <c r="I147" s="307"/>
      <c r="J147" s="307"/>
      <c r="K147" s="307"/>
      <c r="L147" s="307"/>
      <c r="M147" s="307"/>
      <c r="N147" s="307"/>
      <c r="O147" s="307"/>
      <c r="P147" s="307"/>
      <c r="Q147" s="307"/>
      <c r="R147" s="307"/>
      <c r="S147" s="307"/>
      <c r="T147" s="307"/>
      <c r="U147" s="307"/>
      <c r="V147" s="307"/>
      <c r="W147" s="307"/>
      <c r="X147" s="307"/>
      <c r="Y147" s="307"/>
      <c r="Z147" s="307"/>
      <c r="AA147" s="307"/>
      <c r="AB147" s="307"/>
      <c r="AC147" s="307"/>
      <c r="AD147" s="307"/>
      <c r="AE147" s="307"/>
      <c r="AF147" s="307"/>
      <c r="AG147" s="307"/>
      <c r="AH147" s="307"/>
    </row>
    <row r="148" spans="1:34" ht="17.399999999999999">
      <c r="A148" s="307"/>
      <c r="B148" s="307"/>
      <c r="C148" s="307"/>
      <c r="D148" s="307"/>
      <c r="E148" s="307"/>
      <c r="F148" s="307"/>
      <c r="G148" s="307"/>
      <c r="H148" s="307"/>
      <c r="I148" s="307"/>
      <c r="J148" s="307"/>
      <c r="K148" s="307"/>
      <c r="L148" s="307"/>
      <c r="M148" s="307"/>
      <c r="N148" s="307"/>
      <c r="O148" s="307"/>
      <c r="P148" s="307"/>
      <c r="Q148" s="307"/>
      <c r="R148" s="307"/>
      <c r="S148" s="307"/>
      <c r="T148" s="307"/>
      <c r="U148" s="307"/>
      <c r="V148" s="307"/>
      <c r="W148" s="307"/>
      <c r="X148" s="307"/>
      <c r="Y148" s="307"/>
      <c r="Z148" s="307"/>
      <c r="AA148" s="307"/>
      <c r="AB148" s="307"/>
      <c r="AC148" s="307"/>
      <c r="AD148" s="307"/>
      <c r="AE148" s="307"/>
      <c r="AF148" s="307"/>
      <c r="AG148" s="307"/>
      <c r="AH148" s="307"/>
    </row>
    <row r="149" spans="1:34" ht="17.399999999999999">
      <c r="A149" s="307"/>
      <c r="B149" s="307"/>
      <c r="C149" s="307"/>
      <c r="D149" s="307"/>
      <c r="E149" s="307"/>
      <c r="F149" s="307"/>
      <c r="G149" s="307"/>
      <c r="H149" s="307"/>
      <c r="I149" s="307"/>
      <c r="J149" s="307"/>
      <c r="K149" s="307"/>
      <c r="L149" s="307"/>
      <c r="M149" s="307"/>
      <c r="N149" s="307"/>
      <c r="O149" s="307"/>
      <c r="P149" s="307"/>
      <c r="Q149" s="307"/>
      <c r="R149" s="307"/>
      <c r="S149" s="307"/>
      <c r="T149" s="307"/>
      <c r="U149" s="307"/>
      <c r="V149" s="307"/>
      <c r="W149" s="307"/>
      <c r="X149" s="307"/>
      <c r="Y149" s="307"/>
      <c r="Z149" s="307"/>
      <c r="AA149" s="307"/>
      <c r="AB149" s="307"/>
      <c r="AC149" s="307"/>
      <c r="AD149" s="307"/>
      <c r="AE149" s="307"/>
      <c r="AF149" s="307"/>
      <c r="AG149" s="307"/>
      <c r="AH149" s="307"/>
    </row>
    <row r="150" spans="1:34" ht="17.399999999999999">
      <c r="A150" s="307"/>
      <c r="B150" s="307"/>
      <c r="C150" s="307"/>
      <c r="D150" s="307"/>
      <c r="E150" s="307"/>
      <c r="F150" s="307"/>
      <c r="G150" s="307"/>
      <c r="H150" s="307"/>
      <c r="I150" s="307"/>
      <c r="J150" s="307"/>
      <c r="K150" s="307"/>
      <c r="L150" s="307"/>
      <c r="M150" s="307"/>
      <c r="N150" s="307"/>
      <c r="O150" s="307"/>
      <c r="P150" s="307"/>
      <c r="Q150" s="307"/>
      <c r="R150" s="307"/>
      <c r="S150" s="307"/>
      <c r="T150" s="307"/>
      <c r="U150" s="307"/>
      <c r="V150" s="307"/>
      <c r="W150" s="307"/>
      <c r="X150" s="307"/>
      <c r="Y150" s="307"/>
      <c r="Z150" s="307"/>
      <c r="AA150" s="307"/>
      <c r="AB150" s="307"/>
      <c r="AC150" s="307"/>
      <c r="AD150" s="307"/>
      <c r="AE150" s="307"/>
      <c r="AF150" s="307"/>
      <c r="AG150" s="307"/>
      <c r="AH150" s="307"/>
    </row>
    <row r="151" spans="1:34" ht="17.399999999999999">
      <c r="A151" s="307"/>
      <c r="B151" s="307"/>
      <c r="C151" s="307"/>
      <c r="D151" s="307"/>
      <c r="E151" s="307"/>
      <c r="F151" s="307"/>
      <c r="G151" s="307"/>
      <c r="H151" s="307"/>
      <c r="I151" s="307"/>
      <c r="J151" s="307"/>
      <c r="K151" s="307"/>
      <c r="L151" s="307"/>
      <c r="M151" s="307"/>
      <c r="N151" s="307"/>
      <c r="O151" s="307"/>
      <c r="P151" s="307"/>
      <c r="Q151" s="307"/>
      <c r="R151" s="307"/>
      <c r="S151" s="307"/>
      <c r="T151" s="307"/>
      <c r="U151" s="307"/>
      <c r="V151" s="307"/>
      <c r="W151" s="307"/>
      <c r="X151" s="307"/>
      <c r="Y151" s="307"/>
      <c r="Z151" s="307"/>
      <c r="AA151" s="307"/>
      <c r="AB151" s="307"/>
      <c r="AC151" s="307"/>
      <c r="AD151" s="307"/>
      <c r="AE151" s="307"/>
      <c r="AF151" s="307"/>
      <c r="AG151" s="307"/>
      <c r="AH151" s="307"/>
    </row>
    <row r="152" spans="1:34" ht="17.399999999999999">
      <c r="A152" s="307"/>
      <c r="B152" s="307"/>
      <c r="C152" s="307"/>
      <c r="D152" s="307"/>
      <c r="E152" s="307"/>
      <c r="F152" s="307"/>
      <c r="G152" s="307"/>
      <c r="H152" s="307"/>
      <c r="I152" s="307"/>
      <c r="J152" s="307"/>
      <c r="K152" s="307"/>
      <c r="L152" s="307"/>
      <c r="M152" s="307"/>
      <c r="N152" s="307"/>
      <c r="O152" s="307"/>
      <c r="P152" s="307"/>
      <c r="Q152" s="307"/>
      <c r="R152" s="307"/>
      <c r="S152" s="307"/>
      <c r="T152" s="307"/>
      <c r="U152" s="307"/>
      <c r="V152" s="307"/>
      <c r="W152" s="307"/>
      <c r="X152" s="307"/>
      <c r="Y152" s="307"/>
      <c r="Z152" s="307"/>
      <c r="AA152" s="307"/>
      <c r="AB152" s="307"/>
      <c r="AC152" s="307"/>
      <c r="AD152" s="307"/>
      <c r="AE152" s="307"/>
      <c r="AF152" s="307"/>
      <c r="AG152" s="307"/>
      <c r="AH152" s="307"/>
    </row>
    <row r="153" spans="1:34" ht="17.399999999999999">
      <c r="A153" s="307"/>
      <c r="B153" s="307"/>
      <c r="C153" s="307"/>
      <c r="D153" s="307"/>
      <c r="E153" s="307"/>
      <c r="F153" s="307"/>
      <c r="G153" s="307"/>
      <c r="H153" s="307"/>
      <c r="I153" s="307"/>
      <c r="J153" s="307"/>
      <c r="K153" s="307"/>
      <c r="L153" s="307"/>
      <c r="M153" s="307"/>
      <c r="N153" s="307"/>
      <c r="O153" s="307"/>
      <c r="P153" s="307"/>
      <c r="Q153" s="307"/>
      <c r="R153" s="307"/>
      <c r="S153" s="307"/>
      <c r="T153" s="307"/>
      <c r="U153" s="307"/>
      <c r="V153" s="307"/>
      <c r="W153" s="307"/>
      <c r="X153" s="307"/>
      <c r="Y153" s="307"/>
      <c r="Z153" s="307"/>
      <c r="AA153" s="307"/>
      <c r="AB153" s="307"/>
      <c r="AC153" s="307"/>
      <c r="AD153" s="307"/>
      <c r="AE153" s="307"/>
      <c r="AF153" s="307"/>
      <c r="AG153" s="307"/>
      <c r="AH153" s="307"/>
    </row>
    <row r="154" spans="1:34" ht="17.399999999999999">
      <c r="A154" s="307"/>
      <c r="B154" s="307"/>
      <c r="C154" s="307"/>
      <c r="D154" s="307"/>
      <c r="E154" s="307"/>
      <c r="F154" s="307"/>
      <c r="G154" s="307"/>
      <c r="H154" s="307"/>
      <c r="I154" s="307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  <c r="U154" s="307"/>
      <c r="V154" s="307"/>
      <c r="W154" s="307"/>
      <c r="X154" s="307"/>
      <c r="Y154" s="307"/>
      <c r="Z154" s="307"/>
      <c r="AA154" s="307"/>
      <c r="AB154" s="307"/>
      <c r="AC154" s="307"/>
      <c r="AD154" s="307"/>
      <c r="AE154" s="307"/>
      <c r="AF154" s="307"/>
      <c r="AG154" s="307"/>
      <c r="AH154" s="307"/>
    </row>
    <row r="155" spans="1:34" ht="17.399999999999999">
      <c r="A155" s="307"/>
      <c r="B155" s="307"/>
      <c r="C155" s="307"/>
      <c r="D155" s="307"/>
      <c r="E155" s="307"/>
      <c r="F155" s="307"/>
      <c r="G155" s="307"/>
      <c r="H155" s="307"/>
      <c r="I155" s="307"/>
      <c r="J155" s="307"/>
      <c r="K155" s="307"/>
      <c r="L155" s="307"/>
      <c r="M155" s="307"/>
      <c r="N155" s="307"/>
      <c r="O155" s="307"/>
      <c r="P155" s="307"/>
      <c r="Q155" s="307"/>
      <c r="R155" s="307"/>
      <c r="S155" s="307"/>
      <c r="T155" s="307"/>
      <c r="U155" s="307"/>
      <c r="V155" s="307"/>
      <c r="W155" s="307"/>
      <c r="X155" s="307"/>
      <c r="Y155" s="307"/>
      <c r="Z155" s="307"/>
      <c r="AA155" s="307"/>
      <c r="AB155" s="307"/>
      <c r="AC155" s="307"/>
      <c r="AD155" s="307"/>
      <c r="AE155" s="307"/>
      <c r="AF155" s="307"/>
      <c r="AG155" s="307"/>
      <c r="AH155" s="307"/>
    </row>
    <row r="156" spans="1:34" ht="17.399999999999999">
      <c r="A156" s="307"/>
      <c r="B156" s="307"/>
      <c r="C156" s="307"/>
      <c r="D156" s="307"/>
      <c r="E156" s="307"/>
      <c r="F156" s="307"/>
      <c r="G156" s="307"/>
      <c r="H156" s="307"/>
      <c r="I156" s="307"/>
      <c r="J156" s="307"/>
      <c r="K156" s="307"/>
      <c r="L156" s="307"/>
      <c r="M156" s="307"/>
      <c r="N156" s="307"/>
      <c r="O156" s="307"/>
      <c r="P156" s="307"/>
      <c r="Q156" s="307"/>
      <c r="R156" s="307"/>
      <c r="S156" s="307"/>
      <c r="T156" s="307"/>
      <c r="U156" s="307"/>
      <c r="V156" s="307"/>
      <c r="W156" s="307"/>
      <c r="X156" s="307"/>
      <c r="Y156" s="307"/>
      <c r="Z156" s="307"/>
      <c r="AA156" s="307"/>
      <c r="AB156" s="307"/>
      <c r="AC156" s="307"/>
      <c r="AD156" s="307"/>
      <c r="AE156" s="307"/>
      <c r="AF156" s="307"/>
      <c r="AG156" s="307"/>
      <c r="AH156" s="307"/>
    </row>
    <row r="157" spans="1:34" ht="17.399999999999999">
      <c r="A157" s="307"/>
      <c r="B157" s="307"/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  <c r="M157" s="307"/>
      <c r="N157" s="307"/>
      <c r="O157" s="307"/>
      <c r="P157" s="307"/>
      <c r="Q157" s="307"/>
      <c r="R157" s="307"/>
      <c r="S157" s="307"/>
      <c r="T157" s="307"/>
      <c r="U157" s="307"/>
      <c r="V157" s="307"/>
      <c r="W157" s="307"/>
      <c r="X157" s="307"/>
      <c r="Y157" s="307"/>
      <c r="Z157" s="307"/>
      <c r="AA157" s="307"/>
      <c r="AB157" s="307"/>
      <c r="AC157" s="307"/>
      <c r="AD157" s="307"/>
      <c r="AE157" s="307"/>
      <c r="AF157" s="307"/>
      <c r="AG157" s="307"/>
      <c r="AH157" s="307"/>
    </row>
    <row r="158" spans="1:34" ht="17.399999999999999">
      <c r="A158" s="307"/>
      <c r="B158" s="307"/>
      <c r="C158" s="307"/>
      <c r="D158" s="307"/>
      <c r="E158" s="307"/>
      <c r="F158" s="307"/>
      <c r="G158" s="307"/>
      <c r="H158" s="307"/>
      <c r="I158" s="307"/>
      <c r="J158" s="307"/>
      <c r="K158" s="307"/>
      <c r="L158" s="307"/>
      <c r="M158" s="307"/>
      <c r="N158" s="307"/>
      <c r="O158" s="307"/>
      <c r="P158" s="307"/>
      <c r="Q158" s="307"/>
      <c r="R158" s="307"/>
      <c r="S158" s="307"/>
      <c r="T158" s="307"/>
      <c r="U158" s="307"/>
      <c r="V158" s="307"/>
      <c r="W158" s="307"/>
      <c r="X158" s="307"/>
      <c r="Y158" s="307"/>
      <c r="Z158" s="307"/>
      <c r="AA158" s="307"/>
      <c r="AB158" s="307"/>
      <c r="AC158" s="307"/>
      <c r="AD158" s="307"/>
      <c r="AE158" s="307"/>
      <c r="AF158" s="307"/>
      <c r="AG158" s="307"/>
      <c r="AH158" s="307"/>
    </row>
    <row r="159" spans="1:34" ht="17.399999999999999">
      <c r="A159" s="307"/>
      <c r="B159" s="307"/>
      <c r="C159" s="307"/>
      <c r="D159" s="307"/>
      <c r="E159" s="307"/>
      <c r="F159" s="307"/>
      <c r="G159" s="307"/>
      <c r="H159" s="307"/>
      <c r="I159" s="307"/>
      <c r="J159" s="307"/>
      <c r="K159" s="307"/>
      <c r="L159" s="307"/>
      <c r="M159" s="307"/>
      <c r="N159" s="307"/>
      <c r="O159" s="307"/>
      <c r="P159" s="307"/>
      <c r="Q159" s="307"/>
      <c r="R159" s="307"/>
      <c r="S159" s="307"/>
      <c r="T159" s="307"/>
      <c r="U159" s="307"/>
      <c r="V159" s="307"/>
      <c r="W159" s="307"/>
      <c r="X159" s="307"/>
      <c r="Y159" s="307"/>
      <c r="Z159" s="307"/>
      <c r="AA159" s="307"/>
      <c r="AB159" s="307"/>
      <c r="AC159" s="307"/>
      <c r="AD159" s="307"/>
      <c r="AE159" s="307"/>
      <c r="AF159" s="307"/>
      <c r="AG159" s="307"/>
      <c r="AH159" s="307"/>
    </row>
    <row r="160" spans="1:34" ht="17.399999999999999">
      <c r="A160" s="307"/>
      <c r="B160" s="307"/>
      <c r="C160" s="307"/>
      <c r="D160" s="307"/>
      <c r="E160" s="307"/>
      <c r="F160" s="307"/>
      <c r="G160" s="307"/>
      <c r="H160" s="307"/>
      <c r="I160" s="307"/>
      <c r="J160" s="307"/>
      <c r="K160" s="307"/>
      <c r="L160" s="307"/>
      <c r="M160" s="307"/>
      <c r="N160" s="307"/>
      <c r="O160" s="307"/>
      <c r="P160" s="307"/>
      <c r="Q160" s="307"/>
      <c r="R160" s="307"/>
      <c r="S160" s="307"/>
      <c r="T160" s="307"/>
      <c r="U160" s="307"/>
      <c r="V160" s="307"/>
      <c r="W160" s="307"/>
      <c r="X160" s="307"/>
      <c r="Y160" s="307"/>
      <c r="Z160" s="307"/>
      <c r="AA160" s="307"/>
      <c r="AB160" s="307"/>
      <c r="AC160" s="307"/>
      <c r="AD160" s="307"/>
      <c r="AE160" s="307"/>
      <c r="AF160" s="307"/>
      <c r="AG160" s="307"/>
      <c r="AH160" s="307"/>
    </row>
    <row r="161" spans="1:34" ht="17.399999999999999">
      <c r="A161" s="307"/>
      <c r="B161" s="307"/>
      <c r="C161" s="307"/>
      <c r="D161" s="307"/>
      <c r="E161" s="307"/>
      <c r="F161" s="307"/>
      <c r="G161" s="307"/>
      <c r="H161" s="307"/>
      <c r="I161" s="307"/>
      <c r="J161" s="307"/>
      <c r="K161" s="307"/>
      <c r="L161" s="307"/>
      <c r="M161" s="307"/>
      <c r="N161" s="307"/>
      <c r="O161" s="307"/>
      <c r="P161" s="307"/>
      <c r="Q161" s="307"/>
      <c r="R161" s="307"/>
      <c r="S161" s="307"/>
      <c r="T161" s="307"/>
      <c r="U161" s="307"/>
      <c r="V161" s="307"/>
      <c r="W161" s="307"/>
      <c r="X161" s="307"/>
      <c r="Y161" s="307"/>
      <c r="Z161" s="307"/>
      <c r="AA161" s="307"/>
      <c r="AB161" s="307"/>
      <c r="AC161" s="307"/>
      <c r="AD161" s="307"/>
      <c r="AE161" s="307"/>
      <c r="AF161" s="307"/>
      <c r="AG161" s="307"/>
      <c r="AH161" s="307"/>
    </row>
    <row r="162" spans="1:34" ht="17.399999999999999">
      <c r="A162" s="307"/>
      <c r="B162" s="307"/>
      <c r="C162" s="307"/>
      <c r="D162" s="307"/>
      <c r="E162" s="307"/>
      <c r="F162" s="307"/>
      <c r="G162" s="307"/>
      <c r="H162" s="307"/>
      <c r="I162" s="307"/>
      <c r="J162" s="307"/>
      <c r="K162" s="307"/>
      <c r="L162" s="307"/>
      <c r="M162" s="307"/>
      <c r="N162" s="307"/>
      <c r="O162" s="307"/>
      <c r="P162" s="307"/>
      <c r="Q162" s="307"/>
      <c r="R162" s="307"/>
      <c r="S162" s="307"/>
      <c r="T162" s="307"/>
      <c r="U162" s="307"/>
      <c r="V162" s="307"/>
      <c r="W162" s="307"/>
      <c r="X162" s="307"/>
      <c r="Y162" s="307"/>
      <c r="Z162" s="307"/>
      <c r="AA162" s="307"/>
      <c r="AB162" s="307"/>
      <c r="AC162" s="307"/>
      <c r="AD162" s="307"/>
      <c r="AE162" s="307"/>
      <c r="AF162" s="307"/>
      <c r="AG162" s="307"/>
      <c r="AH162" s="307"/>
    </row>
    <row r="163" spans="1:34" ht="17.399999999999999">
      <c r="A163" s="307"/>
      <c r="B163" s="307"/>
      <c r="C163" s="307"/>
      <c r="D163" s="307"/>
      <c r="E163" s="307"/>
      <c r="F163" s="307"/>
      <c r="G163" s="307"/>
      <c r="H163" s="307"/>
      <c r="I163" s="307"/>
      <c r="J163" s="307"/>
      <c r="K163" s="307"/>
      <c r="L163" s="307"/>
      <c r="M163" s="307"/>
      <c r="N163" s="307"/>
      <c r="O163" s="307"/>
      <c r="P163" s="307"/>
      <c r="Q163" s="307"/>
      <c r="R163" s="307"/>
      <c r="S163" s="307"/>
      <c r="T163" s="307"/>
      <c r="U163" s="307"/>
      <c r="V163" s="307"/>
      <c r="W163" s="307"/>
      <c r="X163" s="307"/>
      <c r="Y163" s="307"/>
      <c r="Z163" s="307"/>
      <c r="AA163" s="307"/>
      <c r="AB163" s="307"/>
      <c r="AC163" s="307"/>
      <c r="AD163" s="307"/>
      <c r="AE163" s="307"/>
      <c r="AF163" s="307"/>
      <c r="AG163" s="307"/>
      <c r="AH163" s="307"/>
    </row>
    <row r="164" spans="1:34" ht="17.399999999999999">
      <c r="A164" s="307"/>
      <c r="B164" s="307"/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  <c r="M164" s="307"/>
      <c r="N164" s="307"/>
      <c r="O164" s="307"/>
      <c r="P164" s="307"/>
      <c r="Q164" s="307"/>
      <c r="R164" s="307"/>
      <c r="S164" s="307"/>
      <c r="T164" s="307"/>
      <c r="U164" s="307"/>
      <c r="V164" s="307"/>
      <c r="W164" s="307"/>
      <c r="X164" s="307"/>
      <c r="Y164" s="307"/>
      <c r="Z164" s="307"/>
      <c r="AA164" s="307"/>
      <c r="AB164" s="307"/>
      <c r="AC164" s="307"/>
      <c r="AD164" s="307"/>
      <c r="AE164" s="307"/>
      <c r="AF164" s="307"/>
      <c r="AG164" s="307"/>
      <c r="AH164" s="307"/>
    </row>
    <row r="165" spans="1:34" ht="17.399999999999999">
      <c r="A165" s="307"/>
      <c r="B165" s="307"/>
      <c r="C165" s="307"/>
      <c r="D165" s="307"/>
      <c r="E165" s="307"/>
      <c r="F165" s="307"/>
      <c r="G165" s="307"/>
      <c r="H165" s="307"/>
      <c r="I165" s="307"/>
      <c r="J165" s="307"/>
      <c r="K165" s="307"/>
      <c r="L165" s="307"/>
      <c r="M165" s="307"/>
      <c r="N165" s="307"/>
      <c r="O165" s="307"/>
      <c r="P165" s="307"/>
      <c r="Q165" s="307"/>
      <c r="R165" s="307"/>
      <c r="S165" s="307"/>
      <c r="T165" s="307"/>
      <c r="U165" s="307"/>
      <c r="V165" s="307"/>
      <c r="W165" s="307"/>
      <c r="X165" s="307"/>
      <c r="Y165" s="307"/>
      <c r="Z165" s="307"/>
      <c r="AA165" s="307"/>
      <c r="AB165" s="307"/>
      <c r="AC165" s="307"/>
      <c r="AD165" s="307"/>
      <c r="AE165" s="307"/>
      <c r="AF165" s="307"/>
      <c r="AG165" s="307"/>
      <c r="AH165" s="307"/>
    </row>
    <row r="166" spans="1:34" ht="17.399999999999999">
      <c r="A166" s="307"/>
      <c r="B166" s="307"/>
      <c r="C166" s="307"/>
      <c r="D166" s="307"/>
      <c r="E166" s="307"/>
      <c r="F166" s="307"/>
      <c r="G166" s="307"/>
      <c r="H166" s="307"/>
      <c r="I166" s="307"/>
      <c r="J166" s="307"/>
      <c r="K166" s="307"/>
      <c r="L166" s="307"/>
      <c r="M166" s="307"/>
      <c r="N166" s="307"/>
      <c r="O166" s="307"/>
      <c r="P166" s="307"/>
      <c r="Q166" s="307"/>
      <c r="R166" s="307"/>
      <c r="S166" s="307"/>
      <c r="T166" s="307"/>
      <c r="U166" s="307"/>
      <c r="V166" s="307"/>
      <c r="W166" s="307"/>
      <c r="X166" s="307"/>
      <c r="Y166" s="307"/>
      <c r="Z166" s="307"/>
      <c r="AA166" s="307"/>
      <c r="AB166" s="307"/>
      <c r="AC166" s="307"/>
      <c r="AD166" s="307"/>
      <c r="AE166" s="307"/>
      <c r="AF166" s="307"/>
      <c r="AG166" s="307"/>
      <c r="AH166" s="307"/>
    </row>
    <row r="167" spans="1:34" ht="17.399999999999999">
      <c r="A167" s="307"/>
      <c r="B167" s="307"/>
      <c r="C167" s="307"/>
      <c r="D167" s="307"/>
      <c r="E167" s="307"/>
      <c r="F167" s="307"/>
      <c r="G167" s="307"/>
      <c r="H167" s="307"/>
      <c r="I167" s="307"/>
      <c r="J167" s="307"/>
      <c r="K167" s="307"/>
      <c r="L167" s="307"/>
      <c r="M167" s="307"/>
      <c r="N167" s="307"/>
      <c r="O167" s="307"/>
      <c r="P167" s="307"/>
      <c r="Q167" s="307"/>
      <c r="R167" s="307"/>
      <c r="S167" s="307"/>
      <c r="T167" s="307"/>
      <c r="U167" s="307"/>
      <c r="V167" s="307"/>
      <c r="W167" s="307"/>
      <c r="X167" s="307"/>
      <c r="Y167" s="307"/>
      <c r="Z167" s="307"/>
      <c r="AA167" s="307"/>
      <c r="AB167" s="307"/>
      <c r="AC167" s="307"/>
      <c r="AD167" s="307"/>
      <c r="AE167" s="307"/>
      <c r="AF167" s="307"/>
      <c r="AG167" s="307"/>
      <c r="AH167" s="307"/>
    </row>
    <row r="168" spans="1:34" ht="17.399999999999999">
      <c r="A168" s="307"/>
      <c r="B168" s="307"/>
      <c r="C168" s="307"/>
      <c r="D168" s="307"/>
      <c r="E168" s="307"/>
      <c r="F168" s="307"/>
      <c r="G168" s="307"/>
      <c r="H168" s="307"/>
      <c r="I168" s="307"/>
      <c r="J168" s="307"/>
      <c r="K168" s="307"/>
      <c r="L168" s="307"/>
      <c r="M168" s="307"/>
      <c r="N168" s="307"/>
      <c r="O168" s="307"/>
      <c r="P168" s="307"/>
      <c r="Q168" s="307"/>
      <c r="R168" s="307"/>
      <c r="S168" s="307"/>
      <c r="T168" s="307"/>
      <c r="U168" s="307"/>
      <c r="V168" s="307"/>
      <c r="W168" s="307"/>
      <c r="X168" s="307"/>
      <c r="Y168" s="307"/>
      <c r="Z168" s="307"/>
      <c r="AA168" s="307"/>
      <c r="AB168" s="307"/>
      <c r="AC168" s="307"/>
      <c r="AD168" s="307"/>
      <c r="AE168" s="307"/>
      <c r="AF168" s="307"/>
      <c r="AG168" s="307"/>
      <c r="AH168" s="307"/>
    </row>
    <row r="169" spans="1:34" ht="17.399999999999999">
      <c r="A169" s="307"/>
      <c r="B169" s="307"/>
      <c r="C169" s="307"/>
      <c r="D169" s="307"/>
      <c r="E169" s="307"/>
      <c r="F169" s="307"/>
      <c r="G169" s="307"/>
      <c r="H169" s="307"/>
      <c r="I169" s="307"/>
      <c r="J169" s="307"/>
      <c r="K169" s="307"/>
      <c r="L169" s="307"/>
      <c r="M169" s="307"/>
      <c r="N169" s="307"/>
      <c r="O169" s="307"/>
      <c r="P169" s="307"/>
      <c r="Q169" s="307"/>
      <c r="R169" s="307"/>
      <c r="S169" s="307"/>
      <c r="T169" s="307"/>
      <c r="U169" s="307"/>
      <c r="V169" s="307"/>
      <c r="W169" s="307"/>
      <c r="X169" s="307"/>
      <c r="Y169" s="307"/>
      <c r="Z169" s="307"/>
      <c r="AA169" s="307"/>
      <c r="AB169" s="307"/>
      <c r="AC169" s="307"/>
      <c r="AD169" s="307"/>
      <c r="AE169" s="307"/>
      <c r="AF169" s="307"/>
      <c r="AG169" s="307"/>
      <c r="AH169" s="307"/>
    </row>
    <row r="170" spans="1:34" ht="17.399999999999999">
      <c r="A170" s="307"/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7"/>
      <c r="V170" s="307"/>
      <c r="W170" s="307"/>
      <c r="X170" s="307"/>
      <c r="Y170" s="307"/>
      <c r="Z170" s="307"/>
      <c r="AA170" s="307"/>
      <c r="AB170" s="307"/>
      <c r="AC170" s="307"/>
      <c r="AD170" s="307"/>
      <c r="AE170" s="307"/>
      <c r="AF170" s="307"/>
      <c r="AG170" s="307"/>
      <c r="AH170" s="307"/>
    </row>
    <row r="171" spans="1:34" ht="17.399999999999999">
      <c r="A171" s="307"/>
      <c r="B171" s="307"/>
      <c r="C171" s="307"/>
      <c r="D171" s="307"/>
      <c r="E171" s="307"/>
      <c r="F171" s="307"/>
      <c r="G171" s="307"/>
      <c r="H171" s="307"/>
      <c r="I171" s="307"/>
      <c r="J171" s="307"/>
      <c r="K171" s="307"/>
      <c r="L171" s="307"/>
      <c r="M171" s="307"/>
      <c r="N171" s="307"/>
      <c r="O171" s="307"/>
      <c r="P171" s="307"/>
      <c r="Q171" s="307"/>
      <c r="R171" s="307"/>
      <c r="S171" s="307"/>
      <c r="T171" s="307"/>
      <c r="U171" s="307"/>
      <c r="V171" s="307"/>
      <c r="W171" s="307"/>
      <c r="X171" s="307"/>
      <c r="Y171" s="307"/>
      <c r="Z171" s="307"/>
      <c r="AA171" s="307"/>
      <c r="AB171" s="307"/>
      <c r="AC171" s="307"/>
      <c r="AD171" s="307"/>
      <c r="AE171" s="307"/>
      <c r="AF171" s="307"/>
      <c r="AG171" s="307"/>
      <c r="AH171" s="307"/>
    </row>
    <row r="172" spans="1:34" ht="17.399999999999999">
      <c r="A172" s="307"/>
      <c r="B172" s="307"/>
      <c r="C172" s="307"/>
      <c r="D172" s="307"/>
      <c r="E172" s="307"/>
      <c r="F172" s="307"/>
      <c r="G172" s="307"/>
      <c r="H172" s="307"/>
      <c r="I172" s="307"/>
      <c r="J172" s="307"/>
      <c r="K172" s="307"/>
      <c r="L172" s="307"/>
      <c r="M172" s="307"/>
      <c r="N172" s="307"/>
      <c r="O172" s="307"/>
      <c r="P172" s="307"/>
      <c r="Q172" s="307"/>
      <c r="R172" s="307"/>
      <c r="S172" s="307"/>
      <c r="T172" s="307"/>
      <c r="U172" s="307"/>
      <c r="V172" s="307"/>
      <c r="W172" s="307"/>
      <c r="X172" s="307"/>
      <c r="Y172" s="307"/>
      <c r="Z172" s="307"/>
      <c r="AA172" s="307"/>
      <c r="AB172" s="307"/>
      <c r="AC172" s="307"/>
      <c r="AD172" s="307"/>
      <c r="AE172" s="307"/>
      <c r="AF172" s="307"/>
      <c r="AG172" s="307"/>
      <c r="AH172" s="307"/>
    </row>
    <row r="173" spans="1:34" ht="17.399999999999999">
      <c r="A173" s="307"/>
      <c r="B173" s="307"/>
      <c r="C173" s="307"/>
      <c r="D173" s="307"/>
      <c r="E173" s="307"/>
      <c r="F173" s="307"/>
      <c r="G173" s="307"/>
      <c r="H173" s="307"/>
      <c r="I173" s="307"/>
      <c r="J173" s="307"/>
      <c r="K173" s="307"/>
      <c r="L173" s="307"/>
      <c r="M173" s="307"/>
      <c r="N173" s="307"/>
      <c r="O173" s="307"/>
      <c r="P173" s="307"/>
      <c r="Q173" s="307"/>
      <c r="R173" s="307"/>
      <c r="S173" s="307"/>
      <c r="T173" s="307"/>
      <c r="U173" s="307"/>
      <c r="V173" s="307"/>
      <c r="W173" s="307"/>
      <c r="X173" s="307"/>
      <c r="Y173" s="307"/>
      <c r="Z173" s="307"/>
      <c r="AA173" s="307"/>
      <c r="AB173" s="307"/>
      <c r="AC173" s="307"/>
      <c r="AD173" s="307"/>
      <c r="AE173" s="307"/>
      <c r="AF173" s="307"/>
      <c r="AG173" s="307"/>
      <c r="AH173" s="307"/>
    </row>
    <row r="174" spans="1:34" ht="17.399999999999999">
      <c r="A174" s="307"/>
      <c r="B174" s="307"/>
      <c r="C174" s="307"/>
      <c r="D174" s="307"/>
      <c r="E174" s="307"/>
      <c r="F174" s="307"/>
      <c r="G174" s="307"/>
      <c r="H174" s="307"/>
      <c r="I174" s="307"/>
      <c r="J174" s="307"/>
      <c r="K174" s="307"/>
      <c r="L174" s="307"/>
      <c r="M174" s="307"/>
      <c r="N174" s="307"/>
      <c r="O174" s="307"/>
      <c r="P174" s="307"/>
      <c r="Q174" s="307"/>
      <c r="R174" s="307"/>
      <c r="S174" s="307"/>
      <c r="T174" s="307"/>
      <c r="U174" s="307"/>
      <c r="V174" s="307"/>
      <c r="W174" s="307"/>
      <c r="X174" s="307"/>
      <c r="Y174" s="307"/>
      <c r="Z174" s="307"/>
      <c r="AA174" s="307"/>
      <c r="AB174" s="307"/>
      <c r="AC174" s="307"/>
      <c r="AD174" s="307"/>
      <c r="AE174" s="307"/>
      <c r="AF174" s="307"/>
      <c r="AG174" s="307"/>
      <c r="AH174" s="307"/>
    </row>
    <row r="175" spans="1:34" ht="17.399999999999999">
      <c r="A175" s="307"/>
      <c r="B175" s="307"/>
      <c r="C175" s="307"/>
      <c r="D175" s="307"/>
      <c r="E175" s="307"/>
      <c r="F175" s="307"/>
      <c r="G175" s="307"/>
      <c r="H175" s="307"/>
      <c r="I175" s="307"/>
      <c r="J175" s="307"/>
      <c r="K175" s="307"/>
      <c r="L175" s="307"/>
      <c r="M175" s="307"/>
      <c r="N175" s="307"/>
      <c r="O175" s="307"/>
      <c r="P175" s="307"/>
      <c r="Q175" s="307"/>
      <c r="R175" s="307"/>
      <c r="S175" s="307"/>
      <c r="T175" s="307"/>
      <c r="U175" s="307"/>
      <c r="V175" s="307"/>
      <c r="W175" s="307"/>
      <c r="X175" s="307"/>
      <c r="Y175" s="307"/>
      <c r="Z175" s="307"/>
      <c r="AA175" s="307"/>
      <c r="AB175" s="307"/>
      <c r="AC175" s="307"/>
      <c r="AD175" s="307"/>
      <c r="AE175" s="307"/>
      <c r="AF175" s="307"/>
      <c r="AG175" s="307"/>
      <c r="AH175" s="307"/>
    </row>
    <row r="176" spans="1:34" ht="17.399999999999999">
      <c r="A176" s="307"/>
      <c r="B176" s="307"/>
      <c r="C176" s="307"/>
      <c r="D176" s="307"/>
      <c r="E176" s="307"/>
      <c r="F176" s="307"/>
      <c r="G176" s="307"/>
      <c r="H176" s="307"/>
      <c r="I176" s="307"/>
      <c r="J176" s="307"/>
      <c r="K176" s="307"/>
      <c r="L176" s="307"/>
      <c r="M176" s="307"/>
      <c r="N176" s="307"/>
      <c r="O176" s="307"/>
      <c r="P176" s="307"/>
      <c r="Q176" s="307"/>
      <c r="R176" s="307"/>
      <c r="S176" s="307"/>
      <c r="T176" s="307"/>
      <c r="U176" s="307"/>
      <c r="V176" s="307"/>
      <c r="W176" s="307"/>
      <c r="X176" s="307"/>
      <c r="Y176" s="307"/>
      <c r="Z176" s="307"/>
      <c r="AA176" s="307"/>
      <c r="AB176" s="307"/>
      <c r="AC176" s="307"/>
      <c r="AD176" s="307"/>
      <c r="AE176" s="307"/>
      <c r="AF176" s="307"/>
      <c r="AG176" s="307"/>
      <c r="AH176" s="307"/>
    </row>
    <row r="177" spans="1:34" ht="17.399999999999999">
      <c r="A177" s="307"/>
      <c r="B177" s="307"/>
      <c r="C177" s="307"/>
      <c r="D177" s="307"/>
      <c r="E177" s="307"/>
      <c r="F177" s="307"/>
      <c r="G177" s="307"/>
      <c r="H177" s="307"/>
      <c r="I177" s="307"/>
      <c r="J177" s="307"/>
      <c r="K177" s="307"/>
      <c r="L177" s="307"/>
      <c r="M177" s="307"/>
      <c r="N177" s="307"/>
      <c r="O177" s="307"/>
      <c r="P177" s="307"/>
      <c r="Q177" s="307"/>
      <c r="R177" s="307"/>
      <c r="S177" s="307"/>
      <c r="T177" s="307"/>
      <c r="U177" s="307"/>
      <c r="V177" s="307"/>
      <c r="W177" s="307"/>
      <c r="X177" s="307"/>
      <c r="Y177" s="307"/>
      <c r="Z177" s="307"/>
      <c r="AA177" s="307"/>
      <c r="AB177" s="307"/>
      <c r="AC177" s="307"/>
      <c r="AD177" s="307"/>
      <c r="AE177" s="307"/>
      <c r="AF177" s="307"/>
      <c r="AG177" s="307"/>
      <c r="AH177" s="307"/>
    </row>
    <row r="178" spans="1:34" ht="17.399999999999999">
      <c r="A178" s="307"/>
      <c r="B178" s="307"/>
      <c r="C178" s="307"/>
      <c r="D178" s="307"/>
      <c r="E178" s="307"/>
      <c r="F178" s="307"/>
      <c r="G178" s="307"/>
      <c r="H178" s="307"/>
      <c r="I178" s="307"/>
      <c r="J178" s="307"/>
      <c r="K178" s="307"/>
      <c r="L178" s="307"/>
      <c r="M178" s="307"/>
      <c r="N178" s="307"/>
      <c r="O178" s="307"/>
      <c r="P178" s="307"/>
      <c r="Q178" s="307"/>
      <c r="R178" s="307"/>
      <c r="S178" s="307"/>
      <c r="T178" s="307"/>
      <c r="U178" s="307"/>
      <c r="V178" s="307"/>
      <c r="W178" s="307"/>
      <c r="X178" s="307"/>
      <c r="Y178" s="307"/>
      <c r="Z178" s="307"/>
      <c r="AA178" s="307"/>
      <c r="AB178" s="307"/>
      <c r="AC178" s="307"/>
      <c r="AD178" s="307"/>
      <c r="AE178" s="307"/>
      <c r="AF178" s="307"/>
      <c r="AG178" s="307"/>
      <c r="AH178" s="307"/>
    </row>
    <row r="179" spans="1:34" ht="17.399999999999999">
      <c r="A179" s="307"/>
      <c r="B179" s="307"/>
      <c r="C179" s="307"/>
      <c r="D179" s="307"/>
      <c r="E179" s="307"/>
      <c r="F179" s="307"/>
      <c r="G179" s="307"/>
      <c r="H179" s="307"/>
      <c r="I179" s="307"/>
      <c r="J179" s="307"/>
      <c r="K179" s="307"/>
      <c r="L179" s="307"/>
      <c r="M179" s="307"/>
      <c r="N179" s="307"/>
      <c r="O179" s="307"/>
      <c r="P179" s="307"/>
      <c r="Q179" s="307"/>
      <c r="R179" s="307"/>
      <c r="S179" s="307"/>
      <c r="T179" s="307"/>
      <c r="U179" s="307"/>
      <c r="V179" s="307"/>
      <c r="W179" s="307"/>
      <c r="X179" s="307"/>
      <c r="Y179" s="307"/>
      <c r="Z179" s="307"/>
      <c r="AA179" s="307"/>
      <c r="AB179" s="307"/>
      <c r="AC179" s="307"/>
      <c r="AD179" s="307"/>
      <c r="AE179" s="307"/>
      <c r="AF179" s="307"/>
      <c r="AG179" s="307"/>
      <c r="AH179" s="307"/>
    </row>
    <row r="180" spans="1:34" ht="17.399999999999999">
      <c r="A180" s="307"/>
      <c r="B180" s="307"/>
      <c r="C180" s="307"/>
      <c r="D180" s="307"/>
      <c r="E180" s="307"/>
      <c r="F180" s="307"/>
      <c r="G180" s="307"/>
      <c r="H180" s="307"/>
      <c r="I180" s="307"/>
      <c r="J180" s="307"/>
      <c r="K180" s="307"/>
      <c r="L180" s="307"/>
      <c r="M180" s="307"/>
      <c r="N180" s="307"/>
      <c r="O180" s="307"/>
      <c r="P180" s="307"/>
      <c r="Q180" s="307"/>
      <c r="R180" s="307"/>
      <c r="S180" s="307"/>
      <c r="T180" s="307"/>
      <c r="U180" s="307"/>
      <c r="V180" s="307"/>
      <c r="W180" s="307"/>
      <c r="X180" s="307"/>
      <c r="Y180" s="307"/>
      <c r="Z180" s="307"/>
      <c r="AA180" s="307"/>
      <c r="AB180" s="307"/>
      <c r="AC180" s="307"/>
      <c r="AD180" s="307"/>
      <c r="AE180" s="307"/>
      <c r="AF180" s="307"/>
      <c r="AG180" s="307"/>
      <c r="AH180" s="307"/>
    </row>
    <row r="181" spans="1:34" ht="17.399999999999999">
      <c r="A181" s="307"/>
      <c r="B181" s="307"/>
      <c r="C181" s="307"/>
      <c r="D181" s="307"/>
      <c r="E181" s="307"/>
      <c r="F181" s="307"/>
      <c r="G181" s="307"/>
      <c r="H181" s="307"/>
      <c r="I181" s="307"/>
      <c r="J181" s="307"/>
      <c r="K181" s="307"/>
      <c r="L181" s="307"/>
      <c r="M181" s="307"/>
      <c r="N181" s="307"/>
      <c r="O181" s="307"/>
      <c r="P181" s="307"/>
      <c r="Q181" s="307"/>
      <c r="R181" s="307"/>
      <c r="S181" s="307"/>
      <c r="T181" s="307"/>
      <c r="U181" s="307"/>
      <c r="V181" s="307"/>
      <c r="W181" s="307"/>
      <c r="X181" s="307"/>
      <c r="Y181" s="307"/>
      <c r="Z181" s="307"/>
      <c r="AA181" s="307"/>
      <c r="AB181" s="307"/>
      <c r="AC181" s="307"/>
      <c r="AD181" s="307"/>
      <c r="AE181" s="307"/>
      <c r="AF181" s="307"/>
      <c r="AG181" s="307"/>
      <c r="AH181" s="307"/>
    </row>
    <row r="182" spans="1:34" ht="17.399999999999999">
      <c r="A182" s="307"/>
      <c r="B182" s="307"/>
      <c r="C182" s="307"/>
      <c r="D182" s="307"/>
      <c r="E182" s="307"/>
      <c r="F182" s="307"/>
      <c r="G182" s="307"/>
      <c r="H182" s="307"/>
      <c r="I182" s="307"/>
      <c r="J182" s="307"/>
      <c r="K182" s="307"/>
      <c r="L182" s="307"/>
      <c r="M182" s="307"/>
      <c r="N182" s="307"/>
      <c r="O182" s="307"/>
      <c r="P182" s="307"/>
      <c r="Q182" s="307"/>
      <c r="R182" s="307"/>
      <c r="S182" s="307"/>
      <c r="T182" s="307"/>
      <c r="U182" s="307"/>
      <c r="V182" s="307"/>
      <c r="W182" s="307"/>
      <c r="X182" s="307"/>
      <c r="Y182" s="307"/>
      <c r="Z182" s="307"/>
      <c r="AA182" s="307"/>
      <c r="AB182" s="307"/>
      <c r="AC182" s="307"/>
      <c r="AD182" s="307"/>
      <c r="AE182" s="307"/>
      <c r="AF182" s="307"/>
      <c r="AG182" s="307"/>
      <c r="AH182" s="307"/>
    </row>
    <row r="183" spans="1:34" ht="17.399999999999999">
      <c r="A183" s="307"/>
      <c r="B183" s="307"/>
      <c r="C183" s="307"/>
      <c r="D183" s="307"/>
      <c r="E183" s="307"/>
      <c r="F183" s="307"/>
      <c r="G183" s="307"/>
      <c r="H183" s="307"/>
      <c r="I183" s="307"/>
      <c r="J183" s="307"/>
      <c r="K183" s="307"/>
      <c r="L183" s="307"/>
      <c r="M183" s="307"/>
      <c r="N183" s="307"/>
      <c r="O183" s="307"/>
      <c r="P183" s="307"/>
      <c r="Q183" s="307"/>
      <c r="R183" s="307"/>
      <c r="S183" s="307"/>
      <c r="T183" s="307"/>
      <c r="U183" s="307"/>
      <c r="V183" s="307"/>
      <c r="W183" s="307"/>
      <c r="X183" s="307"/>
      <c r="Y183" s="307"/>
      <c r="Z183" s="307"/>
      <c r="AA183" s="307"/>
      <c r="AB183" s="307"/>
      <c r="AC183" s="307"/>
      <c r="AD183" s="307"/>
      <c r="AE183" s="307"/>
      <c r="AF183" s="307"/>
      <c r="AG183" s="307"/>
      <c r="AH183" s="307"/>
    </row>
    <row r="184" spans="1:34" ht="17.399999999999999">
      <c r="A184" s="307"/>
      <c r="B184" s="307"/>
      <c r="C184" s="307"/>
      <c r="D184" s="307"/>
      <c r="E184" s="307"/>
      <c r="F184" s="307"/>
      <c r="G184" s="307"/>
      <c r="H184" s="307"/>
      <c r="I184" s="307"/>
      <c r="J184" s="307"/>
      <c r="K184" s="307"/>
      <c r="L184" s="307"/>
      <c r="M184" s="307"/>
      <c r="N184" s="307"/>
      <c r="O184" s="307"/>
      <c r="P184" s="307"/>
      <c r="Q184" s="307"/>
      <c r="R184" s="307"/>
      <c r="S184" s="307"/>
      <c r="T184" s="307"/>
      <c r="U184" s="307"/>
      <c r="V184" s="307"/>
      <c r="W184" s="307"/>
      <c r="X184" s="307"/>
      <c r="Y184" s="307"/>
      <c r="Z184" s="307"/>
      <c r="AA184" s="307"/>
      <c r="AB184" s="307"/>
      <c r="AC184" s="307"/>
      <c r="AD184" s="307"/>
      <c r="AE184" s="307"/>
      <c r="AF184" s="307"/>
      <c r="AG184" s="307"/>
      <c r="AH184" s="307"/>
    </row>
    <row r="185" spans="1:34" ht="17.399999999999999">
      <c r="A185" s="307"/>
      <c r="B185" s="307"/>
      <c r="C185" s="307"/>
      <c r="D185" s="307"/>
      <c r="E185" s="307"/>
      <c r="F185" s="307"/>
      <c r="G185" s="307"/>
      <c r="H185" s="307"/>
      <c r="I185" s="307"/>
      <c r="J185" s="307"/>
      <c r="K185" s="307"/>
      <c r="L185" s="307"/>
      <c r="M185" s="307"/>
      <c r="N185" s="307"/>
      <c r="O185" s="307"/>
      <c r="P185" s="307"/>
      <c r="Q185" s="307"/>
      <c r="R185" s="307"/>
      <c r="S185" s="307"/>
      <c r="T185" s="307"/>
      <c r="U185" s="307"/>
      <c r="V185" s="307"/>
      <c r="W185" s="307"/>
      <c r="X185" s="307"/>
      <c r="Y185" s="307"/>
      <c r="Z185" s="307"/>
      <c r="AA185" s="307"/>
      <c r="AB185" s="307"/>
      <c r="AC185" s="307"/>
      <c r="AD185" s="307"/>
      <c r="AE185" s="307"/>
      <c r="AF185" s="307"/>
      <c r="AG185" s="307"/>
      <c r="AH185" s="307"/>
    </row>
    <row r="186" spans="1:34" ht="17.399999999999999">
      <c r="A186" s="307"/>
      <c r="B186" s="307"/>
      <c r="C186" s="307"/>
      <c r="D186" s="307"/>
      <c r="E186" s="307"/>
      <c r="F186" s="307"/>
      <c r="G186" s="307"/>
      <c r="H186" s="307"/>
      <c r="I186" s="307"/>
      <c r="J186" s="307"/>
      <c r="K186" s="307"/>
      <c r="L186" s="307"/>
      <c r="M186" s="307"/>
      <c r="N186" s="307"/>
      <c r="O186" s="307"/>
      <c r="P186" s="307"/>
      <c r="Q186" s="307"/>
      <c r="R186" s="307"/>
      <c r="S186" s="307"/>
      <c r="T186" s="307"/>
      <c r="U186" s="307"/>
      <c r="V186" s="307"/>
      <c r="W186" s="307"/>
      <c r="X186" s="307"/>
      <c r="Y186" s="307"/>
      <c r="Z186" s="307"/>
      <c r="AA186" s="307"/>
      <c r="AB186" s="307"/>
      <c r="AC186" s="307"/>
      <c r="AD186" s="307"/>
      <c r="AE186" s="307"/>
      <c r="AF186" s="307"/>
      <c r="AG186" s="307"/>
      <c r="AH186" s="307"/>
    </row>
    <row r="187" spans="1:34" ht="17.399999999999999">
      <c r="A187" s="307"/>
      <c r="B187" s="307"/>
      <c r="C187" s="307"/>
      <c r="D187" s="307"/>
      <c r="E187" s="307"/>
      <c r="F187" s="307"/>
      <c r="G187" s="307"/>
      <c r="H187" s="307"/>
      <c r="I187" s="307"/>
      <c r="J187" s="307"/>
      <c r="K187" s="307"/>
      <c r="L187" s="307"/>
      <c r="M187" s="307"/>
      <c r="N187" s="307"/>
      <c r="O187" s="307"/>
      <c r="P187" s="307"/>
      <c r="Q187" s="307"/>
      <c r="R187" s="307"/>
      <c r="S187" s="307"/>
      <c r="T187" s="307"/>
      <c r="U187" s="307"/>
      <c r="V187" s="307"/>
      <c r="W187" s="307"/>
      <c r="X187" s="307"/>
      <c r="Y187" s="307"/>
      <c r="Z187" s="307"/>
      <c r="AA187" s="307"/>
      <c r="AB187" s="307"/>
      <c r="AC187" s="307"/>
      <c r="AD187" s="307"/>
      <c r="AE187" s="307"/>
      <c r="AF187" s="307"/>
      <c r="AG187" s="307"/>
      <c r="AH187" s="307"/>
    </row>
    <row r="188" spans="1:34" ht="17.399999999999999">
      <c r="A188" s="307"/>
      <c r="B188" s="307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  <c r="M188" s="307"/>
      <c r="N188" s="307"/>
      <c r="O188" s="307"/>
      <c r="P188" s="307"/>
      <c r="Q188" s="307"/>
      <c r="R188" s="307"/>
      <c r="S188" s="307"/>
      <c r="T188" s="307"/>
      <c r="U188" s="307"/>
      <c r="V188" s="307"/>
      <c r="W188" s="307"/>
      <c r="X188" s="307"/>
      <c r="Y188" s="307"/>
      <c r="Z188" s="307"/>
      <c r="AA188" s="307"/>
      <c r="AB188" s="307"/>
      <c r="AC188" s="307"/>
      <c r="AD188" s="307"/>
      <c r="AE188" s="307"/>
      <c r="AF188" s="307"/>
      <c r="AG188" s="307"/>
      <c r="AH188" s="307"/>
    </row>
    <row r="189" spans="1:34" ht="17.399999999999999">
      <c r="A189" s="307"/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07"/>
      <c r="P189" s="307"/>
      <c r="Q189" s="307"/>
      <c r="R189" s="307"/>
      <c r="S189" s="307"/>
      <c r="T189" s="307"/>
      <c r="U189" s="307"/>
      <c r="V189" s="307"/>
      <c r="W189" s="307"/>
      <c r="X189" s="307"/>
      <c r="Y189" s="307"/>
      <c r="Z189" s="307"/>
      <c r="AA189" s="307"/>
      <c r="AB189" s="307"/>
      <c r="AC189" s="307"/>
      <c r="AD189" s="307"/>
      <c r="AE189" s="307"/>
      <c r="AF189" s="307"/>
      <c r="AG189" s="307"/>
      <c r="AH189" s="307"/>
    </row>
    <row r="190" spans="1:34" ht="17.399999999999999">
      <c r="A190" s="307"/>
      <c r="B190" s="307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  <c r="M190" s="307"/>
      <c r="N190" s="307"/>
      <c r="O190" s="307"/>
      <c r="P190" s="307"/>
      <c r="Q190" s="307"/>
      <c r="R190" s="307"/>
      <c r="S190" s="307"/>
      <c r="T190" s="307"/>
      <c r="U190" s="307"/>
      <c r="V190" s="307"/>
      <c r="W190" s="307"/>
      <c r="X190" s="307"/>
      <c r="Y190" s="307"/>
      <c r="Z190" s="307"/>
      <c r="AA190" s="307"/>
      <c r="AB190" s="307"/>
      <c r="AC190" s="307"/>
      <c r="AD190" s="307"/>
      <c r="AE190" s="307"/>
      <c r="AF190" s="307"/>
      <c r="AG190" s="307"/>
      <c r="AH190" s="307"/>
    </row>
    <row r="191" spans="1:34" ht="17.399999999999999">
      <c r="A191" s="307"/>
      <c r="B191" s="307"/>
      <c r="C191" s="307"/>
      <c r="D191" s="307"/>
      <c r="E191" s="307"/>
      <c r="F191" s="307"/>
      <c r="G191" s="307"/>
      <c r="H191" s="307"/>
      <c r="I191" s="307"/>
      <c r="J191" s="307"/>
      <c r="K191" s="307"/>
      <c r="L191" s="307"/>
      <c r="M191" s="307"/>
      <c r="N191" s="307"/>
      <c r="O191" s="307"/>
      <c r="P191" s="307"/>
      <c r="Q191" s="307"/>
      <c r="R191" s="307"/>
      <c r="S191" s="307"/>
      <c r="T191" s="307"/>
      <c r="U191" s="307"/>
      <c r="V191" s="307"/>
      <c r="W191" s="307"/>
      <c r="X191" s="307"/>
      <c r="Y191" s="307"/>
      <c r="Z191" s="307"/>
      <c r="AA191" s="307"/>
      <c r="AB191" s="307"/>
      <c r="AC191" s="307"/>
      <c r="AD191" s="307"/>
      <c r="AE191" s="307"/>
      <c r="AF191" s="307"/>
      <c r="AG191" s="307"/>
      <c r="AH191" s="307"/>
    </row>
    <row r="192" spans="1:34" ht="17.399999999999999">
      <c r="A192" s="307"/>
      <c r="B192" s="307"/>
      <c r="C192" s="307"/>
      <c r="D192" s="307"/>
      <c r="E192" s="307"/>
      <c r="F192" s="307"/>
      <c r="G192" s="307"/>
      <c r="H192" s="307"/>
      <c r="I192" s="307"/>
      <c r="J192" s="307"/>
      <c r="K192" s="307"/>
      <c r="L192" s="307"/>
      <c r="M192" s="307"/>
      <c r="N192" s="307"/>
      <c r="O192" s="307"/>
      <c r="P192" s="307"/>
      <c r="Q192" s="307"/>
      <c r="R192" s="307"/>
      <c r="S192" s="307"/>
      <c r="T192" s="307"/>
      <c r="U192" s="307"/>
      <c r="V192" s="307"/>
      <c r="W192" s="307"/>
      <c r="X192" s="307"/>
      <c r="Y192" s="307"/>
      <c r="Z192" s="307"/>
      <c r="AA192" s="307"/>
      <c r="AB192" s="307"/>
      <c r="AC192" s="307"/>
      <c r="AD192" s="307"/>
      <c r="AE192" s="307"/>
      <c r="AF192" s="307"/>
      <c r="AG192" s="307"/>
      <c r="AH192" s="307"/>
    </row>
    <row r="193" spans="1:34" ht="17.399999999999999">
      <c r="A193" s="307"/>
      <c r="B193" s="307"/>
      <c r="C193" s="307"/>
      <c r="D193" s="307"/>
      <c r="E193" s="307"/>
      <c r="F193" s="307"/>
      <c r="G193" s="307"/>
      <c r="H193" s="307"/>
      <c r="I193" s="307"/>
      <c r="J193" s="307"/>
      <c r="K193" s="307"/>
      <c r="L193" s="307"/>
      <c r="M193" s="307"/>
      <c r="N193" s="307"/>
      <c r="O193" s="307"/>
      <c r="P193" s="307"/>
      <c r="Q193" s="307"/>
      <c r="R193" s="307"/>
      <c r="S193" s="307"/>
      <c r="T193" s="307"/>
      <c r="U193" s="307"/>
      <c r="V193" s="307"/>
      <c r="W193" s="307"/>
      <c r="X193" s="307"/>
      <c r="Y193" s="307"/>
      <c r="Z193" s="307"/>
      <c r="AA193" s="307"/>
      <c r="AB193" s="307"/>
      <c r="AC193" s="307"/>
      <c r="AD193" s="307"/>
      <c r="AE193" s="307"/>
      <c r="AF193" s="307"/>
      <c r="AG193" s="307"/>
      <c r="AH193" s="307"/>
    </row>
    <row r="194" spans="1:34" ht="17.399999999999999">
      <c r="A194" s="307"/>
      <c r="B194" s="307"/>
      <c r="C194" s="307"/>
      <c r="D194" s="307"/>
      <c r="E194" s="307"/>
      <c r="F194" s="307"/>
      <c r="G194" s="307"/>
      <c r="H194" s="307"/>
      <c r="I194" s="307"/>
      <c r="J194" s="307"/>
      <c r="K194" s="307"/>
      <c r="L194" s="307"/>
      <c r="M194" s="307"/>
      <c r="N194" s="307"/>
      <c r="O194" s="307"/>
      <c r="P194" s="307"/>
      <c r="Q194" s="307"/>
      <c r="R194" s="307"/>
      <c r="S194" s="307"/>
      <c r="T194" s="307"/>
      <c r="U194" s="307"/>
      <c r="V194" s="307"/>
      <c r="W194" s="307"/>
      <c r="X194" s="307"/>
      <c r="Y194" s="307"/>
      <c r="Z194" s="307"/>
      <c r="AA194" s="307"/>
      <c r="AB194" s="307"/>
      <c r="AC194" s="307"/>
      <c r="AD194" s="307"/>
      <c r="AE194" s="307"/>
      <c r="AF194" s="307"/>
      <c r="AG194" s="307"/>
      <c r="AH194" s="307"/>
    </row>
    <row r="195" spans="1:34" ht="17.399999999999999">
      <c r="A195" s="307"/>
      <c r="B195" s="307"/>
      <c r="C195" s="307"/>
      <c r="D195" s="307"/>
      <c r="E195" s="307"/>
      <c r="F195" s="307"/>
      <c r="G195" s="307"/>
      <c r="H195" s="307"/>
      <c r="I195" s="307"/>
      <c r="J195" s="307"/>
      <c r="K195" s="307"/>
      <c r="L195" s="307"/>
      <c r="M195" s="307"/>
      <c r="N195" s="307"/>
      <c r="O195" s="307"/>
      <c r="P195" s="307"/>
      <c r="Q195" s="307"/>
      <c r="R195" s="307"/>
      <c r="S195" s="307"/>
      <c r="T195" s="307"/>
      <c r="U195" s="307"/>
      <c r="V195" s="307"/>
      <c r="W195" s="307"/>
      <c r="X195" s="307"/>
      <c r="Y195" s="307"/>
      <c r="Z195" s="307"/>
      <c r="AA195" s="307"/>
      <c r="AB195" s="307"/>
      <c r="AC195" s="307"/>
      <c r="AD195" s="307"/>
      <c r="AE195" s="307"/>
      <c r="AF195" s="307"/>
      <c r="AG195" s="307"/>
      <c r="AH195" s="307"/>
    </row>
    <row r="196" spans="1:34" ht="17.399999999999999">
      <c r="A196" s="307"/>
      <c r="B196" s="307"/>
      <c r="C196" s="307"/>
      <c r="D196" s="307"/>
      <c r="E196" s="307"/>
      <c r="F196" s="307"/>
      <c r="G196" s="307"/>
      <c r="H196" s="307"/>
      <c r="I196" s="307"/>
      <c r="J196" s="307"/>
      <c r="K196" s="307"/>
      <c r="L196" s="307"/>
      <c r="M196" s="307"/>
      <c r="N196" s="307"/>
      <c r="O196" s="307"/>
      <c r="P196" s="307"/>
      <c r="Q196" s="307"/>
      <c r="R196" s="307"/>
      <c r="S196" s="307"/>
      <c r="T196" s="307"/>
      <c r="U196" s="307"/>
      <c r="V196" s="307"/>
      <c r="W196" s="307"/>
      <c r="X196" s="307"/>
      <c r="Y196" s="307"/>
      <c r="Z196" s="307"/>
      <c r="AA196" s="307"/>
      <c r="AB196" s="307"/>
      <c r="AC196" s="307"/>
      <c r="AD196" s="307"/>
      <c r="AE196" s="307"/>
      <c r="AF196" s="307"/>
      <c r="AG196" s="307"/>
      <c r="AH196" s="307"/>
    </row>
    <row r="197" spans="1:34" ht="17.399999999999999">
      <c r="A197" s="307"/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  <c r="M197" s="307"/>
      <c r="N197" s="307"/>
      <c r="O197" s="307"/>
      <c r="P197" s="307"/>
      <c r="Q197" s="307"/>
      <c r="R197" s="307"/>
      <c r="S197" s="307"/>
      <c r="T197" s="307"/>
      <c r="U197" s="307"/>
      <c r="V197" s="307"/>
      <c r="W197" s="307"/>
      <c r="X197" s="307"/>
      <c r="Y197" s="307"/>
      <c r="Z197" s="307"/>
      <c r="AA197" s="307"/>
      <c r="AB197" s="307"/>
      <c r="AC197" s="307"/>
      <c r="AD197" s="307"/>
      <c r="AE197" s="307"/>
      <c r="AF197" s="307"/>
      <c r="AG197" s="307"/>
      <c r="AH197" s="307"/>
    </row>
    <row r="198" spans="1:34" ht="17.399999999999999">
      <c r="A198" s="307"/>
      <c r="B198" s="307"/>
      <c r="C198" s="307"/>
      <c r="D198" s="307"/>
      <c r="E198" s="307"/>
      <c r="F198" s="307"/>
      <c r="G198" s="307"/>
      <c r="H198" s="307"/>
      <c r="I198" s="307"/>
      <c r="J198" s="307"/>
      <c r="K198" s="307"/>
      <c r="L198" s="307"/>
      <c r="M198" s="307"/>
      <c r="N198" s="307"/>
      <c r="O198" s="307"/>
      <c r="P198" s="307"/>
      <c r="Q198" s="307"/>
      <c r="R198" s="307"/>
      <c r="S198" s="307"/>
      <c r="T198" s="307"/>
      <c r="U198" s="307"/>
      <c r="V198" s="307"/>
      <c r="W198" s="307"/>
      <c r="X198" s="307"/>
      <c r="Y198" s="307"/>
      <c r="Z198" s="307"/>
      <c r="AA198" s="307"/>
      <c r="AB198" s="307"/>
      <c r="AC198" s="307"/>
      <c r="AD198" s="307"/>
      <c r="AE198" s="307"/>
      <c r="AF198" s="307"/>
      <c r="AG198" s="307"/>
      <c r="AH198" s="307"/>
    </row>
    <row r="199" spans="1:34" ht="17.399999999999999">
      <c r="A199" s="307"/>
      <c r="B199" s="307"/>
      <c r="C199" s="307"/>
      <c r="D199" s="307"/>
      <c r="E199" s="307"/>
      <c r="F199" s="307"/>
      <c r="G199" s="307"/>
      <c r="H199" s="307"/>
      <c r="I199" s="307"/>
      <c r="J199" s="307"/>
      <c r="K199" s="307"/>
      <c r="L199" s="307"/>
      <c r="M199" s="307"/>
      <c r="N199" s="307"/>
      <c r="O199" s="307"/>
      <c r="P199" s="307"/>
      <c r="Q199" s="307"/>
      <c r="R199" s="307"/>
      <c r="S199" s="307"/>
      <c r="T199" s="307"/>
      <c r="U199" s="307"/>
      <c r="V199" s="307"/>
      <c r="W199" s="307"/>
      <c r="X199" s="307"/>
      <c r="Y199" s="307"/>
      <c r="Z199" s="307"/>
      <c r="AA199" s="307"/>
      <c r="AB199" s="307"/>
      <c r="AC199" s="307"/>
      <c r="AD199" s="307"/>
      <c r="AE199" s="307"/>
      <c r="AF199" s="307"/>
      <c r="AG199" s="307"/>
      <c r="AH199" s="307"/>
    </row>
    <row r="200" spans="1:34" ht="17.399999999999999">
      <c r="A200" s="307"/>
      <c r="B200" s="307"/>
      <c r="C200" s="307"/>
      <c r="D200" s="307"/>
      <c r="E200" s="307"/>
      <c r="F200" s="307"/>
      <c r="G200" s="307"/>
      <c r="H200" s="307"/>
      <c r="I200" s="307"/>
      <c r="J200" s="307"/>
      <c r="K200" s="307"/>
      <c r="L200" s="307"/>
      <c r="M200" s="307"/>
      <c r="N200" s="307"/>
      <c r="O200" s="307"/>
      <c r="P200" s="307"/>
      <c r="Q200" s="307"/>
      <c r="R200" s="307"/>
      <c r="S200" s="307"/>
      <c r="T200" s="307"/>
      <c r="U200" s="307"/>
      <c r="V200" s="307"/>
      <c r="W200" s="307"/>
      <c r="X200" s="307"/>
      <c r="Y200" s="307"/>
      <c r="Z200" s="307"/>
      <c r="AA200" s="307"/>
      <c r="AB200" s="307"/>
      <c r="AC200" s="307"/>
      <c r="AD200" s="307"/>
      <c r="AE200" s="307"/>
      <c r="AF200" s="307"/>
      <c r="AG200" s="307"/>
      <c r="AH200" s="307"/>
    </row>
    <row r="201" spans="1:34" ht="17.399999999999999">
      <c r="A201" s="307"/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  <c r="M201" s="307"/>
      <c r="N201" s="307"/>
      <c r="O201" s="307"/>
      <c r="P201" s="307"/>
      <c r="Q201" s="307"/>
      <c r="R201" s="307"/>
      <c r="S201" s="307"/>
      <c r="T201" s="307"/>
      <c r="U201" s="307"/>
      <c r="V201" s="307"/>
      <c r="W201" s="307"/>
      <c r="X201" s="307"/>
      <c r="Y201" s="307"/>
      <c r="Z201" s="307"/>
      <c r="AA201" s="307"/>
      <c r="AB201" s="307"/>
      <c r="AC201" s="307"/>
      <c r="AD201" s="307"/>
      <c r="AE201" s="307"/>
      <c r="AF201" s="307"/>
      <c r="AG201" s="307"/>
      <c r="AH201" s="307"/>
    </row>
    <row r="202" spans="1:34" ht="17.399999999999999">
      <c r="A202" s="307"/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  <c r="M202" s="307"/>
      <c r="N202" s="307"/>
      <c r="O202" s="307"/>
      <c r="P202" s="307"/>
      <c r="Q202" s="307"/>
      <c r="R202" s="307"/>
      <c r="S202" s="307"/>
      <c r="T202" s="307"/>
      <c r="U202" s="307"/>
      <c r="V202" s="307"/>
      <c r="W202" s="307"/>
      <c r="X202" s="307"/>
      <c r="Y202" s="307"/>
      <c r="Z202" s="307"/>
      <c r="AA202" s="307"/>
      <c r="AB202" s="307"/>
      <c r="AC202" s="307"/>
      <c r="AD202" s="307"/>
      <c r="AE202" s="307"/>
      <c r="AF202" s="307"/>
      <c r="AG202" s="307"/>
      <c r="AH202" s="307"/>
    </row>
    <row r="203" spans="1:34" ht="17.399999999999999">
      <c r="A203" s="307"/>
      <c r="B203" s="307"/>
      <c r="C203" s="307"/>
      <c r="D203" s="307"/>
      <c r="E203" s="307"/>
      <c r="F203" s="307"/>
      <c r="G203" s="307"/>
      <c r="H203" s="307"/>
      <c r="I203" s="307"/>
      <c r="J203" s="307"/>
      <c r="K203" s="307"/>
      <c r="L203" s="307"/>
      <c r="M203" s="307"/>
      <c r="N203" s="307"/>
      <c r="O203" s="307"/>
      <c r="P203" s="307"/>
      <c r="Q203" s="307"/>
      <c r="R203" s="307"/>
      <c r="S203" s="307"/>
      <c r="T203" s="307"/>
      <c r="U203" s="307"/>
      <c r="V203" s="307"/>
      <c r="W203" s="307"/>
      <c r="X203" s="307"/>
      <c r="Y203" s="307"/>
      <c r="Z203" s="307"/>
      <c r="AA203" s="307"/>
      <c r="AB203" s="307"/>
      <c r="AC203" s="307"/>
      <c r="AD203" s="307"/>
      <c r="AE203" s="307"/>
      <c r="AF203" s="307"/>
      <c r="AG203" s="307"/>
      <c r="AH203" s="307"/>
    </row>
    <row r="204" spans="1:34" ht="17.399999999999999">
      <c r="A204" s="307"/>
      <c r="B204" s="307"/>
      <c r="C204" s="307"/>
      <c r="D204" s="307"/>
      <c r="E204" s="307"/>
      <c r="F204" s="307"/>
      <c r="G204" s="307"/>
      <c r="H204" s="307"/>
      <c r="I204" s="307"/>
      <c r="J204" s="307"/>
      <c r="K204" s="307"/>
      <c r="L204" s="307"/>
      <c r="M204" s="307"/>
      <c r="N204" s="307"/>
      <c r="O204" s="307"/>
      <c r="P204" s="307"/>
      <c r="Q204" s="307"/>
      <c r="R204" s="307"/>
      <c r="S204" s="307"/>
      <c r="T204" s="307"/>
      <c r="U204" s="307"/>
      <c r="V204" s="307"/>
      <c r="W204" s="307"/>
      <c r="X204" s="307"/>
      <c r="Y204" s="307"/>
      <c r="Z204" s="307"/>
      <c r="AA204" s="307"/>
      <c r="AB204" s="307"/>
      <c r="AC204" s="307"/>
      <c r="AD204" s="307"/>
      <c r="AE204" s="307"/>
      <c r="AF204" s="307"/>
      <c r="AG204" s="307"/>
      <c r="AH204" s="307"/>
    </row>
    <row r="205" spans="1:34" ht="17.399999999999999">
      <c r="A205" s="307"/>
      <c r="B205" s="307"/>
      <c r="C205" s="307"/>
      <c r="D205" s="307"/>
      <c r="E205" s="307"/>
      <c r="F205" s="307"/>
      <c r="G205" s="307"/>
      <c r="H205" s="307"/>
      <c r="I205" s="307"/>
      <c r="J205" s="307"/>
      <c r="K205" s="307"/>
      <c r="L205" s="307"/>
      <c r="M205" s="307"/>
      <c r="N205" s="307"/>
      <c r="O205" s="307"/>
      <c r="P205" s="307"/>
      <c r="Q205" s="307"/>
      <c r="R205" s="307"/>
      <c r="S205" s="307"/>
      <c r="T205" s="307"/>
      <c r="U205" s="307"/>
      <c r="V205" s="307"/>
      <c r="W205" s="307"/>
      <c r="X205" s="307"/>
      <c r="Y205" s="307"/>
      <c r="Z205" s="307"/>
      <c r="AA205" s="307"/>
      <c r="AB205" s="307"/>
      <c r="AC205" s="307"/>
      <c r="AD205" s="307"/>
      <c r="AE205" s="307"/>
      <c r="AF205" s="307"/>
      <c r="AG205" s="307"/>
      <c r="AH205" s="307"/>
    </row>
    <row r="206" spans="1:34" ht="17.399999999999999">
      <c r="A206" s="307"/>
      <c r="B206" s="307"/>
      <c r="C206" s="307"/>
      <c r="D206" s="307"/>
      <c r="E206" s="307"/>
      <c r="F206" s="307"/>
      <c r="G206" s="307"/>
      <c r="H206" s="307"/>
      <c r="I206" s="307"/>
      <c r="J206" s="307"/>
      <c r="K206" s="307"/>
      <c r="L206" s="307"/>
      <c r="M206" s="307"/>
      <c r="N206" s="307"/>
      <c r="O206" s="307"/>
      <c r="P206" s="307"/>
      <c r="Q206" s="307"/>
      <c r="R206" s="307"/>
      <c r="S206" s="307"/>
      <c r="T206" s="307"/>
      <c r="U206" s="307"/>
      <c r="V206" s="307"/>
      <c r="W206" s="307"/>
      <c r="X206" s="307"/>
      <c r="Y206" s="307"/>
      <c r="Z206" s="307"/>
      <c r="AA206" s="307"/>
      <c r="AB206" s="307"/>
      <c r="AC206" s="307"/>
      <c r="AD206" s="307"/>
      <c r="AE206" s="307"/>
      <c r="AF206" s="307"/>
      <c r="AG206" s="307"/>
      <c r="AH206" s="307"/>
    </row>
    <row r="207" spans="1:34" ht="17.399999999999999">
      <c r="A207" s="307"/>
      <c r="B207" s="307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  <c r="M207" s="307"/>
      <c r="N207" s="307"/>
      <c r="O207" s="307"/>
      <c r="P207" s="307"/>
      <c r="Q207" s="307"/>
      <c r="R207" s="307"/>
      <c r="S207" s="307"/>
      <c r="T207" s="307"/>
      <c r="U207" s="307"/>
      <c r="V207" s="307"/>
      <c r="W207" s="307"/>
      <c r="X207" s="307"/>
      <c r="Y207" s="307"/>
      <c r="Z207" s="307"/>
      <c r="AA207" s="307"/>
      <c r="AB207" s="307"/>
      <c r="AC207" s="307"/>
      <c r="AD207" s="307"/>
      <c r="AE207" s="307"/>
      <c r="AF207" s="307"/>
      <c r="AG207" s="307"/>
      <c r="AH207" s="307"/>
    </row>
    <row r="208" spans="1:34" ht="17.399999999999999">
      <c r="A208" s="307"/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  <c r="U208" s="307"/>
      <c r="V208" s="307"/>
      <c r="W208" s="307"/>
      <c r="X208" s="307"/>
      <c r="Y208" s="307"/>
      <c r="Z208" s="307"/>
      <c r="AA208" s="307"/>
      <c r="AB208" s="307"/>
      <c r="AC208" s="307"/>
      <c r="AD208" s="307"/>
      <c r="AE208" s="307"/>
      <c r="AF208" s="307"/>
      <c r="AG208" s="307"/>
      <c r="AH208" s="307"/>
    </row>
    <row r="209" spans="1:34" ht="17.399999999999999">
      <c r="A209" s="307"/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  <c r="M209" s="307"/>
      <c r="N209" s="307"/>
      <c r="O209" s="307"/>
      <c r="P209" s="307"/>
      <c r="Q209" s="307"/>
      <c r="R209" s="307"/>
      <c r="S209" s="307"/>
      <c r="T209" s="307"/>
      <c r="U209" s="307"/>
      <c r="V209" s="307"/>
      <c r="W209" s="307"/>
      <c r="X209" s="307"/>
      <c r="Y209" s="307"/>
      <c r="Z209" s="307"/>
      <c r="AA209" s="307"/>
      <c r="AB209" s="307"/>
      <c r="AC209" s="307"/>
      <c r="AD209" s="307"/>
      <c r="AE209" s="307"/>
      <c r="AF209" s="307"/>
      <c r="AG209" s="307"/>
      <c r="AH209" s="307"/>
    </row>
    <row r="210" spans="1:34" ht="17.399999999999999">
      <c r="A210" s="307"/>
      <c r="B210" s="307"/>
      <c r="C210" s="307"/>
      <c r="D210" s="307"/>
      <c r="E210" s="307"/>
      <c r="F210" s="307"/>
      <c r="G210" s="307"/>
      <c r="H210" s="307"/>
      <c r="I210" s="307"/>
      <c r="J210" s="307"/>
      <c r="K210" s="307"/>
      <c r="L210" s="307"/>
      <c r="M210" s="307"/>
      <c r="N210" s="307"/>
      <c r="O210" s="307"/>
      <c r="P210" s="307"/>
      <c r="Q210" s="307"/>
      <c r="R210" s="307"/>
      <c r="S210" s="307"/>
      <c r="T210" s="307"/>
      <c r="U210" s="307"/>
      <c r="V210" s="307"/>
      <c r="W210" s="307"/>
      <c r="X210" s="307"/>
      <c r="Y210" s="307"/>
      <c r="Z210" s="307"/>
      <c r="AA210" s="307"/>
      <c r="AB210" s="307"/>
      <c r="AC210" s="307"/>
      <c r="AD210" s="307"/>
      <c r="AE210" s="307"/>
      <c r="AF210" s="307"/>
      <c r="AG210" s="307"/>
      <c r="AH210" s="307"/>
    </row>
    <row r="211" spans="1:34" ht="17.399999999999999">
      <c r="A211" s="307"/>
      <c r="B211" s="307"/>
      <c r="C211" s="307"/>
      <c r="D211" s="307"/>
      <c r="E211" s="307"/>
      <c r="F211" s="307"/>
      <c r="G211" s="307"/>
      <c r="H211" s="307"/>
      <c r="I211" s="307"/>
      <c r="J211" s="307"/>
      <c r="K211" s="307"/>
      <c r="L211" s="307"/>
      <c r="M211" s="307"/>
      <c r="N211" s="307"/>
      <c r="O211" s="307"/>
      <c r="P211" s="307"/>
      <c r="Q211" s="307"/>
      <c r="R211" s="307"/>
      <c r="S211" s="307"/>
      <c r="T211" s="307"/>
      <c r="U211" s="307"/>
      <c r="V211" s="307"/>
      <c r="W211" s="307"/>
      <c r="X211" s="307"/>
      <c r="Y211" s="307"/>
      <c r="Z211" s="307"/>
      <c r="AA211" s="307"/>
      <c r="AB211" s="307"/>
      <c r="AC211" s="307"/>
      <c r="AD211" s="307"/>
      <c r="AE211" s="307"/>
      <c r="AF211" s="307"/>
      <c r="AG211" s="307"/>
      <c r="AH211" s="307"/>
    </row>
    <row r="212" spans="1:34" ht="17.399999999999999">
      <c r="A212" s="307"/>
      <c r="B212" s="307"/>
      <c r="C212" s="307"/>
      <c r="D212" s="307"/>
      <c r="E212" s="307"/>
      <c r="F212" s="307"/>
      <c r="G212" s="307"/>
      <c r="H212" s="307"/>
      <c r="I212" s="307"/>
      <c r="J212" s="307"/>
      <c r="K212" s="307"/>
      <c r="L212" s="307"/>
      <c r="M212" s="307"/>
      <c r="N212" s="307"/>
      <c r="O212" s="307"/>
      <c r="P212" s="307"/>
      <c r="Q212" s="307"/>
      <c r="R212" s="307"/>
      <c r="S212" s="307"/>
      <c r="T212" s="307"/>
      <c r="U212" s="307"/>
      <c r="V212" s="307"/>
      <c r="W212" s="307"/>
      <c r="X212" s="307"/>
      <c r="Y212" s="307"/>
      <c r="Z212" s="307"/>
      <c r="AA212" s="307"/>
      <c r="AB212" s="307"/>
      <c r="AC212" s="307"/>
      <c r="AD212" s="307"/>
      <c r="AE212" s="307"/>
      <c r="AF212" s="307"/>
      <c r="AG212" s="307"/>
      <c r="AH212" s="307"/>
    </row>
    <row r="213" spans="1:34" ht="17.399999999999999">
      <c r="A213" s="307"/>
      <c r="B213" s="307"/>
      <c r="C213" s="307"/>
      <c r="D213" s="307"/>
      <c r="E213" s="307"/>
      <c r="F213" s="307"/>
      <c r="G213" s="307"/>
      <c r="H213" s="307"/>
      <c r="I213" s="307"/>
      <c r="J213" s="307"/>
      <c r="K213" s="307"/>
      <c r="L213" s="307"/>
      <c r="M213" s="307"/>
      <c r="N213" s="307"/>
      <c r="O213" s="307"/>
      <c r="P213" s="307"/>
      <c r="Q213" s="307"/>
      <c r="R213" s="307"/>
      <c r="S213" s="307"/>
      <c r="T213" s="307"/>
      <c r="U213" s="307"/>
      <c r="V213" s="307"/>
      <c r="W213" s="307"/>
      <c r="X213" s="307"/>
      <c r="Y213" s="307"/>
      <c r="Z213" s="307"/>
      <c r="AA213" s="307"/>
      <c r="AB213" s="307"/>
      <c r="AC213" s="307"/>
      <c r="AD213" s="307"/>
      <c r="AE213" s="307"/>
      <c r="AF213" s="307"/>
      <c r="AG213" s="307"/>
      <c r="AH213" s="307"/>
    </row>
    <row r="214" spans="1:34" ht="17.399999999999999">
      <c r="A214" s="307"/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07"/>
      <c r="P214" s="307"/>
      <c r="Q214" s="307"/>
      <c r="R214" s="307"/>
      <c r="S214" s="307"/>
      <c r="T214" s="307"/>
      <c r="U214" s="307"/>
      <c r="V214" s="307"/>
      <c r="W214" s="307"/>
      <c r="X214" s="307"/>
      <c r="Y214" s="307"/>
      <c r="Z214" s="307"/>
      <c r="AA214" s="307"/>
      <c r="AB214" s="307"/>
      <c r="AC214" s="307"/>
      <c r="AD214" s="307"/>
      <c r="AE214" s="307"/>
      <c r="AF214" s="307"/>
      <c r="AG214" s="307"/>
      <c r="AH214" s="307"/>
    </row>
    <row r="215" spans="1:34" ht="17.399999999999999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  <c r="M215" s="307"/>
      <c r="N215" s="307"/>
      <c r="O215" s="307"/>
      <c r="P215" s="307"/>
      <c r="Q215" s="307"/>
      <c r="R215" s="307"/>
      <c r="S215" s="307"/>
      <c r="T215" s="307"/>
      <c r="U215" s="307"/>
      <c r="V215" s="307"/>
      <c r="W215" s="307"/>
      <c r="X215" s="307"/>
      <c r="Y215" s="307"/>
      <c r="Z215" s="307"/>
      <c r="AA215" s="307"/>
      <c r="AB215" s="307"/>
      <c r="AC215" s="307"/>
      <c r="AD215" s="307"/>
      <c r="AE215" s="307"/>
      <c r="AF215" s="307"/>
      <c r="AG215" s="307"/>
      <c r="AH215" s="307"/>
    </row>
    <row r="216" spans="1:34" ht="17.399999999999999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  <c r="M216" s="307"/>
      <c r="N216" s="307"/>
      <c r="O216" s="307"/>
      <c r="P216" s="307"/>
      <c r="Q216" s="307"/>
      <c r="R216" s="307"/>
      <c r="S216" s="307"/>
      <c r="T216" s="307"/>
      <c r="U216" s="307"/>
      <c r="V216" s="307"/>
      <c r="W216" s="307"/>
      <c r="X216" s="307"/>
      <c r="Y216" s="307"/>
      <c r="Z216" s="307"/>
      <c r="AA216" s="307"/>
      <c r="AB216" s="307"/>
      <c r="AC216" s="307"/>
      <c r="AD216" s="307"/>
      <c r="AE216" s="307"/>
      <c r="AF216" s="307"/>
      <c r="AG216" s="307"/>
      <c r="AH216" s="307"/>
    </row>
    <row r="217" spans="1:34" ht="17.399999999999999">
      <c r="A217" s="307"/>
      <c r="B217" s="307"/>
      <c r="C217" s="307"/>
      <c r="D217" s="307"/>
      <c r="E217" s="307"/>
      <c r="F217" s="307"/>
      <c r="G217" s="307"/>
      <c r="H217" s="307"/>
      <c r="I217" s="307"/>
      <c r="J217" s="307"/>
      <c r="K217" s="307"/>
      <c r="L217" s="307"/>
      <c r="M217" s="307"/>
      <c r="N217" s="307"/>
      <c r="O217" s="307"/>
      <c r="P217" s="307"/>
      <c r="Q217" s="307"/>
      <c r="R217" s="307"/>
      <c r="S217" s="307"/>
      <c r="T217" s="307"/>
      <c r="U217" s="307"/>
      <c r="V217" s="307"/>
      <c r="W217" s="307"/>
      <c r="X217" s="307"/>
      <c r="Y217" s="307"/>
      <c r="Z217" s="307"/>
      <c r="AA217" s="307"/>
      <c r="AB217" s="307"/>
      <c r="AC217" s="307"/>
      <c r="AD217" s="307"/>
      <c r="AE217" s="307"/>
      <c r="AF217" s="307"/>
      <c r="AG217" s="307"/>
      <c r="AH217" s="307"/>
    </row>
    <row r="218" spans="1:34" ht="17.399999999999999">
      <c r="A218" s="307"/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  <c r="M218" s="307"/>
      <c r="N218" s="307"/>
      <c r="O218" s="307"/>
      <c r="P218" s="307"/>
      <c r="Q218" s="307"/>
      <c r="R218" s="307"/>
      <c r="S218" s="307"/>
      <c r="T218" s="307"/>
      <c r="U218" s="307"/>
      <c r="V218" s="307"/>
      <c r="W218" s="307"/>
      <c r="X218" s="307"/>
      <c r="Y218" s="307"/>
      <c r="Z218" s="307"/>
      <c r="AA218" s="307"/>
      <c r="AB218" s="307"/>
      <c r="AC218" s="307"/>
      <c r="AD218" s="307"/>
      <c r="AE218" s="307"/>
      <c r="AF218" s="307"/>
      <c r="AG218" s="307"/>
      <c r="AH218" s="307"/>
    </row>
    <row r="219" spans="1:34" ht="17.399999999999999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  <c r="Z219" s="307"/>
      <c r="AA219" s="307"/>
      <c r="AB219" s="307"/>
      <c r="AC219" s="307"/>
      <c r="AD219" s="307"/>
      <c r="AE219" s="307"/>
      <c r="AF219" s="307"/>
      <c r="AG219" s="307"/>
      <c r="AH219" s="307"/>
    </row>
    <row r="220" spans="1:34" ht="17.399999999999999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  <c r="M220" s="307"/>
      <c r="N220" s="307"/>
      <c r="O220" s="307"/>
      <c r="P220" s="307"/>
      <c r="Q220" s="307"/>
      <c r="R220" s="307"/>
      <c r="S220" s="307"/>
      <c r="T220" s="307"/>
      <c r="U220" s="307"/>
      <c r="V220" s="307"/>
      <c r="W220" s="307"/>
      <c r="X220" s="307"/>
      <c r="Y220" s="307"/>
      <c r="Z220" s="307"/>
      <c r="AA220" s="307"/>
      <c r="AB220" s="307"/>
      <c r="AC220" s="307"/>
      <c r="AD220" s="307"/>
      <c r="AE220" s="307"/>
      <c r="AF220" s="307"/>
      <c r="AG220" s="307"/>
      <c r="AH220" s="307"/>
    </row>
    <row r="221" spans="1:34" ht="17.399999999999999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  <c r="M221" s="307"/>
      <c r="N221" s="307"/>
      <c r="O221" s="307"/>
      <c r="P221" s="307"/>
      <c r="Q221" s="307"/>
      <c r="R221" s="307"/>
      <c r="S221" s="307"/>
      <c r="T221" s="307"/>
      <c r="U221" s="307"/>
      <c r="V221" s="307"/>
      <c r="W221" s="307"/>
      <c r="X221" s="307"/>
      <c r="Y221" s="307"/>
      <c r="Z221" s="307"/>
      <c r="AA221" s="307"/>
      <c r="AB221" s="307"/>
      <c r="AC221" s="307"/>
      <c r="AD221" s="307"/>
      <c r="AE221" s="307"/>
      <c r="AF221" s="307"/>
      <c r="AG221" s="307"/>
      <c r="AH221" s="307"/>
    </row>
    <row r="222" spans="1:34" ht="17.399999999999999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  <c r="M222" s="307"/>
      <c r="N222" s="307"/>
      <c r="O222" s="307"/>
      <c r="P222" s="307"/>
      <c r="Q222" s="307"/>
      <c r="R222" s="307"/>
      <c r="S222" s="307"/>
      <c r="T222" s="307"/>
      <c r="U222" s="307"/>
      <c r="V222" s="307"/>
      <c r="W222" s="307"/>
      <c r="X222" s="307"/>
      <c r="Y222" s="307"/>
      <c r="Z222" s="307"/>
      <c r="AA222" s="307"/>
      <c r="AB222" s="307"/>
      <c r="AC222" s="307"/>
      <c r="AD222" s="307"/>
      <c r="AE222" s="307"/>
      <c r="AF222" s="307"/>
      <c r="AG222" s="307"/>
      <c r="AH222" s="307"/>
    </row>
    <row r="223" spans="1:34" ht="17.399999999999999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  <c r="M223" s="307"/>
      <c r="N223" s="307"/>
      <c r="O223" s="307"/>
      <c r="P223" s="307"/>
      <c r="Q223" s="307"/>
      <c r="R223" s="307"/>
      <c r="S223" s="307"/>
      <c r="T223" s="307"/>
      <c r="U223" s="307"/>
      <c r="V223" s="307"/>
      <c r="W223" s="307"/>
      <c r="X223" s="307"/>
      <c r="Y223" s="307"/>
      <c r="Z223" s="307"/>
      <c r="AA223" s="307"/>
      <c r="AB223" s="307"/>
      <c r="AC223" s="307"/>
      <c r="AD223" s="307"/>
      <c r="AE223" s="307"/>
      <c r="AF223" s="307"/>
      <c r="AG223" s="307"/>
      <c r="AH223" s="307"/>
    </row>
    <row r="224" spans="1:34" ht="17.399999999999999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  <c r="M224" s="307"/>
      <c r="N224" s="307"/>
      <c r="O224" s="307"/>
      <c r="P224" s="307"/>
      <c r="Q224" s="307"/>
      <c r="R224" s="307"/>
      <c r="S224" s="307"/>
      <c r="T224" s="307"/>
      <c r="U224" s="307"/>
      <c r="V224" s="307"/>
      <c r="W224" s="307"/>
      <c r="X224" s="307"/>
      <c r="Y224" s="307"/>
      <c r="Z224" s="307"/>
      <c r="AA224" s="307"/>
      <c r="AB224" s="307"/>
      <c r="AC224" s="307"/>
      <c r="AD224" s="307"/>
      <c r="AE224" s="307"/>
      <c r="AF224" s="307"/>
      <c r="AG224" s="307"/>
      <c r="AH224" s="307"/>
    </row>
    <row r="225" spans="1:34" ht="17.399999999999999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7"/>
      <c r="V225" s="307"/>
      <c r="W225" s="307"/>
      <c r="X225" s="307"/>
      <c r="Y225" s="307"/>
      <c r="Z225" s="307"/>
      <c r="AA225" s="307"/>
      <c r="AB225" s="307"/>
      <c r="AC225" s="307"/>
      <c r="AD225" s="307"/>
      <c r="AE225" s="307"/>
      <c r="AF225" s="307"/>
      <c r="AG225" s="307"/>
      <c r="AH225" s="307"/>
    </row>
    <row r="226" spans="1:34" ht="17.399999999999999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  <c r="M226" s="307"/>
      <c r="N226" s="307"/>
      <c r="O226" s="307"/>
      <c r="P226" s="307"/>
      <c r="Q226" s="307"/>
      <c r="R226" s="307"/>
      <c r="S226" s="307"/>
      <c r="T226" s="307"/>
      <c r="U226" s="307"/>
      <c r="V226" s="307"/>
      <c r="W226" s="307"/>
      <c r="X226" s="307"/>
      <c r="Y226" s="307"/>
      <c r="Z226" s="307"/>
      <c r="AA226" s="307"/>
      <c r="AB226" s="307"/>
      <c r="AC226" s="307"/>
      <c r="AD226" s="307"/>
      <c r="AE226" s="307"/>
      <c r="AF226" s="307"/>
      <c r="AG226" s="307"/>
      <c r="AH226" s="307"/>
    </row>
    <row r="227" spans="1:34" ht="17.399999999999999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  <c r="M227" s="307"/>
      <c r="N227" s="307"/>
      <c r="O227" s="307"/>
      <c r="P227" s="307"/>
      <c r="Q227" s="307"/>
      <c r="R227" s="307"/>
      <c r="S227" s="307"/>
      <c r="T227" s="307"/>
      <c r="U227" s="307"/>
      <c r="V227" s="307"/>
      <c r="W227" s="307"/>
      <c r="X227" s="307"/>
      <c r="Y227" s="307"/>
      <c r="Z227" s="307"/>
      <c r="AA227" s="307"/>
      <c r="AB227" s="307"/>
      <c r="AC227" s="307"/>
      <c r="AD227" s="307"/>
      <c r="AE227" s="307"/>
      <c r="AF227" s="307"/>
      <c r="AG227" s="307"/>
      <c r="AH227" s="307"/>
    </row>
    <row r="228" spans="1:34" ht="17.399999999999999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  <c r="M228" s="307"/>
      <c r="N228" s="307"/>
      <c r="O228" s="307"/>
      <c r="P228" s="307"/>
      <c r="Q228" s="307"/>
      <c r="R228" s="307"/>
      <c r="S228" s="307"/>
      <c r="T228" s="307"/>
      <c r="U228" s="307"/>
      <c r="V228" s="307"/>
      <c r="W228" s="307"/>
      <c r="X228" s="307"/>
      <c r="Y228" s="307"/>
      <c r="Z228" s="307"/>
      <c r="AA228" s="307"/>
      <c r="AB228" s="307"/>
      <c r="AC228" s="307"/>
      <c r="AD228" s="307"/>
      <c r="AE228" s="307"/>
      <c r="AF228" s="307"/>
      <c r="AG228" s="307"/>
      <c r="AH228" s="307"/>
    </row>
    <row r="229" spans="1:34" ht="17.399999999999999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  <c r="M229" s="307"/>
      <c r="N229" s="307"/>
      <c r="O229" s="307"/>
      <c r="P229" s="307"/>
      <c r="Q229" s="307"/>
      <c r="R229" s="307"/>
      <c r="S229" s="307"/>
      <c r="T229" s="307"/>
      <c r="U229" s="307"/>
      <c r="V229" s="307"/>
      <c r="W229" s="307"/>
      <c r="X229" s="307"/>
      <c r="Y229" s="307"/>
      <c r="Z229" s="307"/>
      <c r="AA229" s="307"/>
      <c r="AB229" s="307"/>
      <c r="AC229" s="307"/>
      <c r="AD229" s="307"/>
      <c r="AE229" s="307"/>
      <c r="AF229" s="307"/>
      <c r="AG229" s="307"/>
      <c r="AH229" s="307"/>
    </row>
    <row r="230" spans="1:34" ht="17.399999999999999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  <c r="M230" s="307"/>
      <c r="N230" s="307"/>
      <c r="O230" s="307"/>
      <c r="P230" s="307"/>
      <c r="Q230" s="307"/>
      <c r="R230" s="307"/>
      <c r="S230" s="307"/>
      <c r="T230" s="307"/>
      <c r="U230" s="307"/>
      <c r="V230" s="307"/>
      <c r="W230" s="307"/>
      <c r="X230" s="307"/>
      <c r="Y230" s="307"/>
      <c r="Z230" s="307"/>
      <c r="AA230" s="307"/>
      <c r="AB230" s="307"/>
      <c r="AC230" s="307"/>
      <c r="AD230" s="307"/>
      <c r="AE230" s="307"/>
      <c r="AF230" s="307"/>
      <c r="AG230" s="307"/>
      <c r="AH230" s="307"/>
    </row>
    <row r="231" spans="1:34" ht="17.399999999999999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  <c r="Z231" s="307"/>
      <c r="AA231" s="307"/>
      <c r="AB231" s="307"/>
      <c r="AC231" s="307"/>
      <c r="AD231" s="307"/>
      <c r="AE231" s="307"/>
      <c r="AF231" s="307"/>
      <c r="AG231" s="307"/>
      <c r="AH231" s="307"/>
    </row>
    <row r="232" spans="1:34" ht="17.399999999999999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  <c r="M232" s="307"/>
      <c r="N232" s="307"/>
      <c r="O232" s="307"/>
      <c r="P232" s="307"/>
      <c r="Q232" s="307"/>
      <c r="R232" s="307"/>
      <c r="S232" s="307"/>
      <c r="T232" s="307"/>
      <c r="U232" s="307"/>
      <c r="V232" s="307"/>
      <c r="W232" s="307"/>
      <c r="X232" s="307"/>
      <c r="Y232" s="307"/>
      <c r="Z232" s="307"/>
      <c r="AA232" s="307"/>
      <c r="AB232" s="307"/>
      <c r="AC232" s="307"/>
      <c r="AD232" s="307"/>
      <c r="AE232" s="307"/>
      <c r="AF232" s="307"/>
      <c r="AG232" s="307"/>
      <c r="AH232" s="307"/>
    </row>
    <row r="233" spans="1:34" ht="17.399999999999999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  <c r="M233" s="307"/>
      <c r="N233" s="307"/>
      <c r="O233" s="307"/>
      <c r="P233" s="307"/>
      <c r="Q233" s="307"/>
      <c r="R233" s="307"/>
      <c r="S233" s="307"/>
      <c r="T233" s="307"/>
      <c r="U233" s="307"/>
      <c r="V233" s="307"/>
      <c r="W233" s="307"/>
      <c r="X233" s="307"/>
      <c r="Y233" s="307"/>
      <c r="Z233" s="307"/>
      <c r="AA233" s="307"/>
      <c r="AB233" s="307"/>
      <c r="AC233" s="307"/>
      <c r="AD233" s="307"/>
      <c r="AE233" s="307"/>
      <c r="AF233" s="307"/>
      <c r="AG233" s="307"/>
      <c r="AH233" s="307"/>
    </row>
    <row r="234" spans="1:34" ht="17.399999999999999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  <c r="M234" s="307"/>
      <c r="N234" s="307"/>
      <c r="O234" s="307"/>
      <c r="P234" s="307"/>
      <c r="Q234" s="307"/>
      <c r="R234" s="307"/>
      <c r="S234" s="307"/>
      <c r="T234" s="307"/>
      <c r="U234" s="307"/>
      <c r="V234" s="307"/>
      <c r="W234" s="307"/>
      <c r="X234" s="307"/>
      <c r="Y234" s="307"/>
      <c r="Z234" s="307"/>
      <c r="AA234" s="307"/>
      <c r="AB234" s="307"/>
      <c r="AC234" s="307"/>
      <c r="AD234" s="307"/>
      <c r="AE234" s="307"/>
      <c r="AF234" s="307"/>
      <c r="AG234" s="307"/>
      <c r="AH234" s="307"/>
    </row>
    <row r="235" spans="1:34" ht="17.399999999999999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  <c r="U235" s="307"/>
      <c r="V235" s="307"/>
      <c r="W235" s="307"/>
      <c r="X235" s="307"/>
      <c r="Y235" s="307"/>
      <c r="Z235" s="307"/>
      <c r="AA235" s="307"/>
      <c r="AB235" s="307"/>
      <c r="AC235" s="307"/>
      <c r="AD235" s="307"/>
      <c r="AE235" s="307"/>
      <c r="AF235" s="307"/>
      <c r="AG235" s="307"/>
      <c r="AH235" s="307"/>
    </row>
    <row r="236" spans="1:34" ht="17.399999999999999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  <c r="M236" s="307"/>
      <c r="N236" s="307"/>
      <c r="O236" s="307"/>
      <c r="P236" s="307"/>
      <c r="Q236" s="307"/>
      <c r="R236" s="307"/>
      <c r="S236" s="307"/>
      <c r="T236" s="307"/>
      <c r="U236" s="307"/>
      <c r="V236" s="307"/>
      <c r="W236" s="307"/>
      <c r="X236" s="307"/>
      <c r="Y236" s="307"/>
      <c r="Z236" s="307"/>
      <c r="AA236" s="307"/>
      <c r="AB236" s="307"/>
      <c r="AC236" s="307"/>
      <c r="AD236" s="307"/>
      <c r="AE236" s="307"/>
      <c r="AF236" s="307"/>
      <c r="AG236" s="307"/>
      <c r="AH236" s="307"/>
    </row>
    <row r="237" spans="1:34" ht="17.399999999999999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  <c r="M237" s="307"/>
      <c r="N237" s="307"/>
      <c r="O237" s="307"/>
      <c r="P237" s="307"/>
      <c r="Q237" s="307"/>
      <c r="R237" s="307"/>
      <c r="S237" s="307"/>
      <c r="T237" s="307"/>
      <c r="U237" s="307"/>
      <c r="V237" s="307"/>
      <c r="W237" s="307"/>
      <c r="X237" s="307"/>
      <c r="Y237" s="307"/>
      <c r="Z237" s="307"/>
      <c r="AA237" s="307"/>
      <c r="AB237" s="307"/>
      <c r="AC237" s="307"/>
      <c r="AD237" s="307"/>
      <c r="AE237" s="307"/>
      <c r="AF237" s="307"/>
      <c r="AG237" s="307"/>
      <c r="AH237" s="307"/>
    </row>
    <row r="238" spans="1:34" ht="17.399999999999999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  <c r="M238" s="307"/>
      <c r="N238" s="307"/>
      <c r="O238" s="307"/>
      <c r="P238" s="307"/>
      <c r="Q238" s="307"/>
      <c r="R238" s="307"/>
      <c r="S238" s="307"/>
      <c r="T238" s="307"/>
      <c r="U238" s="307"/>
      <c r="V238" s="307"/>
      <c r="W238" s="307"/>
      <c r="X238" s="307"/>
      <c r="Y238" s="307"/>
      <c r="Z238" s="307"/>
      <c r="AA238" s="307"/>
      <c r="AB238" s="307"/>
      <c r="AC238" s="307"/>
      <c r="AD238" s="307"/>
      <c r="AE238" s="307"/>
      <c r="AF238" s="307"/>
      <c r="AG238" s="307"/>
      <c r="AH238" s="307"/>
    </row>
    <row r="239" spans="1:34" ht="17.399999999999999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  <c r="M239" s="307"/>
      <c r="N239" s="307"/>
      <c r="O239" s="307"/>
      <c r="P239" s="307"/>
      <c r="Q239" s="307"/>
      <c r="R239" s="307"/>
      <c r="S239" s="307"/>
      <c r="T239" s="307"/>
      <c r="U239" s="307"/>
      <c r="V239" s="307"/>
      <c r="W239" s="307"/>
      <c r="X239" s="307"/>
      <c r="Y239" s="307"/>
      <c r="Z239" s="307"/>
      <c r="AA239" s="307"/>
      <c r="AB239" s="307"/>
      <c r="AC239" s="307"/>
      <c r="AD239" s="307"/>
      <c r="AE239" s="307"/>
      <c r="AF239" s="307"/>
      <c r="AG239" s="307"/>
      <c r="AH239" s="307"/>
    </row>
    <row r="240" spans="1:34" ht="17.399999999999999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  <c r="M240" s="307"/>
      <c r="N240" s="307"/>
      <c r="O240" s="307"/>
      <c r="P240" s="307"/>
      <c r="Q240" s="307"/>
      <c r="R240" s="307"/>
      <c r="S240" s="307"/>
      <c r="T240" s="307"/>
      <c r="U240" s="307"/>
      <c r="V240" s="307"/>
      <c r="W240" s="307"/>
      <c r="X240" s="307"/>
      <c r="Y240" s="307"/>
      <c r="Z240" s="307"/>
      <c r="AA240" s="307"/>
      <c r="AB240" s="307"/>
      <c r="AC240" s="307"/>
      <c r="AD240" s="307"/>
      <c r="AE240" s="307"/>
      <c r="AF240" s="307"/>
      <c r="AG240" s="307"/>
      <c r="AH240" s="307"/>
    </row>
    <row r="241" spans="1:34" ht="17.399999999999999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7"/>
      <c r="V241" s="307"/>
      <c r="W241" s="307"/>
      <c r="X241" s="307"/>
      <c r="Y241" s="307"/>
      <c r="Z241" s="307"/>
      <c r="AA241" s="307"/>
      <c r="AB241" s="307"/>
      <c r="AC241" s="307"/>
      <c r="AD241" s="307"/>
      <c r="AE241" s="307"/>
      <c r="AF241" s="307"/>
      <c r="AG241" s="307"/>
      <c r="AH241" s="307"/>
    </row>
    <row r="242" spans="1:34" ht="17.399999999999999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  <c r="M242" s="307"/>
      <c r="N242" s="307"/>
      <c r="O242" s="307"/>
      <c r="P242" s="307"/>
      <c r="Q242" s="307"/>
      <c r="R242" s="307"/>
      <c r="S242" s="307"/>
      <c r="T242" s="307"/>
      <c r="U242" s="307"/>
      <c r="V242" s="307"/>
      <c r="W242" s="307"/>
      <c r="X242" s="307"/>
      <c r="Y242" s="307"/>
      <c r="Z242" s="307"/>
      <c r="AA242" s="307"/>
      <c r="AB242" s="307"/>
      <c r="AC242" s="307"/>
      <c r="AD242" s="307"/>
      <c r="AE242" s="307"/>
      <c r="AF242" s="307"/>
      <c r="AG242" s="307"/>
      <c r="AH242" s="307"/>
    </row>
    <row r="243" spans="1:34" ht="17.399999999999999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  <c r="M243" s="307"/>
      <c r="N243" s="307"/>
      <c r="O243" s="307"/>
      <c r="P243" s="307"/>
      <c r="Q243" s="307"/>
      <c r="R243" s="307"/>
      <c r="S243" s="307"/>
      <c r="T243" s="307"/>
      <c r="U243" s="307"/>
      <c r="V243" s="307"/>
      <c r="W243" s="307"/>
      <c r="X243" s="307"/>
      <c r="Y243" s="307"/>
      <c r="Z243" s="307"/>
      <c r="AA243" s="307"/>
      <c r="AB243" s="307"/>
      <c r="AC243" s="307"/>
      <c r="AD243" s="307"/>
      <c r="AE243" s="307"/>
      <c r="AF243" s="307"/>
      <c r="AG243" s="307"/>
      <c r="AH243" s="307"/>
    </row>
    <row r="244" spans="1:34" ht="17.399999999999999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  <c r="M244" s="307"/>
      <c r="N244" s="307"/>
      <c r="O244" s="307"/>
      <c r="P244" s="307"/>
      <c r="Q244" s="307"/>
      <c r="R244" s="307"/>
      <c r="S244" s="307"/>
      <c r="T244" s="307"/>
      <c r="U244" s="307"/>
      <c r="V244" s="307"/>
      <c r="W244" s="307"/>
      <c r="X244" s="307"/>
      <c r="Y244" s="307"/>
      <c r="Z244" s="307"/>
      <c r="AA244" s="307"/>
      <c r="AB244" s="307"/>
      <c r="AC244" s="307"/>
      <c r="AD244" s="307"/>
      <c r="AE244" s="307"/>
      <c r="AF244" s="307"/>
      <c r="AG244" s="307"/>
      <c r="AH244" s="307"/>
    </row>
    <row r="245" spans="1:34" ht="17.399999999999999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  <c r="O245" s="307"/>
      <c r="P245" s="307"/>
      <c r="Q245" s="307"/>
      <c r="R245" s="307"/>
      <c r="S245" s="307"/>
      <c r="T245" s="307"/>
      <c r="U245" s="307"/>
      <c r="V245" s="307"/>
      <c r="W245" s="307"/>
      <c r="X245" s="307"/>
      <c r="Y245" s="307"/>
      <c r="Z245" s="307"/>
      <c r="AA245" s="307"/>
      <c r="AB245" s="307"/>
      <c r="AC245" s="307"/>
      <c r="AD245" s="307"/>
      <c r="AE245" s="307"/>
      <c r="AF245" s="307"/>
      <c r="AG245" s="307"/>
      <c r="AH245" s="307"/>
    </row>
    <row r="246" spans="1:34" ht="17.399999999999999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  <c r="M246" s="307"/>
      <c r="N246" s="307"/>
      <c r="O246" s="307"/>
      <c r="P246" s="307"/>
      <c r="Q246" s="307"/>
      <c r="R246" s="307"/>
      <c r="S246" s="307"/>
      <c r="T246" s="307"/>
      <c r="U246" s="307"/>
      <c r="V246" s="307"/>
      <c r="W246" s="307"/>
      <c r="X246" s="307"/>
      <c r="Y246" s="307"/>
      <c r="Z246" s="307"/>
      <c r="AA246" s="307"/>
      <c r="AB246" s="307"/>
      <c r="AC246" s="307"/>
      <c r="AD246" s="307"/>
      <c r="AE246" s="307"/>
      <c r="AF246" s="307"/>
      <c r="AG246" s="307"/>
      <c r="AH246" s="307"/>
    </row>
    <row r="247" spans="1:34" ht="17.399999999999999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  <c r="M247" s="307"/>
      <c r="N247" s="307"/>
      <c r="O247" s="307"/>
      <c r="P247" s="307"/>
      <c r="Q247" s="307"/>
      <c r="R247" s="307"/>
      <c r="S247" s="307"/>
      <c r="T247" s="307"/>
      <c r="U247" s="307"/>
      <c r="V247" s="307"/>
      <c r="W247" s="307"/>
      <c r="X247" s="307"/>
      <c r="Y247" s="307"/>
      <c r="Z247" s="307"/>
      <c r="AA247" s="307"/>
      <c r="AB247" s="307"/>
      <c r="AC247" s="307"/>
      <c r="AD247" s="307"/>
      <c r="AE247" s="307"/>
      <c r="AF247" s="307"/>
      <c r="AG247" s="307"/>
      <c r="AH247" s="307"/>
    </row>
    <row r="248" spans="1:34" ht="17.399999999999999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  <c r="M248" s="307"/>
      <c r="N248" s="307"/>
      <c r="O248" s="307"/>
      <c r="P248" s="307"/>
      <c r="Q248" s="307"/>
      <c r="R248" s="307"/>
      <c r="S248" s="307"/>
      <c r="T248" s="307"/>
      <c r="U248" s="307"/>
      <c r="V248" s="307"/>
      <c r="W248" s="307"/>
      <c r="X248" s="307"/>
      <c r="Y248" s="307"/>
      <c r="Z248" s="307"/>
      <c r="AA248" s="307"/>
      <c r="AB248" s="307"/>
      <c r="AC248" s="307"/>
      <c r="AD248" s="307"/>
      <c r="AE248" s="307"/>
      <c r="AF248" s="307"/>
      <c r="AG248" s="307"/>
      <c r="AH248" s="307"/>
    </row>
    <row r="249" spans="1:34" ht="17.399999999999999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  <c r="M249" s="307"/>
      <c r="N249" s="307"/>
      <c r="O249" s="307"/>
      <c r="P249" s="307"/>
      <c r="Q249" s="307"/>
      <c r="R249" s="307"/>
      <c r="S249" s="307"/>
      <c r="T249" s="307"/>
      <c r="U249" s="307"/>
      <c r="V249" s="307"/>
      <c r="W249" s="307"/>
      <c r="X249" s="307"/>
      <c r="Y249" s="307"/>
      <c r="Z249" s="307"/>
      <c r="AA249" s="307"/>
      <c r="AB249" s="307"/>
      <c r="AC249" s="307"/>
      <c r="AD249" s="307"/>
      <c r="AE249" s="307"/>
      <c r="AF249" s="307"/>
      <c r="AG249" s="307"/>
      <c r="AH249" s="307"/>
    </row>
    <row r="250" spans="1:34" ht="17.399999999999999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  <c r="M250" s="307"/>
      <c r="N250" s="307"/>
      <c r="O250" s="307"/>
      <c r="P250" s="307"/>
      <c r="Q250" s="307"/>
      <c r="R250" s="307"/>
      <c r="S250" s="307"/>
      <c r="T250" s="307"/>
      <c r="U250" s="307"/>
      <c r="V250" s="307"/>
      <c r="W250" s="307"/>
      <c r="X250" s="307"/>
      <c r="Y250" s="307"/>
      <c r="Z250" s="307"/>
      <c r="AA250" s="307"/>
      <c r="AB250" s="307"/>
      <c r="AC250" s="307"/>
      <c r="AD250" s="307"/>
      <c r="AE250" s="307"/>
      <c r="AF250" s="307"/>
      <c r="AG250" s="307"/>
      <c r="AH250" s="307"/>
    </row>
    <row r="251" spans="1:34" ht="17.399999999999999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07"/>
      <c r="P251" s="307"/>
      <c r="Q251" s="307"/>
      <c r="R251" s="307"/>
      <c r="S251" s="307"/>
      <c r="T251" s="307"/>
      <c r="U251" s="307"/>
      <c r="V251" s="307"/>
      <c r="W251" s="307"/>
      <c r="X251" s="307"/>
      <c r="Y251" s="307"/>
      <c r="Z251" s="307"/>
      <c r="AA251" s="307"/>
      <c r="AB251" s="307"/>
      <c r="AC251" s="307"/>
      <c r="AD251" s="307"/>
      <c r="AE251" s="307"/>
      <c r="AF251" s="307"/>
      <c r="AG251" s="307"/>
      <c r="AH251" s="307"/>
    </row>
    <row r="252" spans="1:34" ht="17.399999999999999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  <c r="M252" s="307"/>
      <c r="N252" s="307"/>
      <c r="O252" s="307"/>
      <c r="P252" s="307"/>
      <c r="Q252" s="307"/>
      <c r="R252" s="307"/>
      <c r="S252" s="307"/>
      <c r="T252" s="307"/>
      <c r="U252" s="307"/>
      <c r="V252" s="307"/>
      <c r="W252" s="307"/>
      <c r="X252" s="307"/>
      <c r="Y252" s="307"/>
      <c r="Z252" s="307"/>
      <c r="AA252" s="307"/>
      <c r="AB252" s="307"/>
      <c r="AC252" s="307"/>
      <c r="AD252" s="307"/>
      <c r="AE252" s="307"/>
      <c r="AF252" s="307"/>
      <c r="AG252" s="307"/>
      <c r="AH252" s="307"/>
    </row>
    <row r="253" spans="1:34" ht="17.399999999999999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  <c r="M253" s="307"/>
      <c r="N253" s="307"/>
      <c r="O253" s="307"/>
      <c r="P253" s="307"/>
      <c r="Q253" s="307"/>
      <c r="R253" s="307"/>
      <c r="S253" s="307"/>
      <c r="T253" s="307"/>
      <c r="U253" s="307"/>
      <c r="V253" s="307"/>
      <c r="W253" s="307"/>
      <c r="X253" s="307"/>
      <c r="Y253" s="307"/>
      <c r="Z253" s="307"/>
      <c r="AA253" s="307"/>
      <c r="AB253" s="307"/>
      <c r="AC253" s="307"/>
      <c r="AD253" s="307"/>
      <c r="AE253" s="307"/>
      <c r="AF253" s="307"/>
      <c r="AG253" s="307"/>
      <c r="AH253" s="307"/>
    </row>
    <row r="254" spans="1:34" ht="17.399999999999999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  <c r="M254" s="307"/>
      <c r="N254" s="307"/>
      <c r="O254" s="307"/>
      <c r="P254" s="307"/>
      <c r="Q254" s="307"/>
      <c r="R254" s="307"/>
      <c r="S254" s="307"/>
      <c r="T254" s="307"/>
      <c r="U254" s="307"/>
      <c r="V254" s="307"/>
      <c r="W254" s="307"/>
      <c r="X254" s="307"/>
      <c r="Y254" s="307"/>
      <c r="Z254" s="307"/>
      <c r="AA254" s="307"/>
      <c r="AB254" s="307"/>
      <c r="AC254" s="307"/>
      <c r="AD254" s="307"/>
      <c r="AE254" s="307"/>
      <c r="AF254" s="307"/>
      <c r="AG254" s="307"/>
      <c r="AH254" s="307"/>
    </row>
    <row r="255" spans="1:34" ht="17.399999999999999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  <c r="M255" s="307"/>
      <c r="N255" s="307"/>
      <c r="O255" s="307"/>
      <c r="P255" s="307"/>
      <c r="Q255" s="307"/>
      <c r="R255" s="307"/>
      <c r="S255" s="307"/>
      <c r="T255" s="307"/>
      <c r="U255" s="307"/>
      <c r="V255" s="307"/>
      <c r="W255" s="307"/>
      <c r="X255" s="307"/>
      <c r="Y255" s="307"/>
      <c r="Z255" s="307"/>
      <c r="AA255" s="307"/>
      <c r="AB255" s="307"/>
      <c r="AC255" s="307"/>
      <c r="AD255" s="307"/>
      <c r="AE255" s="307"/>
      <c r="AF255" s="307"/>
      <c r="AG255" s="307"/>
      <c r="AH255" s="307"/>
    </row>
    <row r="256" spans="1:34" ht="17.399999999999999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  <c r="M256" s="307"/>
      <c r="N256" s="307"/>
      <c r="O256" s="307"/>
      <c r="P256" s="307"/>
      <c r="Q256" s="307"/>
      <c r="R256" s="307"/>
      <c r="S256" s="307"/>
      <c r="T256" s="307"/>
      <c r="U256" s="307"/>
      <c r="V256" s="307"/>
      <c r="W256" s="307"/>
      <c r="X256" s="307"/>
      <c r="Y256" s="307"/>
      <c r="Z256" s="307"/>
      <c r="AA256" s="307"/>
      <c r="AB256" s="307"/>
      <c r="AC256" s="307"/>
      <c r="AD256" s="307"/>
      <c r="AE256" s="307"/>
      <c r="AF256" s="307"/>
      <c r="AG256" s="307"/>
      <c r="AH256" s="307"/>
    </row>
    <row r="257" spans="1:34" ht="17.399999999999999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  <c r="M257" s="307"/>
      <c r="N257" s="307"/>
      <c r="O257" s="307"/>
      <c r="P257" s="307"/>
      <c r="Q257" s="307"/>
      <c r="R257" s="307"/>
      <c r="S257" s="307"/>
      <c r="T257" s="307"/>
      <c r="U257" s="307"/>
      <c r="V257" s="307"/>
      <c r="W257" s="307"/>
      <c r="X257" s="307"/>
      <c r="Y257" s="307"/>
      <c r="Z257" s="307"/>
      <c r="AA257" s="307"/>
      <c r="AB257" s="307"/>
      <c r="AC257" s="307"/>
      <c r="AD257" s="307"/>
      <c r="AE257" s="307"/>
      <c r="AF257" s="307"/>
      <c r="AG257" s="307"/>
      <c r="AH257" s="307"/>
    </row>
    <row r="258" spans="1:34" ht="17.399999999999999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  <c r="M258" s="307"/>
      <c r="N258" s="307"/>
      <c r="O258" s="307"/>
      <c r="P258" s="307"/>
      <c r="Q258" s="307"/>
      <c r="R258" s="307"/>
      <c r="S258" s="307"/>
      <c r="T258" s="307"/>
      <c r="U258" s="307"/>
      <c r="V258" s="307"/>
      <c r="W258" s="307"/>
      <c r="X258" s="307"/>
      <c r="Y258" s="307"/>
      <c r="Z258" s="307"/>
      <c r="AA258" s="307"/>
      <c r="AB258" s="307"/>
      <c r="AC258" s="307"/>
      <c r="AD258" s="307"/>
      <c r="AE258" s="307"/>
      <c r="AF258" s="307"/>
      <c r="AG258" s="307"/>
      <c r="AH258" s="307"/>
    </row>
    <row r="259" spans="1:34" ht="17.399999999999999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  <c r="M259" s="307"/>
      <c r="N259" s="307"/>
      <c r="O259" s="307"/>
      <c r="P259" s="307"/>
      <c r="Q259" s="307"/>
      <c r="R259" s="307"/>
      <c r="S259" s="307"/>
      <c r="T259" s="307"/>
      <c r="U259" s="307"/>
      <c r="V259" s="307"/>
      <c r="W259" s="307"/>
      <c r="X259" s="307"/>
      <c r="Y259" s="307"/>
      <c r="Z259" s="307"/>
      <c r="AA259" s="307"/>
      <c r="AB259" s="307"/>
      <c r="AC259" s="307"/>
      <c r="AD259" s="307"/>
      <c r="AE259" s="307"/>
      <c r="AF259" s="307"/>
      <c r="AG259" s="307"/>
      <c r="AH259" s="307"/>
    </row>
    <row r="260" spans="1:34" ht="17.399999999999999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  <c r="M260" s="307"/>
      <c r="N260" s="307"/>
      <c r="O260" s="307"/>
      <c r="P260" s="307"/>
      <c r="Q260" s="307"/>
      <c r="R260" s="307"/>
      <c r="S260" s="307"/>
      <c r="T260" s="307"/>
      <c r="U260" s="307"/>
      <c r="V260" s="307"/>
      <c r="W260" s="307"/>
      <c r="X260" s="307"/>
      <c r="Y260" s="307"/>
      <c r="Z260" s="307"/>
      <c r="AA260" s="307"/>
      <c r="AB260" s="307"/>
      <c r="AC260" s="307"/>
      <c r="AD260" s="307"/>
      <c r="AE260" s="307"/>
      <c r="AF260" s="307"/>
      <c r="AG260" s="307"/>
      <c r="AH260" s="307"/>
    </row>
    <row r="261" spans="1:34" ht="17.399999999999999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  <c r="M261" s="307"/>
      <c r="N261" s="307"/>
      <c r="O261" s="307"/>
      <c r="P261" s="307"/>
      <c r="Q261" s="307"/>
      <c r="R261" s="307"/>
      <c r="S261" s="307"/>
      <c r="T261" s="307"/>
      <c r="U261" s="307"/>
      <c r="V261" s="307"/>
      <c r="W261" s="307"/>
      <c r="X261" s="307"/>
      <c r="Y261" s="307"/>
      <c r="Z261" s="307"/>
      <c r="AA261" s="307"/>
      <c r="AB261" s="307"/>
      <c r="AC261" s="307"/>
      <c r="AD261" s="307"/>
      <c r="AE261" s="307"/>
      <c r="AF261" s="307"/>
      <c r="AG261" s="307"/>
      <c r="AH261" s="307"/>
    </row>
    <row r="262" spans="1:34" ht="17.399999999999999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  <c r="M262" s="307"/>
      <c r="N262" s="307"/>
      <c r="O262" s="307"/>
      <c r="P262" s="307"/>
      <c r="Q262" s="307"/>
      <c r="R262" s="307"/>
      <c r="S262" s="307"/>
      <c r="T262" s="307"/>
      <c r="U262" s="307"/>
      <c r="V262" s="307"/>
      <c r="W262" s="307"/>
      <c r="X262" s="307"/>
      <c r="Y262" s="307"/>
      <c r="Z262" s="307"/>
      <c r="AA262" s="307"/>
      <c r="AB262" s="307"/>
      <c r="AC262" s="307"/>
      <c r="AD262" s="307"/>
      <c r="AE262" s="307"/>
      <c r="AF262" s="307"/>
      <c r="AG262" s="307"/>
      <c r="AH262" s="307"/>
    </row>
    <row r="263" spans="1:34" ht="17.399999999999999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  <c r="M263" s="307"/>
      <c r="N263" s="307"/>
      <c r="O263" s="307"/>
      <c r="P263" s="307"/>
      <c r="Q263" s="307"/>
      <c r="R263" s="307"/>
      <c r="S263" s="307"/>
      <c r="T263" s="307"/>
      <c r="U263" s="307"/>
      <c r="V263" s="307"/>
      <c r="W263" s="307"/>
      <c r="X263" s="307"/>
      <c r="Y263" s="307"/>
      <c r="Z263" s="307"/>
      <c r="AA263" s="307"/>
      <c r="AB263" s="307"/>
      <c r="AC263" s="307"/>
      <c r="AD263" s="307"/>
      <c r="AE263" s="307"/>
      <c r="AF263" s="307"/>
      <c r="AG263" s="307"/>
      <c r="AH263" s="307"/>
    </row>
    <row r="264" spans="1:34" ht="17.399999999999999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  <c r="M264" s="307"/>
      <c r="N264" s="307"/>
      <c r="O264" s="307"/>
      <c r="P264" s="307"/>
      <c r="Q264" s="307"/>
      <c r="R264" s="307"/>
      <c r="S264" s="307"/>
      <c r="T264" s="307"/>
      <c r="U264" s="307"/>
      <c r="V264" s="307"/>
      <c r="W264" s="307"/>
      <c r="X264" s="307"/>
      <c r="Y264" s="307"/>
      <c r="Z264" s="307"/>
      <c r="AA264" s="307"/>
      <c r="AB264" s="307"/>
      <c r="AC264" s="307"/>
      <c r="AD264" s="307"/>
      <c r="AE264" s="307"/>
      <c r="AF264" s="307"/>
      <c r="AG264" s="307"/>
      <c r="AH264" s="307"/>
    </row>
    <row r="265" spans="1:34" ht="17.399999999999999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  <c r="M265" s="307"/>
      <c r="N265" s="307"/>
      <c r="O265" s="307"/>
      <c r="P265" s="307"/>
      <c r="Q265" s="307"/>
      <c r="R265" s="307"/>
      <c r="S265" s="307"/>
      <c r="T265" s="307"/>
      <c r="U265" s="307"/>
      <c r="V265" s="307"/>
      <c r="W265" s="307"/>
      <c r="X265" s="307"/>
      <c r="Y265" s="307"/>
      <c r="Z265" s="307"/>
      <c r="AA265" s="307"/>
      <c r="AB265" s="307"/>
      <c r="AC265" s="307"/>
      <c r="AD265" s="307"/>
      <c r="AE265" s="307"/>
      <c r="AF265" s="307"/>
      <c r="AG265" s="307"/>
      <c r="AH265" s="307"/>
    </row>
    <row r="266" spans="1:34" ht="17.399999999999999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  <c r="M266" s="307"/>
      <c r="N266" s="307"/>
      <c r="O266" s="307"/>
      <c r="P266" s="307"/>
      <c r="Q266" s="307"/>
      <c r="R266" s="307"/>
      <c r="S266" s="307"/>
      <c r="T266" s="307"/>
      <c r="U266" s="307"/>
      <c r="V266" s="307"/>
      <c r="W266" s="307"/>
      <c r="X266" s="307"/>
      <c r="Y266" s="307"/>
      <c r="Z266" s="307"/>
      <c r="AA266" s="307"/>
      <c r="AB266" s="307"/>
      <c r="AC266" s="307"/>
      <c r="AD266" s="307"/>
      <c r="AE266" s="307"/>
      <c r="AF266" s="307"/>
      <c r="AG266" s="307"/>
      <c r="AH266" s="307"/>
    </row>
    <row r="267" spans="1:34" ht="17.399999999999999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  <c r="M267" s="307"/>
      <c r="N267" s="307"/>
      <c r="O267" s="307"/>
      <c r="P267" s="307"/>
      <c r="Q267" s="307"/>
      <c r="R267" s="307"/>
      <c r="S267" s="307"/>
      <c r="T267" s="307"/>
      <c r="U267" s="307"/>
      <c r="V267" s="307"/>
      <c r="W267" s="307"/>
      <c r="X267" s="307"/>
      <c r="Y267" s="307"/>
      <c r="Z267" s="307"/>
      <c r="AA267" s="307"/>
      <c r="AB267" s="307"/>
      <c r="AC267" s="307"/>
      <c r="AD267" s="307"/>
      <c r="AE267" s="307"/>
      <c r="AF267" s="307"/>
      <c r="AG267" s="307"/>
      <c r="AH267" s="307"/>
    </row>
    <row r="268" spans="1:34" ht="17.399999999999999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  <c r="M268" s="307"/>
      <c r="N268" s="307"/>
      <c r="O268" s="307"/>
      <c r="P268" s="307"/>
      <c r="Q268" s="307"/>
      <c r="R268" s="307"/>
      <c r="S268" s="307"/>
      <c r="T268" s="307"/>
      <c r="U268" s="307"/>
      <c r="V268" s="307"/>
      <c r="W268" s="307"/>
      <c r="X268" s="307"/>
      <c r="Y268" s="307"/>
      <c r="Z268" s="307"/>
      <c r="AA268" s="307"/>
      <c r="AB268" s="307"/>
      <c r="AC268" s="307"/>
      <c r="AD268" s="307"/>
      <c r="AE268" s="307"/>
      <c r="AF268" s="307"/>
      <c r="AG268" s="307"/>
      <c r="AH268" s="307"/>
    </row>
    <row r="269" spans="1:34" ht="17.399999999999999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  <c r="M269" s="307"/>
      <c r="N269" s="307"/>
      <c r="O269" s="307"/>
      <c r="P269" s="307"/>
      <c r="Q269" s="307"/>
      <c r="R269" s="307"/>
      <c r="S269" s="307"/>
      <c r="T269" s="307"/>
      <c r="U269" s="307"/>
      <c r="V269" s="307"/>
      <c r="W269" s="307"/>
      <c r="X269" s="307"/>
      <c r="Y269" s="307"/>
      <c r="Z269" s="307"/>
      <c r="AA269" s="307"/>
      <c r="AB269" s="307"/>
      <c r="AC269" s="307"/>
      <c r="AD269" s="307"/>
      <c r="AE269" s="307"/>
      <c r="AF269" s="307"/>
      <c r="AG269" s="307"/>
      <c r="AH269" s="307"/>
    </row>
    <row r="270" spans="1:34" ht="17.399999999999999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  <c r="M270" s="307"/>
      <c r="N270" s="307"/>
      <c r="O270" s="307"/>
      <c r="P270" s="307"/>
      <c r="Q270" s="307"/>
      <c r="R270" s="307"/>
      <c r="S270" s="307"/>
      <c r="T270" s="307"/>
      <c r="U270" s="307"/>
      <c r="V270" s="307"/>
      <c r="W270" s="307"/>
      <c r="X270" s="307"/>
      <c r="Y270" s="307"/>
      <c r="Z270" s="307"/>
      <c r="AA270" s="307"/>
      <c r="AB270" s="307"/>
      <c r="AC270" s="307"/>
      <c r="AD270" s="307"/>
      <c r="AE270" s="307"/>
      <c r="AF270" s="307"/>
      <c r="AG270" s="307"/>
      <c r="AH270" s="307"/>
    </row>
    <row r="271" spans="1:34" ht="17.399999999999999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  <c r="M271" s="307"/>
      <c r="N271" s="307"/>
      <c r="O271" s="307"/>
      <c r="P271" s="307"/>
      <c r="Q271" s="307"/>
      <c r="R271" s="307"/>
      <c r="S271" s="307"/>
      <c r="T271" s="307"/>
      <c r="U271" s="307"/>
      <c r="V271" s="307"/>
      <c r="W271" s="307"/>
      <c r="X271" s="307"/>
      <c r="Y271" s="307"/>
      <c r="Z271" s="307"/>
      <c r="AA271" s="307"/>
      <c r="AB271" s="307"/>
      <c r="AC271" s="307"/>
      <c r="AD271" s="307"/>
      <c r="AE271" s="307"/>
      <c r="AF271" s="307"/>
      <c r="AG271" s="307"/>
      <c r="AH271" s="307"/>
    </row>
    <row r="272" spans="1:34" ht="17.399999999999999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  <c r="M272" s="307"/>
      <c r="N272" s="307"/>
      <c r="O272" s="307"/>
      <c r="P272" s="307"/>
      <c r="Q272" s="307"/>
      <c r="R272" s="307"/>
      <c r="S272" s="307"/>
      <c r="T272" s="307"/>
      <c r="U272" s="307"/>
      <c r="V272" s="307"/>
      <c r="W272" s="307"/>
      <c r="X272" s="307"/>
      <c r="Y272" s="307"/>
      <c r="Z272" s="307"/>
      <c r="AA272" s="307"/>
      <c r="AB272" s="307"/>
      <c r="AC272" s="307"/>
      <c r="AD272" s="307"/>
      <c r="AE272" s="307"/>
      <c r="AF272" s="307"/>
      <c r="AG272" s="307"/>
      <c r="AH272" s="307"/>
    </row>
    <row r="273" spans="1:34" ht="17.399999999999999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  <c r="M273" s="307"/>
      <c r="N273" s="307"/>
      <c r="O273" s="307"/>
      <c r="P273" s="307"/>
      <c r="Q273" s="307"/>
      <c r="R273" s="307"/>
      <c r="S273" s="307"/>
      <c r="T273" s="307"/>
      <c r="U273" s="307"/>
      <c r="V273" s="307"/>
      <c r="W273" s="307"/>
      <c r="X273" s="307"/>
      <c r="Y273" s="307"/>
      <c r="Z273" s="307"/>
      <c r="AA273" s="307"/>
      <c r="AB273" s="307"/>
      <c r="AC273" s="307"/>
      <c r="AD273" s="307"/>
      <c r="AE273" s="307"/>
      <c r="AF273" s="307"/>
      <c r="AG273" s="307"/>
      <c r="AH273" s="307"/>
    </row>
    <row r="274" spans="1:34" ht="17.399999999999999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  <c r="M274" s="307"/>
      <c r="N274" s="307"/>
      <c r="O274" s="307"/>
      <c r="P274" s="307"/>
      <c r="Q274" s="307"/>
      <c r="R274" s="307"/>
      <c r="S274" s="307"/>
      <c r="T274" s="307"/>
      <c r="U274" s="307"/>
      <c r="V274" s="307"/>
      <c r="W274" s="307"/>
      <c r="X274" s="307"/>
      <c r="Y274" s="307"/>
      <c r="Z274" s="307"/>
      <c r="AA274" s="307"/>
      <c r="AB274" s="307"/>
      <c r="AC274" s="307"/>
      <c r="AD274" s="307"/>
      <c r="AE274" s="307"/>
      <c r="AF274" s="307"/>
      <c r="AG274" s="307"/>
      <c r="AH274" s="307"/>
    </row>
    <row r="275" spans="1:34" ht="17.399999999999999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  <c r="M275" s="307"/>
      <c r="N275" s="307"/>
      <c r="O275" s="307"/>
      <c r="P275" s="307"/>
      <c r="Q275" s="307"/>
      <c r="R275" s="307"/>
      <c r="S275" s="307"/>
      <c r="T275" s="307"/>
      <c r="U275" s="307"/>
      <c r="V275" s="307"/>
      <c r="W275" s="307"/>
      <c r="X275" s="307"/>
      <c r="Y275" s="307"/>
      <c r="Z275" s="307"/>
      <c r="AA275" s="307"/>
      <c r="AB275" s="307"/>
      <c r="AC275" s="307"/>
      <c r="AD275" s="307"/>
      <c r="AE275" s="307"/>
      <c r="AF275" s="307"/>
      <c r="AG275" s="307"/>
      <c r="AH275" s="307"/>
    </row>
    <row r="276" spans="1:34" ht="17.399999999999999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  <c r="M276" s="307"/>
      <c r="N276" s="307"/>
      <c r="O276" s="307"/>
      <c r="P276" s="307"/>
      <c r="Q276" s="307"/>
      <c r="R276" s="307"/>
      <c r="S276" s="307"/>
      <c r="T276" s="307"/>
      <c r="U276" s="307"/>
      <c r="V276" s="307"/>
      <c r="W276" s="307"/>
      <c r="X276" s="307"/>
      <c r="Y276" s="307"/>
      <c r="Z276" s="307"/>
      <c r="AA276" s="307"/>
      <c r="AB276" s="307"/>
      <c r="AC276" s="307"/>
      <c r="AD276" s="307"/>
      <c r="AE276" s="307"/>
      <c r="AF276" s="307"/>
      <c r="AG276" s="307"/>
      <c r="AH276" s="307"/>
    </row>
    <row r="277" spans="1:34" ht="17.399999999999999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  <c r="M277" s="307"/>
      <c r="N277" s="307"/>
      <c r="O277" s="307"/>
      <c r="P277" s="307"/>
      <c r="Q277" s="307"/>
      <c r="R277" s="307"/>
      <c r="S277" s="307"/>
      <c r="T277" s="307"/>
      <c r="U277" s="307"/>
      <c r="V277" s="307"/>
      <c r="W277" s="307"/>
      <c r="X277" s="307"/>
      <c r="Y277" s="307"/>
      <c r="Z277" s="307"/>
      <c r="AA277" s="307"/>
      <c r="AB277" s="307"/>
      <c r="AC277" s="307"/>
      <c r="AD277" s="307"/>
      <c r="AE277" s="307"/>
      <c r="AF277" s="307"/>
      <c r="AG277" s="307"/>
      <c r="AH277" s="307"/>
    </row>
    <row r="278" spans="1:34" ht="17.399999999999999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  <c r="M278" s="307"/>
      <c r="N278" s="307"/>
      <c r="O278" s="307"/>
      <c r="P278" s="307"/>
      <c r="Q278" s="307"/>
      <c r="R278" s="307"/>
      <c r="S278" s="307"/>
      <c r="T278" s="307"/>
      <c r="U278" s="307"/>
      <c r="V278" s="307"/>
      <c r="W278" s="307"/>
      <c r="X278" s="307"/>
      <c r="Y278" s="307"/>
      <c r="Z278" s="307"/>
      <c r="AA278" s="307"/>
      <c r="AB278" s="307"/>
      <c r="AC278" s="307"/>
      <c r="AD278" s="307"/>
      <c r="AE278" s="307"/>
      <c r="AF278" s="307"/>
      <c r="AG278" s="307"/>
      <c r="AH278" s="307"/>
    </row>
    <row r="279" spans="1:34" ht="17.399999999999999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  <c r="M279" s="307"/>
      <c r="N279" s="307"/>
      <c r="O279" s="307"/>
      <c r="P279" s="307"/>
      <c r="Q279" s="307"/>
      <c r="R279" s="307"/>
      <c r="S279" s="307"/>
      <c r="T279" s="307"/>
      <c r="U279" s="307"/>
      <c r="V279" s="307"/>
      <c r="W279" s="307"/>
      <c r="X279" s="307"/>
      <c r="Y279" s="307"/>
      <c r="Z279" s="307"/>
      <c r="AA279" s="307"/>
      <c r="AB279" s="307"/>
      <c r="AC279" s="307"/>
      <c r="AD279" s="307"/>
      <c r="AE279" s="307"/>
      <c r="AF279" s="307"/>
      <c r="AG279" s="307"/>
      <c r="AH279" s="307"/>
    </row>
    <row r="280" spans="1:34" ht="17.399999999999999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  <c r="M280" s="307"/>
      <c r="N280" s="307"/>
      <c r="O280" s="307"/>
      <c r="P280" s="307"/>
      <c r="Q280" s="307"/>
      <c r="R280" s="307"/>
      <c r="S280" s="307"/>
      <c r="T280" s="307"/>
      <c r="U280" s="307"/>
      <c r="V280" s="307"/>
      <c r="W280" s="307"/>
      <c r="X280" s="307"/>
      <c r="Y280" s="307"/>
      <c r="Z280" s="307"/>
      <c r="AA280" s="307"/>
      <c r="AB280" s="307"/>
      <c r="AC280" s="307"/>
      <c r="AD280" s="307"/>
      <c r="AE280" s="307"/>
      <c r="AF280" s="307"/>
      <c r="AG280" s="307"/>
      <c r="AH280" s="307"/>
    </row>
    <row r="281" spans="1:34" ht="17.399999999999999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7"/>
      <c r="U281" s="307"/>
      <c r="V281" s="307"/>
      <c r="W281" s="307"/>
      <c r="X281" s="307"/>
      <c r="Y281" s="307"/>
      <c r="Z281" s="307"/>
      <c r="AA281" s="307"/>
      <c r="AB281" s="307"/>
      <c r="AC281" s="307"/>
      <c r="AD281" s="307"/>
      <c r="AE281" s="307"/>
      <c r="AF281" s="307"/>
      <c r="AG281" s="307"/>
      <c r="AH281" s="307"/>
    </row>
    <row r="282" spans="1:34" ht="17.399999999999999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  <c r="M282" s="307"/>
      <c r="N282" s="307"/>
      <c r="O282" s="307"/>
      <c r="P282" s="307"/>
      <c r="Q282" s="307"/>
      <c r="R282" s="307"/>
      <c r="S282" s="307"/>
      <c r="T282" s="307"/>
      <c r="U282" s="307"/>
      <c r="V282" s="307"/>
      <c r="W282" s="307"/>
      <c r="X282" s="307"/>
      <c r="Y282" s="307"/>
      <c r="Z282" s="307"/>
      <c r="AA282" s="307"/>
      <c r="AB282" s="307"/>
      <c r="AC282" s="307"/>
      <c r="AD282" s="307"/>
      <c r="AE282" s="307"/>
      <c r="AF282" s="307"/>
      <c r="AG282" s="307"/>
      <c r="AH282" s="307"/>
    </row>
    <row r="283" spans="1:34" ht="17.399999999999999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  <c r="M283" s="307"/>
      <c r="N283" s="307"/>
      <c r="O283" s="307"/>
      <c r="P283" s="307"/>
      <c r="Q283" s="307"/>
      <c r="R283" s="307"/>
      <c r="S283" s="307"/>
      <c r="T283" s="307"/>
      <c r="U283" s="307"/>
      <c r="V283" s="307"/>
      <c r="W283" s="307"/>
      <c r="X283" s="307"/>
      <c r="Y283" s="307"/>
      <c r="Z283" s="307"/>
      <c r="AA283" s="307"/>
      <c r="AB283" s="307"/>
      <c r="AC283" s="307"/>
      <c r="AD283" s="307"/>
      <c r="AE283" s="307"/>
      <c r="AF283" s="307"/>
      <c r="AG283" s="307"/>
      <c r="AH283" s="307"/>
    </row>
    <row r="284" spans="1:34" ht="17.399999999999999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  <c r="M284" s="307"/>
      <c r="N284" s="307"/>
      <c r="O284" s="307"/>
      <c r="P284" s="307"/>
      <c r="Q284" s="307"/>
      <c r="R284" s="307"/>
      <c r="S284" s="307"/>
      <c r="T284" s="307"/>
      <c r="U284" s="307"/>
      <c r="V284" s="307"/>
      <c r="W284" s="307"/>
      <c r="X284" s="307"/>
      <c r="Y284" s="307"/>
      <c r="Z284" s="307"/>
      <c r="AA284" s="307"/>
      <c r="AB284" s="307"/>
      <c r="AC284" s="307"/>
      <c r="AD284" s="307"/>
      <c r="AE284" s="307"/>
      <c r="AF284" s="307"/>
      <c r="AG284" s="307"/>
      <c r="AH284" s="307"/>
    </row>
    <row r="285" spans="1:34" ht="17.399999999999999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  <c r="M285" s="307"/>
      <c r="N285" s="307"/>
      <c r="O285" s="307"/>
      <c r="P285" s="307"/>
      <c r="Q285" s="307"/>
      <c r="R285" s="307"/>
      <c r="S285" s="307"/>
      <c r="T285" s="307"/>
      <c r="U285" s="307"/>
      <c r="V285" s="307"/>
      <c r="W285" s="307"/>
      <c r="X285" s="307"/>
      <c r="Y285" s="307"/>
      <c r="Z285" s="307"/>
      <c r="AA285" s="307"/>
      <c r="AB285" s="307"/>
      <c r="AC285" s="307"/>
      <c r="AD285" s="307"/>
      <c r="AE285" s="307"/>
      <c r="AF285" s="307"/>
      <c r="AG285" s="307"/>
      <c r="AH285" s="307"/>
    </row>
    <row r="286" spans="1:34" ht="17.399999999999999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  <c r="M286" s="307"/>
      <c r="N286" s="307"/>
      <c r="O286" s="307"/>
      <c r="P286" s="307"/>
      <c r="Q286" s="307"/>
      <c r="R286" s="307"/>
      <c r="S286" s="307"/>
      <c r="T286" s="307"/>
      <c r="U286" s="307"/>
      <c r="V286" s="307"/>
      <c r="W286" s="307"/>
      <c r="X286" s="307"/>
      <c r="Y286" s="307"/>
      <c r="Z286" s="307"/>
      <c r="AA286" s="307"/>
      <c r="AB286" s="307"/>
      <c r="AC286" s="307"/>
      <c r="AD286" s="307"/>
      <c r="AE286" s="307"/>
      <c r="AF286" s="307"/>
      <c r="AG286" s="307"/>
      <c r="AH286" s="307"/>
    </row>
    <row r="287" spans="1:34" ht="17.399999999999999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  <c r="M287" s="307"/>
      <c r="N287" s="307"/>
      <c r="O287" s="307"/>
      <c r="P287" s="307"/>
      <c r="Q287" s="307"/>
      <c r="R287" s="307"/>
      <c r="S287" s="307"/>
      <c r="T287" s="307"/>
      <c r="U287" s="307"/>
      <c r="V287" s="307"/>
      <c r="W287" s="307"/>
      <c r="X287" s="307"/>
      <c r="Y287" s="307"/>
      <c r="Z287" s="307"/>
      <c r="AA287" s="307"/>
      <c r="AB287" s="307"/>
      <c r="AC287" s="307"/>
      <c r="AD287" s="307"/>
      <c r="AE287" s="307"/>
      <c r="AF287" s="307"/>
      <c r="AG287" s="307"/>
      <c r="AH287" s="307"/>
    </row>
    <row r="288" spans="1:34" ht="17.399999999999999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  <c r="M288" s="307"/>
      <c r="N288" s="307"/>
      <c r="O288" s="307"/>
      <c r="P288" s="307"/>
      <c r="Q288" s="307"/>
      <c r="R288" s="307"/>
      <c r="S288" s="307"/>
      <c r="T288" s="307"/>
      <c r="U288" s="307"/>
      <c r="V288" s="307"/>
      <c r="W288" s="307"/>
      <c r="X288" s="307"/>
      <c r="Y288" s="307"/>
      <c r="Z288" s="307"/>
      <c r="AA288" s="307"/>
      <c r="AB288" s="307"/>
      <c r="AC288" s="307"/>
      <c r="AD288" s="307"/>
      <c r="AE288" s="307"/>
      <c r="AF288" s="307"/>
      <c r="AG288" s="307"/>
      <c r="AH288" s="307"/>
    </row>
    <row r="289" spans="1:34" ht="17.399999999999999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  <c r="M289" s="307"/>
      <c r="N289" s="307"/>
      <c r="O289" s="307"/>
      <c r="P289" s="307"/>
      <c r="Q289" s="307"/>
      <c r="R289" s="307"/>
      <c r="S289" s="307"/>
      <c r="T289" s="307"/>
      <c r="U289" s="307"/>
      <c r="V289" s="307"/>
      <c r="W289" s="307"/>
      <c r="X289" s="307"/>
      <c r="Y289" s="307"/>
      <c r="Z289" s="307"/>
      <c r="AA289" s="307"/>
      <c r="AB289" s="307"/>
      <c r="AC289" s="307"/>
      <c r="AD289" s="307"/>
      <c r="AE289" s="307"/>
      <c r="AF289" s="307"/>
      <c r="AG289" s="307"/>
      <c r="AH289" s="307"/>
    </row>
    <row r="290" spans="1:34" ht="17.399999999999999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  <c r="M290" s="307"/>
      <c r="N290" s="307"/>
      <c r="O290" s="307"/>
      <c r="P290" s="307"/>
      <c r="Q290" s="307"/>
      <c r="R290" s="307"/>
      <c r="S290" s="307"/>
      <c r="T290" s="307"/>
      <c r="U290" s="307"/>
      <c r="V290" s="307"/>
      <c r="W290" s="307"/>
      <c r="X290" s="307"/>
      <c r="Y290" s="307"/>
      <c r="Z290" s="307"/>
      <c r="AA290" s="307"/>
      <c r="AB290" s="307"/>
      <c r="AC290" s="307"/>
      <c r="AD290" s="307"/>
      <c r="AE290" s="307"/>
      <c r="AF290" s="307"/>
      <c r="AG290" s="307"/>
      <c r="AH290" s="307"/>
    </row>
    <row r="291" spans="1:34" ht="17.399999999999999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  <c r="M291" s="307"/>
      <c r="N291" s="307"/>
      <c r="O291" s="307"/>
      <c r="P291" s="307"/>
      <c r="Q291" s="307"/>
      <c r="R291" s="307"/>
      <c r="S291" s="307"/>
      <c r="T291" s="307"/>
      <c r="U291" s="307"/>
      <c r="V291" s="307"/>
      <c r="W291" s="307"/>
      <c r="X291" s="307"/>
      <c r="Y291" s="307"/>
      <c r="Z291" s="307"/>
      <c r="AA291" s="307"/>
      <c r="AB291" s="307"/>
      <c r="AC291" s="307"/>
      <c r="AD291" s="307"/>
      <c r="AE291" s="307"/>
      <c r="AF291" s="307"/>
      <c r="AG291" s="307"/>
      <c r="AH291" s="307"/>
    </row>
    <row r="292" spans="1:34" ht="17.399999999999999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  <c r="M292" s="307"/>
      <c r="N292" s="307"/>
      <c r="O292" s="307"/>
      <c r="P292" s="307"/>
      <c r="Q292" s="307"/>
      <c r="R292" s="307"/>
      <c r="S292" s="307"/>
      <c r="T292" s="307"/>
      <c r="U292" s="307"/>
      <c r="V292" s="307"/>
      <c r="W292" s="307"/>
      <c r="X292" s="307"/>
      <c r="Y292" s="307"/>
      <c r="Z292" s="307"/>
      <c r="AA292" s="307"/>
      <c r="AB292" s="307"/>
      <c r="AC292" s="307"/>
      <c r="AD292" s="307"/>
      <c r="AE292" s="307"/>
      <c r="AF292" s="307"/>
      <c r="AG292" s="307"/>
      <c r="AH292" s="307"/>
    </row>
    <row r="293" spans="1:34" ht="17.399999999999999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  <c r="M293" s="307"/>
      <c r="N293" s="307"/>
      <c r="O293" s="307"/>
      <c r="P293" s="307"/>
      <c r="Q293" s="307"/>
      <c r="R293" s="307"/>
      <c r="S293" s="307"/>
      <c r="T293" s="307"/>
      <c r="U293" s="307"/>
      <c r="V293" s="307"/>
      <c r="W293" s="307"/>
      <c r="X293" s="307"/>
      <c r="Y293" s="307"/>
      <c r="Z293" s="307"/>
      <c r="AA293" s="307"/>
      <c r="AB293" s="307"/>
      <c r="AC293" s="307"/>
      <c r="AD293" s="307"/>
      <c r="AE293" s="307"/>
      <c r="AF293" s="307"/>
      <c r="AG293" s="307"/>
      <c r="AH293" s="307"/>
    </row>
    <row r="294" spans="1:34" ht="17.399999999999999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  <c r="M294" s="307"/>
      <c r="N294" s="307"/>
      <c r="O294" s="307"/>
      <c r="P294" s="307"/>
      <c r="Q294" s="307"/>
      <c r="R294" s="307"/>
      <c r="S294" s="307"/>
      <c r="T294" s="307"/>
      <c r="U294" s="307"/>
      <c r="V294" s="307"/>
      <c r="W294" s="307"/>
      <c r="X294" s="307"/>
      <c r="Y294" s="307"/>
      <c r="Z294" s="307"/>
      <c r="AA294" s="307"/>
      <c r="AB294" s="307"/>
      <c r="AC294" s="307"/>
      <c r="AD294" s="307"/>
      <c r="AE294" s="307"/>
      <c r="AF294" s="307"/>
      <c r="AG294" s="307"/>
      <c r="AH294" s="307"/>
    </row>
    <row r="295" spans="1:34" ht="17.399999999999999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  <c r="M295" s="307"/>
      <c r="N295" s="307"/>
      <c r="O295" s="307"/>
      <c r="P295" s="307"/>
      <c r="Q295" s="307"/>
      <c r="R295" s="307"/>
      <c r="S295" s="307"/>
      <c r="T295" s="307"/>
      <c r="U295" s="307"/>
      <c r="V295" s="307"/>
      <c r="W295" s="307"/>
      <c r="X295" s="307"/>
      <c r="Y295" s="307"/>
      <c r="Z295" s="307"/>
      <c r="AA295" s="307"/>
      <c r="AB295" s="307"/>
      <c r="AC295" s="307"/>
      <c r="AD295" s="307"/>
      <c r="AE295" s="307"/>
      <c r="AF295" s="307"/>
      <c r="AG295" s="307"/>
      <c r="AH295" s="307"/>
    </row>
    <row r="296" spans="1:34" ht="17.399999999999999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  <c r="M296" s="307"/>
      <c r="N296" s="307"/>
      <c r="O296" s="307"/>
      <c r="P296" s="307"/>
      <c r="Q296" s="307"/>
      <c r="R296" s="307"/>
      <c r="S296" s="307"/>
      <c r="T296" s="307"/>
      <c r="U296" s="307"/>
      <c r="V296" s="307"/>
      <c r="W296" s="307"/>
      <c r="X296" s="307"/>
      <c r="Y296" s="307"/>
      <c r="Z296" s="307"/>
      <c r="AA296" s="307"/>
      <c r="AB296" s="307"/>
      <c r="AC296" s="307"/>
      <c r="AD296" s="307"/>
      <c r="AE296" s="307"/>
      <c r="AF296" s="307"/>
      <c r="AG296" s="307"/>
      <c r="AH296" s="307"/>
    </row>
    <row r="297" spans="1:34" ht="17.399999999999999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  <c r="M297" s="307"/>
      <c r="N297" s="307"/>
      <c r="O297" s="307"/>
      <c r="P297" s="307"/>
      <c r="Q297" s="307"/>
      <c r="R297" s="307"/>
      <c r="S297" s="307"/>
      <c r="T297" s="307"/>
      <c r="U297" s="307"/>
      <c r="V297" s="307"/>
      <c r="W297" s="307"/>
      <c r="X297" s="307"/>
      <c r="Y297" s="307"/>
      <c r="Z297" s="307"/>
      <c r="AA297" s="307"/>
      <c r="AB297" s="307"/>
      <c r="AC297" s="307"/>
      <c r="AD297" s="307"/>
      <c r="AE297" s="307"/>
      <c r="AF297" s="307"/>
      <c r="AG297" s="307"/>
      <c r="AH297" s="307"/>
    </row>
    <row r="298" spans="1:34" ht="17.399999999999999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  <c r="M298" s="307"/>
      <c r="N298" s="307"/>
      <c r="O298" s="307"/>
      <c r="P298" s="307"/>
      <c r="Q298" s="307"/>
      <c r="R298" s="307"/>
      <c r="S298" s="307"/>
      <c r="T298" s="307"/>
      <c r="U298" s="307"/>
      <c r="V298" s="307"/>
      <c r="W298" s="307"/>
      <c r="X298" s="307"/>
      <c r="Y298" s="307"/>
      <c r="Z298" s="307"/>
      <c r="AA298" s="307"/>
      <c r="AB298" s="307"/>
      <c r="AC298" s="307"/>
      <c r="AD298" s="307"/>
      <c r="AE298" s="307"/>
      <c r="AF298" s="307"/>
      <c r="AG298" s="307"/>
      <c r="AH298" s="307"/>
    </row>
    <row r="299" spans="1:34" ht="17.399999999999999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  <c r="M299" s="307"/>
      <c r="N299" s="307"/>
      <c r="O299" s="307"/>
      <c r="P299" s="307"/>
      <c r="Q299" s="307"/>
      <c r="R299" s="307"/>
      <c r="S299" s="307"/>
      <c r="T299" s="307"/>
      <c r="U299" s="307"/>
      <c r="V299" s="307"/>
      <c r="W299" s="307"/>
      <c r="X299" s="307"/>
      <c r="Y299" s="307"/>
      <c r="Z299" s="307"/>
      <c r="AA299" s="307"/>
      <c r="AB299" s="307"/>
      <c r="AC299" s="307"/>
      <c r="AD299" s="307"/>
      <c r="AE299" s="307"/>
      <c r="AF299" s="307"/>
      <c r="AG299" s="307"/>
      <c r="AH299" s="307"/>
    </row>
    <row r="300" spans="1:34" ht="17.399999999999999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  <c r="M300" s="307"/>
      <c r="N300" s="307"/>
      <c r="O300" s="307"/>
      <c r="P300" s="307"/>
      <c r="Q300" s="307"/>
      <c r="R300" s="307"/>
      <c r="S300" s="307"/>
      <c r="T300" s="307"/>
      <c r="U300" s="307"/>
      <c r="V300" s="307"/>
      <c r="W300" s="307"/>
      <c r="X300" s="307"/>
      <c r="Y300" s="307"/>
      <c r="Z300" s="307"/>
      <c r="AA300" s="307"/>
      <c r="AB300" s="307"/>
      <c r="AC300" s="307"/>
      <c r="AD300" s="307"/>
      <c r="AE300" s="307"/>
      <c r="AF300" s="307"/>
      <c r="AG300" s="307"/>
      <c r="AH300" s="307"/>
    </row>
    <row r="301" spans="1:34" ht="17.399999999999999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  <c r="M301" s="307"/>
      <c r="N301" s="307"/>
      <c r="O301" s="307"/>
      <c r="P301" s="307"/>
      <c r="Q301" s="307"/>
      <c r="R301" s="307"/>
      <c r="S301" s="307"/>
      <c r="T301" s="307"/>
      <c r="U301" s="307"/>
      <c r="V301" s="307"/>
      <c r="W301" s="307"/>
      <c r="X301" s="307"/>
      <c r="Y301" s="307"/>
      <c r="Z301" s="307"/>
      <c r="AA301" s="307"/>
      <c r="AB301" s="307"/>
      <c r="AC301" s="307"/>
      <c r="AD301" s="307"/>
      <c r="AE301" s="307"/>
      <c r="AF301" s="307"/>
      <c r="AG301" s="307"/>
      <c r="AH301" s="307"/>
    </row>
    <row r="302" spans="1:34" ht="17.399999999999999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  <c r="M302" s="307"/>
      <c r="N302" s="307"/>
      <c r="O302" s="307"/>
      <c r="P302" s="307"/>
      <c r="Q302" s="307"/>
      <c r="R302" s="307"/>
      <c r="S302" s="307"/>
      <c r="T302" s="307"/>
      <c r="U302" s="307"/>
      <c r="V302" s="307"/>
      <c r="W302" s="307"/>
      <c r="X302" s="307"/>
      <c r="Y302" s="307"/>
      <c r="Z302" s="307"/>
      <c r="AA302" s="307"/>
      <c r="AB302" s="307"/>
      <c r="AC302" s="307"/>
      <c r="AD302" s="307"/>
      <c r="AE302" s="307"/>
      <c r="AF302" s="307"/>
      <c r="AG302" s="307"/>
      <c r="AH302" s="307"/>
    </row>
    <row r="303" spans="1:34" ht="17.399999999999999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  <c r="M303" s="307"/>
      <c r="N303" s="307"/>
      <c r="O303" s="307"/>
      <c r="P303" s="307"/>
      <c r="Q303" s="307"/>
      <c r="R303" s="307"/>
      <c r="S303" s="307"/>
      <c r="T303" s="307"/>
      <c r="U303" s="307"/>
      <c r="V303" s="307"/>
      <c r="W303" s="307"/>
      <c r="X303" s="307"/>
      <c r="Y303" s="307"/>
      <c r="Z303" s="307"/>
      <c r="AA303" s="307"/>
      <c r="AB303" s="307"/>
      <c r="AC303" s="307"/>
      <c r="AD303" s="307"/>
      <c r="AE303" s="307"/>
      <c r="AF303" s="307"/>
      <c r="AG303" s="307"/>
      <c r="AH303" s="307"/>
    </row>
    <row r="304" spans="1:34" ht="17.399999999999999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  <c r="M304" s="307"/>
      <c r="N304" s="307"/>
      <c r="O304" s="307"/>
      <c r="P304" s="307"/>
      <c r="Q304" s="307"/>
      <c r="R304" s="307"/>
      <c r="S304" s="307"/>
      <c r="T304" s="307"/>
      <c r="U304" s="307"/>
      <c r="V304" s="307"/>
      <c r="W304" s="307"/>
      <c r="X304" s="307"/>
      <c r="Y304" s="307"/>
      <c r="Z304" s="307"/>
      <c r="AA304" s="307"/>
      <c r="AB304" s="307"/>
      <c r="AC304" s="307"/>
      <c r="AD304" s="307"/>
      <c r="AE304" s="307"/>
      <c r="AF304" s="307"/>
      <c r="AG304" s="307"/>
      <c r="AH304" s="307"/>
    </row>
    <row r="305" spans="1:34" ht="17.399999999999999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  <c r="M305" s="307"/>
      <c r="N305" s="307"/>
      <c r="O305" s="307"/>
      <c r="P305" s="307"/>
      <c r="Q305" s="307"/>
      <c r="R305" s="307"/>
      <c r="S305" s="307"/>
      <c r="T305" s="307"/>
      <c r="U305" s="307"/>
      <c r="V305" s="307"/>
      <c r="W305" s="307"/>
      <c r="X305" s="307"/>
      <c r="Y305" s="307"/>
      <c r="Z305" s="307"/>
      <c r="AA305" s="307"/>
      <c r="AB305" s="307"/>
      <c r="AC305" s="307"/>
      <c r="AD305" s="307"/>
      <c r="AE305" s="307"/>
      <c r="AF305" s="307"/>
      <c r="AG305" s="307"/>
      <c r="AH305" s="307"/>
    </row>
    <row r="306" spans="1:34" ht="17.399999999999999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  <c r="M306" s="307"/>
      <c r="N306" s="307"/>
      <c r="O306" s="307"/>
      <c r="P306" s="307"/>
      <c r="Q306" s="307"/>
      <c r="R306" s="307"/>
      <c r="S306" s="307"/>
      <c r="T306" s="307"/>
      <c r="U306" s="307"/>
      <c r="V306" s="307"/>
      <c r="W306" s="307"/>
      <c r="X306" s="307"/>
      <c r="Y306" s="307"/>
      <c r="Z306" s="307"/>
      <c r="AA306" s="307"/>
      <c r="AB306" s="307"/>
      <c r="AC306" s="307"/>
      <c r="AD306" s="307"/>
      <c r="AE306" s="307"/>
      <c r="AF306" s="307"/>
      <c r="AG306" s="307"/>
      <c r="AH306" s="307"/>
    </row>
    <row r="307" spans="1:34" ht="17.399999999999999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  <c r="M307" s="307"/>
      <c r="N307" s="307"/>
      <c r="O307" s="307"/>
      <c r="P307" s="307"/>
      <c r="Q307" s="307"/>
      <c r="R307" s="307"/>
      <c r="S307" s="307"/>
      <c r="T307" s="307"/>
      <c r="U307" s="307"/>
      <c r="V307" s="307"/>
      <c r="W307" s="307"/>
      <c r="X307" s="307"/>
      <c r="Y307" s="307"/>
      <c r="Z307" s="307"/>
      <c r="AA307" s="307"/>
      <c r="AB307" s="307"/>
      <c r="AC307" s="307"/>
      <c r="AD307" s="307"/>
      <c r="AE307" s="307"/>
      <c r="AF307" s="307"/>
      <c r="AG307" s="307"/>
      <c r="AH307" s="307"/>
    </row>
    <row r="308" spans="1:34" ht="17.399999999999999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  <c r="M308" s="307"/>
      <c r="N308" s="307"/>
      <c r="O308" s="307"/>
      <c r="P308" s="307"/>
      <c r="Q308" s="307"/>
      <c r="R308" s="307"/>
      <c r="S308" s="307"/>
      <c r="T308" s="307"/>
      <c r="U308" s="307"/>
      <c r="V308" s="307"/>
      <c r="W308" s="307"/>
      <c r="X308" s="307"/>
      <c r="Y308" s="307"/>
      <c r="Z308" s="307"/>
      <c r="AA308" s="307"/>
      <c r="AB308" s="307"/>
      <c r="AC308" s="307"/>
      <c r="AD308" s="307"/>
      <c r="AE308" s="307"/>
      <c r="AF308" s="307"/>
      <c r="AG308" s="307"/>
      <c r="AH308" s="307"/>
    </row>
    <row r="309" spans="1:34" ht="17.399999999999999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  <c r="M309" s="307"/>
      <c r="N309" s="307"/>
      <c r="O309" s="307"/>
      <c r="P309" s="307"/>
      <c r="Q309" s="307"/>
      <c r="R309" s="307"/>
      <c r="S309" s="307"/>
      <c r="T309" s="307"/>
      <c r="U309" s="307"/>
      <c r="V309" s="307"/>
      <c r="W309" s="307"/>
      <c r="X309" s="307"/>
      <c r="Y309" s="307"/>
      <c r="Z309" s="307"/>
      <c r="AA309" s="307"/>
      <c r="AB309" s="307"/>
      <c r="AC309" s="307"/>
      <c r="AD309" s="307"/>
      <c r="AE309" s="307"/>
      <c r="AF309" s="307"/>
      <c r="AG309" s="307"/>
      <c r="AH309" s="307"/>
    </row>
    <row r="310" spans="1:34" ht="17.399999999999999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  <c r="M310" s="307"/>
      <c r="N310" s="307"/>
      <c r="O310" s="307"/>
      <c r="P310" s="307"/>
      <c r="Q310" s="307"/>
      <c r="R310" s="307"/>
      <c r="S310" s="307"/>
      <c r="T310" s="307"/>
      <c r="U310" s="307"/>
      <c r="V310" s="307"/>
      <c r="W310" s="307"/>
      <c r="X310" s="307"/>
      <c r="Y310" s="307"/>
      <c r="Z310" s="307"/>
      <c r="AA310" s="307"/>
      <c r="AB310" s="307"/>
      <c r="AC310" s="307"/>
      <c r="AD310" s="307"/>
      <c r="AE310" s="307"/>
      <c r="AF310" s="307"/>
      <c r="AG310" s="307"/>
      <c r="AH310" s="307"/>
    </row>
    <row r="311" spans="1:34" ht="17.399999999999999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  <c r="M311" s="307"/>
      <c r="N311" s="307"/>
      <c r="O311" s="307"/>
      <c r="P311" s="307"/>
      <c r="Q311" s="307"/>
      <c r="R311" s="307"/>
      <c r="S311" s="307"/>
      <c r="T311" s="307"/>
      <c r="U311" s="307"/>
      <c r="V311" s="307"/>
      <c r="W311" s="307"/>
      <c r="X311" s="307"/>
      <c r="Y311" s="307"/>
      <c r="Z311" s="307"/>
      <c r="AA311" s="307"/>
      <c r="AB311" s="307"/>
      <c r="AC311" s="307"/>
      <c r="AD311" s="307"/>
      <c r="AE311" s="307"/>
      <c r="AF311" s="307"/>
      <c r="AG311" s="307"/>
      <c r="AH311" s="307"/>
    </row>
    <row r="312" spans="1:34" ht="17.399999999999999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  <c r="M312" s="307"/>
      <c r="N312" s="307"/>
      <c r="O312" s="307"/>
      <c r="P312" s="307"/>
      <c r="Q312" s="307"/>
      <c r="R312" s="307"/>
      <c r="S312" s="307"/>
      <c r="T312" s="307"/>
      <c r="U312" s="307"/>
      <c r="V312" s="307"/>
      <c r="W312" s="307"/>
      <c r="X312" s="307"/>
      <c r="Y312" s="307"/>
      <c r="Z312" s="307"/>
      <c r="AA312" s="307"/>
      <c r="AB312" s="307"/>
      <c r="AC312" s="307"/>
      <c r="AD312" s="307"/>
      <c r="AE312" s="307"/>
      <c r="AF312" s="307"/>
      <c r="AG312" s="307"/>
      <c r="AH312" s="307"/>
    </row>
    <row r="313" spans="1:34" ht="17.399999999999999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  <c r="M313" s="307"/>
      <c r="N313" s="307"/>
      <c r="O313" s="307"/>
      <c r="P313" s="307"/>
      <c r="Q313" s="307"/>
      <c r="R313" s="307"/>
      <c r="S313" s="307"/>
      <c r="T313" s="307"/>
      <c r="U313" s="307"/>
      <c r="V313" s="307"/>
      <c r="W313" s="307"/>
      <c r="X313" s="307"/>
      <c r="Y313" s="307"/>
      <c r="Z313" s="307"/>
      <c r="AA313" s="307"/>
      <c r="AB313" s="307"/>
      <c r="AC313" s="307"/>
      <c r="AD313" s="307"/>
      <c r="AE313" s="307"/>
      <c r="AF313" s="307"/>
      <c r="AG313" s="307"/>
      <c r="AH313" s="307"/>
    </row>
    <row r="314" spans="1:34" ht="17.399999999999999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  <c r="M314" s="307"/>
      <c r="N314" s="307"/>
      <c r="O314" s="307"/>
      <c r="P314" s="307"/>
      <c r="Q314" s="307"/>
      <c r="R314" s="307"/>
      <c r="S314" s="307"/>
      <c r="T314" s="307"/>
      <c r="U314" s="307"/>
      <c r="V314" s="307"/>
      <c r="W314" s="307"/>
      <c r="X314" s="307"/>
      <c r="Y314" s="307"/>
      <c r="Z314" s="307"/>
      <c r="AA314" s="307"/>
      <c r="AB314" s="307"/>
      <c r="AC314" s="307"/>
      <c r="AD314" s="307"/>
      <c r="AE314" s="307"/>
      <c r="AF314" s="307"/>
      <c r="AG314" s="307"/>
      <c r="AH314" s="307"/>
    </row>
    <row r="315" spans="1:34" ht="17.399999999999999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  <c r="M315" s="307"/>
      <c r="N315" s="307"/>
      <c r="O315" s="307"/>
      <c r="P315" s="307"/>
      <c r="Q315" s="307"/>
      <c r="R315" s="307"/>
      <c r="S315" s="307"/>
      <c r="T315" s="307"/>
      <c r="U315" s="307"/>
      <c r="V315" s="307"/>
      <c r="W315" s="307"/>
      <c r="X315" s="307"/>
      <c r="Y315" s="307"/>
      <c r="Z315" s="307"/>
      <c r="AA315" s="307"/>
      <c r="AB315" s="307"/>
      <c r="AC315" s="307"/>
      <c r="AD315" s="307"/>
      <c r="AE315" s="307"/>
      <c r="AF315" s="307"/>
      <c r="AG315" s="307"/>
      <c r="AH315" s="307"/>
    </row>
    <row r="316" spans="1:34" ht="17.399999999999999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  <c r="M316" s="307"/>
      <c r="N316" s="307"/>
      <c r="O316" s="307"/>
      <c r="P316" s="307"/>
      <c r="Q316" s="307"/>
      <c r="R316" s="307"/>
      <c r="S316" s="307"/>
      <c r="T316" s="307"/>
      <c r="U316" s="307"/>
      <c r="V316" s="307"/>
      <c r="W316" s="307"/>
      <c r="X316" s="307"/>
      <c r="Y316" s="307"/>
      <c r="Z316" s="307"/>
      <c r="AA316" s="307"/>
      <c r="AB316" s="307"/>
      <c r="AC316" s="307"/>
      <c r="AD316" s="307"/>
      <c r="AE316" s="307"/>
      <c r="AF316" s="307"/>
      <c r="AG316" s="307"/>
      <c r="AH316" s="307"/>
    </row>
    <row r="317" spans="1:34" ht="17.399999999999999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  <c r="M317" s="307"/>
      <c r="N317" s="307"/>
      <c r="O317" s="307"/>
      <c r="P317" s="307"/>
      <c r="Q317" s="307"/>
      <c r="R317" s="307"/>
      <c r="S317" s="307"/>
      <c r="T317" s="307"/>
      <c r="U317" s="307"/>
      <c r="V317" s="307"/>
      <c r="W317" s="307"/>
      <c r="X317" s="307"/>
      <c r="Y317" s="307"/>
      <c r="Z317" s="307"/>
      <c r="AA317" s="307"/>
      <c r="AB317" s="307"/>
      <c r="AC317" s="307"/>
      <c r="AD317" s="307"/>
      <c r="AE317" s="307"/>
      <c r="AF317" s="307"/>
      <c r="AG317" s="307"/>
      <c r="AH317" s="307"/>
    </row>
    <row r="318" spans="1:34" ht="17.399999999999999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  <c r="M318" s="307"/>
      <c r="N318" s="307"/>
      <c r="O318" s="307"/>
      <c r="P318" s="307"/>
      <c r="Q318" s="307"/>
      <c r="R318" s="307"/>
      <c r="S318" s="307"/>
      <c r="T318" s="307"/>
      <c r="U318" s="307"/>
      <c r="V318" s="307"/>
      <c r="W318" s="307"/>
      <c r="X318" s="307"/>
      <c r="Y318" s="307"/>
      <c r="Z318" s="307"/>
      <c r="AA318" s="307"/>
      <c r="AB318" s="307"/>
      <c r="AC318" s="307"/>
      <c r="AD318" s="307"/>
      <c r="AE318" s="307"/>
      <c r="AF318" s="307"/>
      <c r="AG318" s="307"/>
      <c r="AH318" s="307"/>
    </row>
    <row r="319" spans="1:34" ht="17.399999999999999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  <c r="M319" s="307"/>
      <c r="N319" s="307"/>
      <c r="O319" s="307"/>
      <c r="P319" s="307"/>
      <c r="Q319" s="307"/>
      <c r="R319" s="307"/>
      <c r="S319" s="307"/>
      <c r="T319" s="307"/>
      <c r="U319" s="307"/>
      <c r="V319" s="307"/>
      <c r="W319" s="307"/>
      <c r="X319" s="307"/>
      <c r="Y319" s="307"/>
      <c r="Z319" s="307"/>
      <c r="AA319" s="307"/>
      <c r="AB319" s="307"/>
      <c r="AC319" s="307"/>
      <c r="AD319" s="307"/>
      <c r="AE319" s="307"/>
      <c r="AF319" s="307"/>
      <c r="AG319" s="307"/>
      <c r="AH319" s="307"/>
    </row>
    <row r="320" spans="1:34" ht="17.399999999999999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  <c r="M320" s="307"/>
      <c r="N320" s="307"/>
      <c r="O320" s="307"/>
      <c r="P320" s="307"/>
      <c r="Q320" s="307"/>
      <c r="R320" s="307"/>
      <c r="S320" s="307"/>
      <c r="T320" s="307"/>
      <c r="U320" s="307"/>
      <c r="V320" s="307"/>
      <c r="W320" s="307"/>
      <c r="X320" s="307"/>
      <c r="Y320" s="307"/>
      <c r="Z320" s="307"/>
      <c r="AA320" s="307"/>
      <c r="AB320" s="307"/>
      <c r="AC320" s="307"/>
      <c r="AD320" s="307"/>
      <c r="AE320" s="307"/>
      <c r="AF320" s="307"/>
      <c r="AG320" s="307"/>
      <c r="AH320" s="307"/>
    </row>
    <row r="321" spans="1:34" ht="17.399999999999999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  <c r="M321" s="307"/>
      <c r="N321" s="307"/>
      <c r="O321" s="307"/>
      <c r="P321" s="307"/>
      <c r="Q321" s="307"/>
      <c r="R321" s="307"/>
      <c r="S321" s="307"/>
      <c r="T321" s="307"/>
      <c r="U321" s="307"/>
      <c r="V321" s="307"/>
      <c r="W321" s="307"/>
      <c r="X321" s="307"/>
      <c r="Y321" s="307"/>
      <c r="Z321" s="307"/>
      <c r="AA321" s="307"/>
      <c r="AB321" s="307"/>
      <c r="AC321" s="307"/>
      <c r="AD321" s="307"/>
      <c r="AE321" s="307"/>
      <c r="AF321" s="307"/>
      <c r="AG321" s="307"/>
      <c r="AH321" s="307"/>
    </row>
    <row r="322" spans="1:34" ht="17.399999999999999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  <c r="M322" s="307"/>
      <c r="N322" s="307"/>
      <c r="O322" s="307"/>
      <c r="P322" s="307"/>
      <c r="Q322" s="307"/>
      <c r="R322" s="307"/>
      <c r="S322" s="307"/>
      <c r="T322" s="307"/>
      <c r="U322" s="307"/>
      <c r="V322" s="307"/>
      <c r="W322" s="307"/>
      <c r="X322" s="307"/>
      <c r="Y322" s="307"/>
      <c r="Z322" s="307"/>
      <c r="AA322" s="307"/>
      <c r="AB322" s="307"/>
      <c r="AC322" s="307"/>
      <c r="AD322" s="307"/>
      <c r="AE322" s="307"/>
      <c r="AF322" s="307"/>
      <c r="AG322" s="307"/>
      <c r="AH322" s="307"/>
    </row>
    <row r="323" spans="1:34" ht="17.399999999999999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  <c r="M323" s="307"/>
      <c r="N323" s="307"/>
      <c r="O323" s="307"/>
      <c r="P323" s="307"/>
      <c r="Q323" s="307"/>
      <c r="R323" s="307"/>
      <c r="S323" s="307"/>
      <c r="T323" s="307"/>
      <c r="U323" s="307"/>
      <c r="V323" s="307"/>
      <c r="W323" s="307"/>
      <c r="X323" s="307"/>
      <c r="Y323" s="307"/>
      <c r="Z323" s="307"/>
      <c r="AA323" s="307"/>
      <c r="AB323" s="307"/>
      <c r="AC323" s="307"/>
      <c r="AD323" s="307"/>
      <c r="AE323" s="307"/>
      <c r="AF323" s="307"/>
      <c r="AG323" s="307"/>
      <c r="AH323" s="307"/>
    </row>
    <row r="324" spans="1:34" ht="17.399999999999999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  <c r="M324" s="307"/>
      <c r="N324" s="307"/>
      <c r="O324" s="307"/>
      <c r="P324" s="307"/>
      <c r="Q324" s="307"/>
      <c r="R324" s="307"/>
      <c r="S324" s="307"/>
      <c r="T324" s="307"/>
      <c r="U324" s="307"/>
      <c r="V324" s="307"/>
      <c r="W324" s="307"/>
      <c r="X324" s="307"/>
      <c r="Y324" s="307"/>
      <c r="Z324" s="307"/>
      <c r="AA324" s="307"/>
      <c r="AB324" s="307"/>
      <c r="AC324" s="307"/>
      <c r="AD324" s="307"/>
      <c r="AE324" s="307"/>
      <c r="AF324" s="307"/>
      <c r="AG324" s="307"/>
      <c r="AH324" s="307"/>
    </row>
    <row r="325" spans="1:34" ht="17.399999999999999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  <c r="M325" s="307"/>
      <c r="N325" s="307"/>
      <c r="O325" s="307"/>
      <c r="P325" s="307"/>
      <c r="Q325" s="307"/>
      <c r="R325" s="307"/>
      <c r="S325" s="307"/>
      <c r="T325" s="307"/>
      <c r="U325" s="307"/>
      <c r="V325" s="307"/>
      <c r="W325" s="307"/>
      <c r="X325" s="307"/>
      <c r="Y325" s="307"/>
      <c r="Z325" s="307"/>
      <c r="AA325" s="307"/>
      <c r="AB325" s="307"/>
      <c r="AC325" s="307"/>
      <c r="AD325" s="307"/>
      <c r="AE325" s="307"/>
      <c r="AF325" s="307"/>
      <c r="AG325" s="307"/>
      <c r="AH325" s="307"/>
    </row>
    <row r="326" spans="1:34" ht="17.399999999999999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  <c r="M326" s="307"/>
      <c r="N326" s="307"/>
      <c r="O326" s="307"/>
      <c r="P326" s="307"/>
      <c r="Q326" s="307"/>
      <c r="R326" s="307"/>
      <c r="S326" s="307"/>
      <c r="T326" s="307"/>
      <c r="U326" s="307"/>
      <c r="V326" s="307"/>
      <c r="W326" s="307"/>
      <c r="X326" s="307"/>
      <c r="Y326" s="307"/>
      <c r="Z326" s="307"/>
      <c r="AA326" s="307"/>
      <c r="AB326" s="307"/>
      <c r="AC326" s="307"/>
      <c r="AD326" s="307"/>
      <c r="AE326" s="307"/>
      <c r="AF326" s="307"/>
      <c r="AG326" s="307"/>
      <c r="AH326" s="307"/>
    </row>
    <row r="327" spans="1:34" ht="17.399999999999999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  <c r="M327" s="307"/>
      <c r="N327" s="307"/>
      <c r="O327" s="307"/>
      <c r="P327" s="307"/>
      <c r="Q327" s="307"/>
      <c r="R327" s="307"/>
      <c r="S327" s="307"/>
      <c r="T327" s="307"/>
      <c r="U327" s="307"/>
      <c r="V327" s="307"/>
      <c r="W327" s="307"/>
      <c r="X327" s="307"/>
      <c r="Y327" s="307"/>
      <c r="Z327" s="307"/>
      <c r="AA327" s="307"/>
      <c r="AB327" s="307"/>
      <c r="AC327" s="307"/>
      <c r="AD327" s="307"/>
      <c r="AE327" s="307"/>
      <c r="AF327" s="307"/>
      <c r="AG327" s="307"/>
      <c r="AH327" s="307"/>
    </row>
    <row r="328" spans="1:34" ht="17.399999999999999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  <c r="M328" s="307"/>
      <c r="N328" s="307"/>
      <c r="O328" s="307"/>
      <c r="P328" s="307"/>
      <c r="Q328" s="307"/>
      <c r="R328" s="307"/>
      <c r="S328" s="307"/>
      <c r="T328" s="307"/>
      <c r="U328" s="307"/>
      <c r="V328" s="307"/>
      <c r="W328" s="307"/>
      <c r="X328" s="307"/>
      <c r="Y328" s="307"/>
      <c r="Z328" s="307"/>
      <c r="AA328" s="307"/>
      <c r="AB328" s="307"/>
      <c r="AC328" s="307"/>
      <c r="AD328" s="307"/>
      <c r="AE328" s="307"/>
      <c r="AF328" s="307"/>
      <c r="AG328" s="307"/>
      <c r="AH328" s="307"/>
    </row>
    <row r="329" spans="1:34" ht="17.399999999999999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  <c r="M329" s="307"/>
      <c r="N329" s="307"/>
      <c r="O329" s="307"/>
      <c r="P329" s="307"/>
      <c r="Q329" s="307"/>
      <c r="R329" s="307"/>
      <c r="S329" s="307"/>
      <c r="T329" s="307"/>
      <c r="U329" s="307"/>
      <c r="V329" s="307"/>
      <c r="W329" s="307"/>
      <c r="X329" s="307"/>
      <c r="Y329" s="307"/>
      <c r="Z329" s="307"/>
      <c r="AA329" s="307"/>
      <c r="AB329" s="307"/>
      <c r="AC329" s="307"/>
      <c r="AD329" s="307"/>
      <c r="AE329" s="307"/>
      <c r="AF329" s="307"/>
      <c r="AG329" s="307"/>
      <c r="AH329" s="307"/>
    </row>
    <row r="330" spans="1:34" ht="17.399999999999999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  <c r="M330" s="307"/>
      <c r="N330" s="307"/>
      <c r="O330" s="307"/>
      <c r="P330" s="307"/>
      <c r="Q330" s="307"/>
      <c r="R330" s="307"/>
      <c r="S330" s="307"/>
      <c r="T330" s="307"/>
      <c r="U330" s="307"/>
      <c r="V330" s="307"/>
      <c r="W330" s="307"/>
      <c r="X330" s="307"/>
      <c r="Y330" s="307"/>
      <c r="Z330" s="307"/>
      <c r="AA330" s="307"/>
      <c r="AB330" s="307"/>
      <c r="AC330" s="307"/>
      <c r="AD330" s="307"/>
      <c r="AE330" s="307"/>
      <c r="AF330" s="307"/>
      <c r="AG330" s="307"/>
      <c r="AH330" s="307"/>
    </row>
    <row r="331" spans="1:34" ht="17.399999999999999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  <c r="M331" s="307"/>
      <c r="N331" s="307"/>
      <c r="O331" s="307"/>
      <c r="P331" s="307"/>
      <c r="Q331" s="307"/>
      <c r="R331" s="307"/>
      <c r="S331" s="307"/>
      <c r="T331" s="307"/>
      <c r="U331" s="307"/>
      <c r="V331" s="307"/>
      <c r="W331" s="307"/>
      <c r="X331" s="307"/>
      <c r="Y331" s="307"/>
      <c r="Z331" s="307"/>
      <c r="AA331" s="307"/>
      <c r="AB331" s="307"/>
      <c r="AC331" s="307"/>
      <c r="AD331" s="307"/>
      <c r="AE331" s="307"/>
      <c r="AF331" s="307"/>
      <c r="AG331" s="307"/>
      <c r="AH331" s="307"/>
    </row>
    <row r="332" spans="1:34" ht="17.399999999999999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  <c r="M332" s="307"/>
      <c r="N332" s="307"/>
      <c r="O332" s="307"/>
      <c r="P332" s="307"/>
      <c r="Q332" s="307"/>
      <c r="R332" s="307"/>
      <c r="S332" s="307"/>
      <c r="T332" s="307"/>
      <c r="U332" s="307"/>
      <c r="V332" s="307"/>
      <c r="W332" s="307"/>
      <c r="X332" s="307"/>
      <c r="Y332" s="307"/>
      <c r="Z332" s="307"/>
      <c r="AA332" s="307"/>
      <c r="AB332" s="307"/>
      <c r="AC332" s="307"/>
      <c r="AD332" s="307"/>
      <c r="AE332" s="307"/>
      <c r="AF332" s="307"/>
      <c r="AG332" s="307"/>
      <c r="AH332" s="307"/>
    </row>
    <row r="333" spans="1:34" ht="17.399999999999999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  <c r="M333" s="307"/>
      <c r="N333" s="307"/>
      <c r="O333" s="307"/>
      <c r="P333" s="307"/>
      <c r="Q333" s="307"/>
      <c r="R333" s="307"/>
      <c r="S333" s="307"/>
      <c r="T333" s="307"/>
      <c r="U333" s="307"/>
      <c r="V333" s="307"/>
      <c r="W333" s="307"/>
      <c r="X333" s="307"/>
      <c r="Y333" s="307"/>
      <c r="Z333" s="307"/>
      <c r="AA333" s="307"/>
      <c r="AB333" s="307"/>
      <c r="AC333" s="307"/>
      <c r="AD333" s="307"/>
      <c r="AE333" s="307"/>
      <c r="AF333" s="307"/>
      <c r="AG333" s="307"/>
      <c r="AH333" s="307"/>
    </row>
    <row r="334" spans="1:34" ht="17.399999999999999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  <c r="M334" s="307"/>
      <c r="N334" s="307"/>
      <c r="O334" s="307"/>
      <c r="P334" s="307"/>
      <c r="Q334" s="307"/>
      <c r="R334" s="307"/>
      <c r="S334" s="307"/>
      <c r="T334" s="307"/>
      <c r="U334" s="307"/>
      <c r="V334" s="307"/>
      <c r="W334" s="307"/>
      <c r="X334" s="307"/>
      <c r="Y334" s="307"/>
      <c r="Z334" s="307"/>
      <c r="AA334" s="307"/>
      <c r="AB334" s="307"/>
      <c r="AC334" s="307"/>
      <c r="AD334" s="307"/>
      <c r="AE334" s="307"/>
      <c r="AF334" s="307"/>
      <c r="AG334" s="307"/>
      <c r="AH334" s="307"/>
    </row>
    <row r="335" spans="1:34" ht="17.399999999999999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  <c r="M335" s="307"/>
      <c r="N335" s="307"/>
      <c r="O335" s="307"/>
      <c r="P335" s="307"/>
      <c r="Q335" s="307"/>
      <c r="R335" s="307"/>
      <c r="S335" s="307"/>
      <c r="T335" s="307"/>
      <c r="U335" s="307"/>
      <c r="V335" s="307"/>
      <c r="W335" s="307"/>
      <c r="X335" s="307"/>
      <c r="Y335" s="307"/>
      <c r="Z335" s="307"/>
      <c r="AA335" s="307"/>
      <c r="AB335" s="307"/>
      <c r="AC335" s="307"/>
      <c r="AD335" s="307"/>
      <c r="AE335" s="307"/>
      <c r="AF335" s="307"/>
      <c r="AG335" s="307"/>
      <c r="AH335" s="307"/>
    </row>
    <row r="336" spans="1:34" ht="17.399999999999999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  <c r="M336" s="307"/>
      <c r="N336" s="307"/>
      <c r="O336" s="307"/>
      <c r="P336" s="307"/>
      <c r="Q336" s="307"/>
      <c r="R336" s="307"/>
      <c r="S336" s="307"/>
      <c r="T336" s="307"/>
      <c r="U336" s="307"/>
      <c r="V336" s="307"/>
      <c r="W336" s="307"/>
      <c r="X336" s="307"/>
      <c r="Y336" s="307"/>
      <c r="Z336" s="307"/>
      <c r="AA336" s="307"/>
      <c r="AB336" s="307"/>
      <c r="AC336" s="307"/>
      <c r="AD336" s="307"/>
      <c r="AE336" s="307"/>
      <c r="AF336" s="307"/>
      <c r="AG336" s="307"/>
      <c r="AH336" s="307"/>
    </row>
    <row r="337" spans="1:34" ht="17.399999999999999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  <c r="M337" s="307"/>
      <c r="N337" s="307"/>
      <c r="O337" s="307"/>
      <c r="P337" s="307"/>
      <c r="Q337" s="307"/>
      <c r="R337" s="307"/>
      <c r="S337" s="307"/>
      <c r="T337" s="307"/>
      <c r="U337" s="307"/>
      <c r="V337" s="307"/>
      <c r="W337" s="307"/>
      <c r="X337" s="307"/>
      <c r="Y337" s="307"/>
      <c r="Z337" s="307"/>
      <c r="AA337" s="307"/>
      <c r="AB337" s="307"/>
      <c r="AC337" s="307"/>
      <c r="AD337" s="307"/>
      <c r="AE337" s="307"/>
      <c r="AF337" s="307"/>
      <c r="AG337" s="307"/>
      <c r="AH337" s="307"/>
    </row>
    <row r="338" spans="1:34" ht="17.399999999999999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  <c r="M338" s="307"/>
      <c r="N338" s="307"/>
      <c r="O338" s="307"/>
      <c r="P338" s="307"/>
      <c r="Q338" s="307"/>
      <c r="R338" s="307"/>
      <c r="S338" s="307"/>
      <c r="T338" s="307"/>
      <c r="U338" s="307"/>
      <c r="V338" s="307"/>
      <c r="W338" s="307"/>
      <c r="X338" s="307"/>
      <c r="Y338" s="307"/>
      <c r="Z338" s="307"/>
      <c r="AA338" s="307"/>
      <c r="AB338" s="307"/>
      <c r="AC338" s="307"/>
      <c r="AD338" s="307"/>
      <c r="AE338" s="307"/>
      <c r="AF338" s="307"/>
      <c r="AG338" s="307"/>
      <c r="AH338" s="307"/>
    </row>
    <row r="339" spans="1:34" ht="17.399999999999999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  <c r="M339" s="307"/>
      <c r="N339" s="307"/>
      <c r="O339" s="307"/>
      <c r="P339" s="307"/>
      <c r="Q339" s="307"/>
      <c r="R339" s="307"/>
      <c r="S339" s="307"/>
      <c r="T339" s="307"/>
      <c r="U339" s="307"/>
      <c r="V339" s="307"/>
      <c r="W339" s="307"/>
      <c r="X339" s="307"/>
      <c r="Y339" s="307"/>
      <c r="Z339" s="307"/>
      <c r="AA339" s="307"/>
      <c r="AB339" s="307"/>
      <c r="AC339" s="307"/>
      <c r="AD339" s="307"/>
      <c r="AE339" s="307"/>
      <c r="AF339" s="307"/>
      <c r="AG339" s="307"/>
      <c r="AH339" s="307"/>
    </row>
    <row r="340" spans="1:34" ht="17.399999999999999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  <c r="M340" s="307"/>
      <c r="N340" s="307"/>
      <c r="O340" s="307"/>
      <c r="P340" s="307"/>
      <c r="Q340" s="307"/>
      <c r="R340" s="307"/>
      <c r="S340" s="307"/>
      <c r="T340" s="307"/>
      <c r="U340" s="307"/>
      <c r="V340" s="307"/>
      <c r="W340" s="307"/>
      <c r="X340" s="307"/>
      <c r="Y340" s="307"/>
      <c r="Z340" s="307"/>
      <c r="AA340" s="307"/>
      <c r="AB340" s="307"/>
      <c r="AC340" s="307"/>
      <c r="AD340" s="307"/>
      <c r="AE340" s="307"/>
      <c r="AF340" s="307"/>
      <c r="AG340" s="307"/>
      <c r="AH340" s="307"/>
    </row>
    <row r="341" spans="1:34" ht="17.399999999999999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  <c r="M341" s="307"/>
      <c r="N341" s="307"/>
      <c r="O341" s="307"/>
      <c r="P341" s="307"/>
      <c r="Q341" s="307"/>
      <c r="R341" s="307"/>
      <c r="S341" s="307"/>
      <c r="T341" s="307"/>
      <c r="U341" s="307"/>
      <c r="V341" s="307"/>
      <c r="W341" s="307"/>
      <c r="X341" s="307"/>
      <c r="Y341" s="307"/>
      <c r="Z341" s="307"/>
      <c r="AA341" s="307"/>
      <c r="AB341" s="307"/>
      <c r="AC341" s="307"/>
      <c r="AD341" s="307"/>
      <c r="AE341" s="307"/>
      <c r="AF341" s="307"/>
      <c r="AG341" s="307"/>
      <c r="AH341" s="307"/>
    </row>
    <row r="342" spans="1:34" ht="17.399999999999999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  <c r="M342" s="307"/>
      <c r="N342" s="307"/>
      <c r="O342" s="307"/>
      <c r="P342" s="307"/>
      <c r="Q342" s="307"/>
      <c r="R342" s="307"/>
      <c r="S342" s="307"/>
      <c r="T342" s="307"/>
      <c r="U342" s="307"/>
      <c r="V342" s="307"/>
      <c r="W342" s="307"/>
      <c r="X342" s="307"/>
      <c r="Y342" s="307"/>
      <c r="Z342" s="307"/>
      <c r="AA342" s="307"/>
      <c r="AB342" s="307"/>
      <c r="AC342" s="307"/>
      <c r="AD342" s="307"/>
      <c r="AE342" s="307"/>
      <c r="AF342" s="307"/>
      <c r="AG342" s="307"/>
      <c r="AH342" s="307"/>
    </row>
    <row r="343" spans="1:34" ht="17.399999999999999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  <c r="M343" s="307"/>
      <c r="N343" s="307"/>
      <c r="O343" s="307"/>
      <c r="P343" s="307"/>
      <c r="Q343" s="307"/>
      <c r="R343" s="307"/>
      <c r="S343" s="307"/>
      <c r="T343" s="307"/>
      <c r="U343" s="307"/>
      <c r="V343" s="307"/>
      <c r="W343" s="307"/>
      <c r="X343" s="307"/>
      <c r="Y343" s="307"/>
      <c r="Z343" s="307"/>
      <c r="AA343" s="307"/>
      <c r="AB343" s="307"/>
      <c r="AC343" s="307"/>
      <c r="AD343" s="307"/>
      <c r="AE343" s="307"/>
      <c r="AF343" s="307"/>
      <c r="AG343" s="307"/>
      <c r="AH343" s="307"/>
    </row>
    <row r="344" spans="1:34" ht="17.399999999999999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  <c r="M344" s="307"/>
      <c r="N344" s="307"/>
      <c r="O344" s="307"/>
      <c r="P344" s="307"/>
      <c r="Q344" s="307"/>
      <c r="R344" s="307"/>
      <c r="S344" s="307"/>
      <c r="T344" s="307"/>
      <c r="U344" s="307"/>
      <c r="V344" s="307"/>
      <c r="W344" s="307"/>
      <c r="X344" s="307"/>
      <c r="Y344" s="307"/>
      <c r="Z344" s="307"/>
      <c r="AA344" s="307"/>
      <c r="AB344" s="307"/>
      <c r="AC344" s="307"/>
      <c r="AD344" s="307"/>
      <c r="AE344" s="307"/>
      <c r="AF344" s="307"/>
      <c r="AG344" s="307"/>
      <c r="AH344" s="307"/>
    </row>
    <row r="345" spans="1:34" ht="17.399999999999999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  <c r="M345" s="307"/>
      <c r="N345" s="307"/>
      <c r="O345" s="307"/>
      <c r="P345" s="307"/>
      <c r="Q345" s="307"/>
      <c r="R345" s="307"/>
      <c r="S345" s="307"/>
      <c r="T345" s="307"/>
      <c r="U345" s="307"/>
      <c r="V345" s="307"/>
      <c r="W345" s="307"/>
      <c r="X345" s="307"/>
      <c r="Y345" s="307"/>
      <c r="Z345" s="307"/>
      <c r="AA345" s="307"/>
      <c r="AB345" s="307"/>
      <c r="AC345" s="307"/>
      <c r="AD345" s="307"/>
      <c r="AE345" s="307"/>
      <c r="AF345" s="307"/>
      <c r="AG345" s="307"/>
      <c r="AH345" s="307"/>
    </row>
    <row r="346" spans="1:34" ht="17.399999999999999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  <c r="M346" s="307"/>
      <c r="N346" s="307"/>
      <c r="O346" s="307"/>
      <c r="P346" s="307"/>
      <c r="Q346" s="307"/>
      <c r="R346" s="307"/>
      <c r="S346" s="307"/>
      <c r="T346" s="307"/>
      <c r="U346" s="307"/>
      <c r="V346" s="307"/>
      <c r="W346" s="307"/>
      <c r="X346" s="307"/>
      <c r="Y346" s="307"/>
      <c r="Z346" s="307"/>
      <c r="AA346" s="307"/>
      <c r="AB346" s="307"/>
      <c r="AC346" s="307"/>
      <c r="AD346" s="307"/>
      <c r="AE346" s="307"/>
      <c r="AF346" s="307"/>
      <c r="AG346" s="307"/>
      <c r="AH346" s="307"/>
    </row>
    <row r="347" spans="1:34" ht="17.399999999999999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  <c r="M347" s="307"/>
      <c r="N347" s="307"/>
      <c r="O347" s="307"/>
      <c r="P347" s="307"/>
      <c r="Q347" s="307"/>
      <c r="R347" s="307"/>
      <c r="S347" s="307"/>
      <c r="T347" s="307"/>
      <c r="U347" s="307"/>
      <c r="V347" s="307"/>
      <c r="W347" s="307"/>
      <c r="X347" s="307"/>
      <c r="Y347" s="307"/>
      <c r="Z347" s="307"/>
      <c r="AA347" s="307"/>
      <c r="AB347" s="307"/>
      <c r="AC347" s="307"/>
      <c r="AD347" s="307"/>
      <c r="AE347" s="307"/>
      <c r="AF347" s="307"/>
      <c r="AG347" s="307"/>
      <c r="AH347" s="307"/>
    </row>
    <row r="348" spans="1:34" ht="17.399999999999999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  <c r="M348" s="307"/>
      <c r="N348" s="307"/>
      <c r="O348" s="307"/>
      <c r="P348" s="307"/>
      <c r="Q348" s="307"/>
      <c r="R348" s="307"/>
      <c r="S348" s="307"/>
      <c r="T348" s="307"/>
      <c r="U348" s="307"/>
      <c r="V348" s="307"/>
      <c r="W348" s="307"/>
      <c r="X348" s="307"/>
      <c r="Y348" s="307"/>
      <c r="Z348" s="307"/>
      <c r="AA348" s="307"/>
      <c r="AB348" s="307"/>
      <c r="AC348" s="307"/>
      <c r="AD348" s="307"/>
      <c r="AE348" s="307"/>
      <c r="AF348" s="307"/>
      <c r="AG348" s="307"/>
      <c r="AH348" s="307"/>
    </row>
    <row r="349" spans="1:34" ht="17.399999999999999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  <c r="M349" s="307"/>
      <c r="N349" s="307"/>
      <c r="O349" s="307"/>
      <c r="P349" s="307"/>
      <c r="Q349" s="307"/>
      <c r="R349" s="307"/>
      <c r="S349" s="307"/>
      <c r="T349" s="307"/>
      <c r="U349" s="307"/>
      <c r="V349" s="307"/>
      <c r="W349" s="307"/>
      <c r="X349" s="307"/>
      <c r="Y349" s="307"/>
      <c r="Z349" s="307"/>
      <c r="AA349" s="307"/>
      <c r="AB349" s="307"/>
      <c r="AC349" s="307"/>
      <c r="AD349" s="307"/>
      <c r="AE349" s="307"/>
      <c r="AF349" s="307"/>
      <c r="AG349" s="307"/>
      <c r="AH349" s="307"/>
    </row>
    <row r="350" spans="1:34" ht="17.399999999999999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  <c r="M350" s="307"/>
      <c r="N350" s="307"/>
      <c r="O350" s="307"/>
      <c r="P350" s="307"/>
      <c r="Q350" s="307"/>
      <c r="R350" s="307"/>
      <c r="S350" s="307"/>
      <c r="T350" s="307"/>
      <c r="U350" s="307"/>
      <c r="V350" s="307"/>
      <c r="W350" s="307"/>
      <c r="X350" s="307"/>
      <c r="Y350" s="307"/>
      <c r="Z350" s="307"/>
      <c r="AA350" s="307"/>
      <c r="AB350" s="307"/>
      <c r="AC350" s="307"/>
      <c r="AD350" s="307"/>
      <c r="AE350" s="307"/>
      <c r="AF350" s="307"/>
      <c r="AG350" s="307"/>
      <c r="AH350" s="307"/>
    </row>
    <row r="351" spans="1:34" ht="17.399999999999999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  <c r="M351" s="307"/>
      <c r="N351" s="307"/>
      <c r="O351" s="307"/>
      <c r="P351" s="307"/>
      <c r="Q351" s="307"/>
      <c r="R351" s="307"/>
      <c r="S351" s="307"/>
      <c r="T351" s="307"/>
      <c r="U351" s="307"/>
      <c r="V351" s="307"/>
      <c r="W351" s="307"/>
      <c r="X351" s="307"/>
      <c r="Y351" s="307"/>
      <c r="Z351" s="307"/>
      <c r="AA351" s="307"/>
      <c r="AB351" s="307"/>
      <c r="AC351" s="307"/>
      <c r="AD351" s="307"/>
      <c r="AE351" s="307"/>
      <c r="AF351" s="307"/>
      <c r="AG351" s="307"/>
      <c r="AH351" s="307"/>
    </row>
    <row r="352" spans="1:34" ht="17.399999999999999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  <c r="M352" s="307"/>
      <c r="N352" s="307"/>
      <c r="O352" s="307"/>
      <c r="P352" s="307"/>
      <c r="Q352" s="307"/>
      <c r="R352" s="307"/>
      <c r="S352" s="307"/>
      <c r="T352" s="307"/>
      <c r="U352" s="307"/>
      <c r="V352" s="307"/>
      <c r="W352" s="307"/>
      <c r="X352" s="307"/>
      <c r="Y352" s="307"/>
      <c r="Z352" s="307"/>
      <c r="AA352" s="307"/>
      <c r="AB352" s="307"/>
      <c r="AC352" s="307"/>
      <c r="AD352" s="307"/>
      <c r="AE352" s="307"/>
      <c r="AF352" s="307"/>
      <c r="AG352" s="307"/>
      <c r="AH352" s="307"/>
    </row>
    <row r="353" spans="1:34" ht="17.399999999999999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  <c r="M353" s="307"/>
      <c r="N353" s="307"/>
      <c r="O353" s="307"/>
      <c r="P353" s="307"/>
      <c r="Q353" s="307"/>
      <c r="R353" s="307"/>
      <c r="S353" s="307"/>
      <c r="T353" s="307"/>
      <c r="U353" s="307"/>
      <c r="V353" s="307"/>
      <c r="W353" s="307"/>
      <c r="X353" s="307"/>
      <c r="Y353" s="307"/>
      <c r="Z353" s="307"/>
      <c r="AA353" s="307"/>
      <c r="AB353" s="307"/>
      <c r="AC353" s="307"/>
      <c r="AD353" s="307"/>
      <c r="AE353" s="307"/>
      <c r="AF353" s="307"/>
      <c r="AG353" s="307"/>
      <c r="AH353" s="307"/>
    </row>
    <row r="354" spans="1:34" ht="17.399999999999999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  <c r="M354" s="307"/>
      <c r="N354" s="307"/>
      <c r="O354" s="307"/>
      <c r="P354" s="307"/>
      <c r="Q354" s="307"/>
      <c r="R354" s="307"/>
      <c r="S354" s="307"/>
      <c r="T354" s="307"/>
      <c r="U354" s="307"/>
      <c r="V354" s="307"/>
      <c r="W354" s="307"/>
      <c r="X354" s="307"/>
      <c r="Y354" s="307"/>
      <c r="Z354" s="307"/>
      <c r="AA354" s="307"/>
      <c r="AB354" s="307"/>
      <c r="AC354" s="307"/>
      <c r="AD354" s="307"/>
      <c r="AE354" s="307"/>
      <c r="AF354" s="307"/>
      <c r="AG354" s="307"/>
      <c r="AH354" s="307"/>
    </row>
    <row r="355" spans="1:34" ht="17.399999999999999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  <c r="M355" s="307"/>
      <c r="N355" s="307"/>
      <c r="O355" s="307"/>
      <c r="P355" s="307"/>
      <c r="Q355" s="307"/>
      <c r="R355" s="307"/>
      <c r="S355" s="307"/>
      <c r="T355" s="307"/>
      <c r="U355" s="307"/>
      <c r="V355" s="307"/>
      <c r="W355" s="307"/>
      <c r="X355" s="307"/>
      <c r="Y355" s="307"/>
      <c r="Z355" s="307"/>
      <c r="AA355" s="307"/>
      <c r="AB355" s="307"/>
      <c r="AC355" s="307"/>
      <c r="AD355" s="307"/>
      <c r="AE355" s="307"/>
      <c r="AF355" s="307"/>
      <c r="AG355" s="307"/>
      <c r="AH355" s="307"/>
    </row>
    <row r="356" spans="1:34" ht="17.399999999999999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  <c r="M356" s="307"/>
      <c r="N356" s="307"/>
      <c r="O356" s="307"/>
      <c r="P356" s="307"/>
      <c r="Q356" s="307"/>
      <c r="R356" s="307"/>
      <c r="S356" s="307"/>
      <c r="T356" s="307"/>
      <c r="U356" s="307"/>
      <c r="V356" s="307"/>
      <c r="W356" s="307"/>
      <c r="X356" s="307"/>
      <c r="Y356" s="307"/>
      <c r="Z356" s="307"/>
      <c r="AA356" s="307"/>
      <c r="AB356" s="307"/>
      <c r="AC356" s="307"/>
      <c r="AD356" s="307"/>
      <c r="AE356" s="307"/>
      <c r="AF356" s="307"/>
      <c r="AG356" s="307"/>
      <c r="AH356" s="307"/>
    </row>
    <row r="357" spans="1:34" ht="17.399999999999999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  <c r="M357" s="307"/>
      <c r="N357" s="307"/>
      <c r="O357" s="307"/>
      <c r="P357" s="307"/>
      <c r="Q357" s="307"/>
      <c r="R357" s="307"/>
      <c r="S357" s="307"/>
      <c r="T357" s="307"/>
      <c r="U357" s="307"/>
      <c r="V357" s="307"/>
      <c r="W357" s="307"/>
      <c r="X357" s="307"/>
      <c r="Y357" s="307"/>
      <c r="Z357" s="307"/>
      <c r="AA357" s="307"/>
      <c r="AB357" s="307"/>
      <c r="AC357" s="307"/>
      <c r="AD357" s="307"/>
      <c r="AE357" s="307"/>
      <c r="AF357" s="307"/>
      <c r="AG357" s="307"/>
      <c r="AH357" s="307"/>
    </row>
    <row r="358" spans="1:34" ht="17.399999999999999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  <c r="M358" s="307"/>
      <c r="N358" s="307"/>
      <c r="O358" s="307"/>
      <c r="P358" s="307"/>
      <c r="Q358" s="307"/>
      <c r="R358" s="307"/>
      <c r="S358" s="307"/>
      <c r="T358" s="307"/>
      <c r="U358" s="307"/>
      <c r="V358" s="307"/>
      <c r="W358" s="307"/>
      <c r="X358" s="307"/>
      <c r="Y358" s="307"/>
      <c r="Z358" s="307"/>
      <c r="AA358" s="307"/>
      <c r="AB358" s="307"/>
      <c r="AC358" s="307"/>
      <c r="AD358" s="307"/>
      <c r="AE358" s="307"/>
      <c r="AF358" s="307"/>
      <c r="AG358" s="307"/>
      <c r="AH358" s="307"/>
    </row>
    <row r="359" spans="1:34" ht="17.399999999999999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  <c r="M359" s="307"/>
      <c r="N359" s="307"/>
      <c r="O359" s="307"/>
      <c r="P359" s="307"/>
      <c r="Q359" s="307"/>
      <c r="R359" s="307"/>
      <c r="S359" s="307"/>
      <c r="T359" s="307"/>
      <c r="U359" s="307"/>
      <c r="V359" s="307"/>
      <c r="W359" s="307"/>
      <c r="X359" s="307"/>
      <c r="Y359" s="307"/>
      <c r="Z359" s="307"/>
      <c r="AA359" s="307"/>
      <c r="AB359" s="307"/>
      <c r="AC359" s="307"/>
      <c r="AD359" s="307"/>
      <c r="AE359" s="307"/>
      <c r="AF359" s="307"/>
      <c r="AG359" s="307"/>
      <c r="AH359" s="307"/>
    </row>
    <row r="360" spans="1:34" ht="17.399999999999999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  <c r="M360" s="307"/>
      <c r="N360" s="307"/>
      <c r="O360" s="307"/>
      <c r="P360" s="307"/>
      <c r="Q360" s="307"/>
      <c r="R360" s="307"/>
      <c r="S360" s="307"/>
      <c r="T360" s="307"/>
      <c r="U360" s="307"/>
      <c r="V360" s="307"/>
      <c r="W360" s="307"/>
      <c r="X360" s="307"/>
      <c r="Y360" s="307"/>
      <c r="Z360" s="307"/>
      <c r="AA360" s="307"/>
      <c r="AB360" s="307"/>
      <c r="AC360" s="307"/>
      <c r="AD360" s="307"/>
      <c r="AE360" s="307"/>
      <c r="AF360" s="307"/>
      <c r="AG360" s="307"/>
      <c r="AH360" s="307"/>
    </row>
    <row r="361" spans="1:34" ht="17.399999999999999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  <c r="M361" s="307"/>
      <c r="N361" s="307"/>
      <c r="O361" s="307"/>
      <c r="P361" s="307"/>
      <c r="Q361" s="307"/>
      <c r="R361" s="307"/>
      <c r="S361" s="307"/>
      <c r="T361" s="307"/>
      <c r="U361" s="307"/>
      <c r="V361" s="307"/>
      <c r="W361" s="307"/>
      <c r="X361" s="307"/>
      <c r="Y361" s="307"/>
      <c r="Z361" s="307"/>
      <c r="AA361" s="307"/>
      <c r="AB361" s="307"/>
      <c r="AC361" s="307"/>
      <c r="AD361" s="307"/>
      <c r="AE361" s="307"/>
      <c r="AF361" s="307"/>
      <c r="AG361" s="307"/>
      <c r="AH361" s="307"/>
    </row>
    <row r="362" spans="1:34" ht="17.399999999999999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  <c r="M362" s="307"/>
      <c r="N362" s="307"/>
      <c r="O362" s="307"/>
      <c r="P362" s="307"/>
      <c r="Q362" s="307"/>
      <c r="R362" s="307"/>
      <c r="S362" s="307"/>
      <c r="T362" s="307"/>
      <c r="U362" s="307"/>
      <c r="V362" s="307"/>
      <c r="W362" s="307"/>
      <c r="X362" s="307"/>
      <c r="Y362" s="307"/>
      <c r="Z362" s="307"/>
      <c r="AA362" s="307"/>
      <c r="AB362" s="307"/>
      <c r="AC362" s="307"/>
      <c r="AD362" s="307"/>
      <c r="AE362" s="307"/>
      <c r="AF362" s="307"/>
      <c r="AG362" s="307"/>
      <c r="AH362" s="307"/>
    </row>
    <row r="363" spans="1:34" ht="17.399999999999999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  <c r="M363" s="307"/>
      <c r="N363" s="307"/>
      <c r="O363" s="307"/>
      <c r="P363" s="307"/>
      <c r="Q363" s="307"/>
      <c r="R363" s="307"/>
      <c r="S363" s="307"/>
      <c r="T363" s="307"/>
      <c r="U363" s="307"/>
      <c r="V363" s="307"/>
      <c r="W363" s="307"/>
      <c r="X363" s="307"/>
      <c r="Y363" s="307"/>
      <c r="Z363" s="307"/>
      <c r="AA363" s="307"/>
      <c r="AB363" s="307"/>
      <c r="AC363" s="307"/>
      <c r="AD363" s="307"/>
      <c r="AE363" s="307"/>
      <c r="AF363" s="307"/>
      <c r="AG363" s="307"/>
      <c r="AH363" s="307"/>
    </row>
    <row r="364" spans="1:34" ht="17.399999999999999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  <c r="M364" s="307"/>
      <c r="N364" s="307"/>
      <c r="O364" s="307"/>
      <c r="P364" s="307"/>
      <c r="Q364" s="307"/>
      <c r="R364" s="307"/>
      <c r="S364" s="307"/>
      <c r="T364" s="307"/>
      <c r="U364" s="307"/>
      <c r="V364" s="307"/>
      <c r="W364" s="307"/>
      <c r="X364" s="307"/>
      <c r="Y364" s="307"/>
      <c r="Z364" s="307"/>
      <c r="AA364" s="307"/>
      <c r="AB364" s="307"/>
      <c r="AC364" s="307"/>
      <c r="AD364" s="307"/>
      <c r="AE364" s="307"/>
      <c r="AF364" s="307"/>
      <c r="AG364" s="307"/>
      <c r="AH364" s="307"/>
    </row>
    <row r="365" spans="1:34" ht="17.399999999999999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  <c r="M365" s="307"/>
      <c r="N365" s="307"/>
      <c r="O365" s="307"/>
      <c r="P365" s="307"/>
      <c r="Q365" s="307"/>
      <c r="R365" s="307"/>
      <c r="S365" s="307"/>
      <c r="T365" s="307"/>
      <c r="U365" s="307"/>
      <c r="V365" s="307"/>
      <c r="W365" s="307"/>
      <c r="X365" s="307"/>
      <c r="Y365" s="307"/>
      <c r="Z365" s="307"/>
      <c r="AA365" s="307"/>
      <c r="AB365" s="307"/>
      <c r="AC365" s="307"/>
      <c r="AD365" s="307"/>
      <c r="AE365" s="307"/>
      <c r="AF365" s="307"/>
      <c r="AG365" s="307"/>
      <c r="AH365" s="307"/>
    </row>
    <row r="366" spans="1:34" ht="17.399999999999999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  <c r="M366" s="307"/>
      <c r="N366" s="307"/>
      <c r="O366" s="307"/>
      <c r="P366" s="307"/>
      <c r="Q366" s="307"/>
      <c r="R366" s="307"/>
      <c r="S366" s="307"/>
      <c r="T366" s="307"/>
      <c r="U366" s="307"/>
      <c r="V366" s="307"/>
      <c r="W366" s="307"/>
      <c r="X366" s="307"/>
      <c r="Y366" s="307"/>
      <c r="Z366" s="307"/>
      <c r="AA366" s="307"/>
      <c r="AB366" s="307"/>
      <c r="AC366" s="307"/>
      <c r="AD366" s="307"/>
      <c r="AE366" s="307"/>
      <c r="AF366" s="307"/>
      <c r="AG366" s="307"/>
      <c r="AH366" s="307"/>
    </row>
    <row r="367" spans="1:34" ht="17.399999999999999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  <c r="M367" s="307"/>
      <c r="N367" s="307"/>
      <c r="O367" s="307"/>
      <c r="P367" s="307"/>
      <c r="Q367" s="307"/>
      <c r="R367" s="307"/>
      <c r="S367" s="307"/>
      <c r="T367" s="307"/>
      <c r="U367" s="307"/>
      <c r="V367" s="307"/>
      <c r="W367" s="307"/>
      <c r="X367" s="307"/>
      <c r="Y367" s="307"/>
      <c r="Z367" s="307"/>
      <c r="AA367" s="307"/>
      <c r="AB367" s="307"/>
      <c r="AC367" s="307"/>
      <c r="AD367" s="307"/>
      <c r="AE367" s="307"/>
      <c r="AF367" s="307"/>
      <c r="AG367" s="307"/>
      <c r="AH367" s="307"/>
    </row>
    <row r="368" spans="1:34" ht="17.399999999999999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  <c r="M368" s="307"/>
      <c r="N368" s="307"/>
      <c r="O368" s="307"/>
      <c r="P368" s="307"/>
      <c r="Q368" s="307"/>
      <c r="R368" s="307"/>
      <c r="S368" s="307"/>
      <c r="T368" s="307"/>
      <c r="U368" s="307"/>
      <c r="V368" s="307"/>
      <c r="W368" s="307"/>
      <c r="X368" s="307"/>
      <c r="Y368" s="307"/>
      <c r="Z368" s="307"/>
      <c r="AA368" s="307"/>
      <c r="AB368" s="307"/>
      <c r="AC368" s="307"/>
      <c r="AD368" s="307"/>
      <c r="AE368" s="307"/>
      <c r="AF368" s="307"/>
      <c r="AG368" s="307"/>
      <c r="AH368" s="307"/>
    </row>
    <row r="369" spans="1:34" ht="17.399999999999999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  <c r="M369" s="307"/>
      <c r="N369" s="307"/>
      <c r="O369" s="307"/>
      <c r="P369" s="307"/>
      <c r="Q369" s="307"/>
      <c r="R369" s="307"/>
      <c r="S369" s="307"/>
      <c r="T369" s="307"/>
      <c r="U369" s="307"/>
      <c r="V369" s="307"/>
      <c r="W369" s="307"/>
      <c r="X369" s="307"/>
      <c r="Y369" s="307"/>
      <c r="Z369" s="307"/>
      <c r="AA369" s="307"/>
      <c r="AB369" s="307"/>
      <c r="AC369" s="307"/>
      <c r="AD369" s="307"/>
      <c r="AE369" s="307"/>
      <c r="AF369" s="307"/>
      <c r="AG369" s="307"/>
      <c r="AH369" s="307"/>
    </row>
    <row r="370" spans="1:34" ht="17.399999999999999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  <c r="M370" s="307"/>
      <c r="N370" s="307"/>
      <c r="O370" s="307"/>
      <c r="P370" s="307"/>
      <c r="Q370" s="307"/>
      <c r="R370" s="307"/>
      <c r="S370" s="307"/>
      <c r="T370" s="307"/>
      <c r="U370" s="307"/>
      <c r="V370" s="307"/>
      <c r="W370" s="307"/>
      <c r="X370" s="307"/>
      <c r="Y370" s="307"/>
      <c r="Z370" s="307"/>
      <c r="AA370" s="307"/>
      <c r="AB370" s="307"/>
      <c r="AC370" s="307"/>
      <c r="AD370" s="307"/>
      <c r="AE370" s="307"/>
      <c r="AF370" s="307"/>
      <c r="AG370" s="307"/>
      <c r="AH370" s="307"/>
    </row>
    <row r="371" spans="1:34" ht="17.399999999999999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  <c r="M371" s="307"/>
      <c r="N371" s="307"/>
      <c r="O371" s="307"/>
      <c r="P371" s="307"/>
      <c r="Q371" s="307"/>
      <c r="R371" s="307"/>
      <c r="S371" s="307"/>
      <c r="T371" s="307"/>
      <c r="U371" s="307"/>
      <c r="V371" s="307"/>
      <c r="W371" s="307"/>
      <c r="X371" s="307"/>
      <c r="Y371" s="307"/>
      <c r="Z371" s="307"/>
      <c r="AA371" s="307"/>
      <c r="AB371" s="307"/>
      <c r="AC371" s="307"/>
      <c r="AD371" s="307"/>
      <c r="AE371" s="307"/>
      <c r="AF371" s="307"/>
      <c r="AG371" s="307"/>
      <c r="AH371" s="307"/>
    </row>
    <row r="372" spans="1:34" ht="17.399999999999999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  <c r="M372" s="307"/>
      <c r="N372" s="307"/>
      <c r="O372" s="307"/>
      <c r="P372" s="307"/>
      <c r="Q372" s="307"/>
      <c r="R372" s="307"/>
      <c r="S372" s="307"/>
      <c r="T372" s="307"/>
      <c r="U372" s="307"/>
      <c r="V372" s="307"/>
      <c r="W372" s="307"/>
      <c r="X372" s="307"/>
      <c r="Y372" s="307"/>
      <c r="Z372" s="307"/>
      <c r="AA372" s="307"/>
      <c r="AB372" s="307"/>
      <c r="AC372" s="307"/>
      <c r="AD372" s="307"/>
      <c r="AE372" s="307"/>
      <c r="AF372" s="307"/>
      <c r="AG372" s="307"/>
      <c r="AH372" s="307"/>
    </row>
    <row r="373" spans="1:34" ht="17.399999999999999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  <c r="M373" s="307"/>
      <c r="N373" s="307"/>
      <c r="O373" s="307"/>
      <c r="P373" s="307"/>
      <c r="Q373" s="307"/>
      <c r="R373" s="307"/>
      <c r="S373" s="307"/>
      <c r="T373" s="307"/>
      <c r="U373" s="307"/>
      <c r="V373" s="307"/>
      <c r="W373" s="307"/>
      <c r="X373" s="307"/>
      <c r="Y373" s="307"/>
      <c r="Z373" s="307"/>
      <c r="AA373" s="307"/>
      <c r="AB373" s="307"/>
      <c r="AC373" s="307"/>
      <c r="AD373" s="307"/>
      <c r="AE373" s="307"/>
      <c r="AF373" s="307"/>
      <c r="AG373" s="307"/>
      <c r="AH373" s="307"/>
    </row>
    <row r="374" spans="1:34" ht="17.399999999999999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  <c r="M374" s="307"/>
      <c r="N374" s="307"/>
      <c r="O374" s="307"/>
      <c r="P374" s="307"/>
      <c r="Q374" s="307"/>
      <c r="R374" s="307"/>
      <c r="S374" s="307"/>
      <c r="T374" s="307"/>
      <c r="U374" s="307"/>
      <c r="V374" s="307"/>
      <c r="W374" s="307"/>
      <c r="X374" s="307"/>
      <c r="Y374" s="307"/>
      <c r="Z374" s="307"/>
      <c r="AA374" s="307"/>
      <c r="AB374" s="307"/>
      <c r="AC374" s="307"/>
      <c r="AD374" s="307"/>
      <c r="AE374" s="307"/>
      <c r="AF374" s="307"/>
      <c r="AG374" s="307"/>
      <c r="AH374" s="307"/>
    </row>
    <row r="375" spans="1:34" ht="17.399999999999999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  <c r="M375" s="307"/>
      <c r="N375" s="307"/>
      <c r="O375" s="307"/>
      <c r="P375" s="307"/>
      <c r="Q375" s="307"/>
      <c r="R375" s="307"/>
      <c r="S375" s="307"/>
      <c r="T375" s="307"/>
      <c r="U375" s="307"/>
      <c r="V375" s="307"/>
      <c r="W375" s="307"/>
      <c r="X375" s="307"/>
      <c r="Y375" s="307"/>
      <c r="Z375" s="307"/>
      <c r="AA375" s="307"/>
      <c r="AB375" s="307"/>
      <c r="AC375" s="307"/>
      <c r="AD375" s="307"/>
      <c r="AE375" s="307"/>
      <c r="AF375" s="307"/>
      <c r="AG375" s="307"/>
      <c r="AH375" s="307"/>
    </row>
    <row r="376" spans="1:34" ht="17.399999999999999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  <c r="M376" s="307"/>
      <c r="N376" s="307"/>
      <c r="O376" s="307"/>
      <c r="P376" s="307"/>
      <c r="Q376" s="307"/>
      <c r="R376" s="307"/>
      <c r="S376" s="307"/>
      <c r="T376" s="307"/>
      <c r="U376" s="307"/>
      <c r="V376" s="307"/>
      <c r="W376" s="307"/>
      <c r="X376" s="307"/>
      <c r="Y376" s="307"/>
      <c r="Z376" s="307"/>
      <c r="AA376" s="307"/>
      <c r="AB376" s="307"/>
      <c r="AC376" s="307"/>
      <c r="AD376" s="307"/>
      <c r="AE376" s="307"/>
      <c r="AF376" s="307"/>
      <c r="AG376" s="307"/>
      <c r="AH376" s="307"/>
    </row>
    <row r="377" spans="1:34" ht="17.399999999999999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  <c r="M377" s="307"/>
      <c r="N377" s="307"/>
      <c r="O377" s="307"/>
      <c r="P377" s="307"/>
      <c r="Q377" s="307"/>
      <c r="R377" s="307"/>
      <c r="S377" s="307"/>
      <c r="T377" s="307"/>
      <c r="U377" s="307"/>
      <c r="V377" s="307"/>
      <c r="W377" s="307"/>
      <c r="X377" s="307"/>
      <c r="Y377" s="307"/>
      <c r="Z377" s="307"/>
      <c r="AA377" s="307"/>
      <c r="AB377" s="307"/>
      <c r="AC377" s="307"/>
      <c r="AD377" s="307"/>
      <c r="AE377" s="307"/>
      <c r="AF377" s="307"/>
      <c r="AG377" s="307"/>
      <c r="AH377" s="307"/>
    </row>
    <row r="378" spans="1:34" ht="17.399999999999999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  <c r="M378" s="307"/>
      <c r="N378" s="307"/>
      <c r="O378" s="307"/>
      <c r="P378" s="307"/>
      <c r="Q378" s="307"/>
      <c r="R378" s="307"/>
      <c r="S378" s="307"/>
      <c r="T378" s="307"/>
      <c r="U378" s="307"/>
      <c r="V378" s="307"/>
      <c r="W378" s="307"/>
      <c r="X378" s="307"/>
      <c r="Y378" s="307"/>
      <c r="Z378" s="307"/>
      <c r="AA378" s="307"/>
      <c r="AB378" s="307"/>
      <c r="AC378" s="307"/>
      <c r="AD378" s="307"/>
      <c r="AE378" s="307"/>
      <c r="AF378" s="307"/>
      <c r="AG378" s="307"/>
      <c r="AH378" s="307"/>
    </row>
    <row r="379" spans="1:34" ht="17.399999999999999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  <c r="M379" s="307"/>
      <c r="N379" s="307"/>
      <c r="O379" s="307"/>
      <c r="P379" s="307"/>
      <c r="Q379" s="307"/>
      <c r="R379" s="307"/>
      <c r="S379" s="307"/>
      <c r="T379" s="307"/>
      <c r="U379" s="307"/>
      <c r="V379" s="307"/>
      <c r="W379" s="307"/>
      <c r="X379" s="307"/>
      <c r="Y379" s="307"/>
      <c r="Z379" s="307"/>
      <c r="AA379" s="307"/>
      <c r="AB379" s="307"/>
      <c r="AC379" s="307"/>
      <c r="AD379" s="307"/>
      <c r="AE379" s="307"/>
      <c r="AF379" s="307"/>
      <c r="AG379" s="307"/>
      <c r="AH379" s="307"/>
    </row>
    <row r="380" spans="1:34" ht="17.399999999999999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  <c r="M380" s="307"/>
      <c r="N380" s="307"/>
      <c r="O380" s="307"/>
      <c r="P380" s="307"/>
      <c r="Q380" s="307"/>
      <c r="R380" s="307"/>
      <c r="S380" s="307"/>
      <c r="T380" s="307"/>
      <c r="U380" s="307"/>
      <c r="V380" s="307"/>
      <c r="W380" s="307"/>
      <c r="X380" s="307"/>
      <c r="Y380" s="307"/>
      <c r="Z380" s="307"/>
      <c r="AA380" s="307"/>
      <c r="AB380" s="307"/>
      <c r="AC380" s="307"/>
      <c r="AD380" s="307"/>
      <c r="AE380" s="307"/>
      <c r="AF380" s="307"/>
      <c r="AG380" s="307"/>
      <c r="AH380" s="307"/>
    </row>
    <row r="381" spans="1:34" ht="17.399999999999999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  <c r="M381" s="307"/>
      <c r="N381" s="307"/>
      <c r="O381" s="307"/>
      <c r="P381" s="307"/>
      <c r="Q381" s="307"/>
      <c r="R381" s="307"/>
      <c r="S381" s="307"/>
      <c r="T381" s="307"/>
      <c r="U381" s="307"/>
      <c r="V381" s="307"/>
      <c r="W381" s="307"/>
      <c r="X381" s="307"/>
      <c r="Y381" s="307"/>
      <c r="Z381" s="307"/>
      <c r="AA381" s="307"/>
      <c r="AB381" s="307"/>
      <c r="AC381" s="307"/>
      <c r="AD381" s="307"/>
      <c r="AE381" s="307"/>
      <c r="AF381" s="307"/>
      <c r="AG381" s="307"/>
      <c r="AH381" s="307"/>
    </row>
    <row r="382" spans="1:34" ht="17.399999999999999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  <c r="M382" s="307"/>
      <c r="N382" s="307"/>
      <c r="O382" s="307"/>
      <c r="P382" s="307"/>
      <c r="Q382" s="307"/>
      <c r="R382" s="307"/>
      <c r="S382" s="307"/>
      <c r="T382" s="307"/>
      <c r="U382" s="307"/>
      <c r="V382" s="307"/>
      <c r="W382" s="307"/>
      <c r="X382" s="307"/>
      <c r="Y382" s="307"/>
      <c r="Z382" s="307"/>
      <c r="AA382" s="307"/>
      <c r="AB382" s="307"/>
      <c r="AC382" s="307"/>
      <c r="AD382" s="307"/>
      <c r="AE382" s="307"/>
      <c r="AF382" s="307"/>
      <c r="AG382" s="307"/>
      <c r="AH382" s="307"/>
    </row>
    <row r="383" spans="1:34" ht="17.399999999999999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  <c r="M383" s="307"/>
      <c r="N383" s="307"/>
      <c r="O383" s="307"/>
      <c r="P383" s="307"/>
      <c r="Q383" s="307"/>
      <c r="R383" s="307"/>
      <c r="S383" s="307"/>
      <c r="T383" s="307"/>
      <c r="U383" s="307"/>
      <c r="V383" s="307"/>
      <c r="W383" s="307"/>
      <c r="X383" s="307"/>
      <c r="Y383" s="307"/>
      <c r="Z383" s="307"/>
      <c r="AA383" s="307"/>
      <c r="AB383" s="307"/>
      <c r="AC383" s="307"/>
      <c r="AD383" s="307"/>
      <c r="AE383" s="307"/>
      <c r="AF383" s="307"/>
      <c r="AG383" s="307"/>
      <c r="AH383" s="307"/>
    </row>
    <row r="384" spans="1:34" ht="17.399999999999999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  <c r="M384" s="307"/>
      <c r="N384" s="307"/>
      <c r="O384" s="307"/>
      <c r="P384" s="307"/>
      <c r="Q384" s="307"/>
      <c r="R384" s="307"/>
      <c r="S384" s="307"/>
      <c r="T384" s="307"/>
      <c r="U384" s="307"/>
      <c r="V384" s="307"/>
      <c r="W384" s="307"/>
      <c r="X384" s="307"/>
      <c r="Y384" s="307"/>
      <c r="Z384" s="307"/>
      <c r="AA384" s="307"/>
      <c r="AB384" s="307"/>
      <c r="AC384" s="307"/>
      <c r="AD384" s="307"/>
      <c r="AE384" s="307"/>
      <c r="AF384" s="307"/>
      <c r="AG384" s="307"/>
      <c r="AH384" s="307"/>
    </row>
    <row r="385" spans="1:34" ht="17.399999999999999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  <c r="M385" s="307"/>
      <c r="N385" s="307"/>
      <c r="O385" s="307"/>
      <c r="P385" s="307"/>
      <c r="Q385" s="307"/>
      <c r="R385" s="307"/>
      <c r="S385" s="307"/>
      <c r="T385" s="307"/>
      <c r="U385" s="307"/>
      <c r="V385" s="307"/>
      <c r="W385" s="307"/>
      <c r="X385" s="307"/>
      <c r="Y385" s="307"/>
      <c r="Z385" s="307"/>
      <c r="AA385" s="307"/>
      <c r="AB385" s="307"/>
      <c r="AC385" s="307"/>
      <c r="AD385" s="307"/>
      <c r="AE385" s="307"/>
      <c r="AF385" s="307"/>
      <c r="AG385" s="307"/>
      <c r="AH385" s="307"/>
    </row>
    <row r="386" spans="1:34" ht="17.399999999999999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  <c r="M386" s="307"/>
      <c r="N386" s="307"/>
      <c r="O386" s="307"/>
      <c r="P386" s="307"/>
      <c r="Q386" s="307"/>
      <c r="R386" s="307"/>
      <c r="S386" s="307"/>
      <c r="T386" s="307"/>
      <c r="U386" s="307"/>
      <c r="V386" s="307"/>
      <c r="W386" s="307"/>
      <c r="X386" s="307"/>
      <c r="Y386" s="307"/>
      <c r="Z386" s="307"/>
      <c r="AA386" s="307"/>
      <c r="AB386" s="307"/>
      <c r="AC386" s="307"/>
      <c r="AD386" s="307"/>
      <c r="AE386" s="307"/>
      <c r="AF386" s="307"/>
      <c r="AG386" s="307"/>
      <c r="AH386" s="307"/>
    </row>
    <row r="387" spans="1:34" ht="17.399999999999999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  <c r="M387" s="307"/>
      <c r="N387" s="307"/>
      <c r="O387" s="307"/>
      <c r="P387" s="307"/>
      <c r="Q387" s="307"/>
      <c r="R387" s="307"/>
      <c r="S387" s="307"/>
      <c r="T387" s="307"/>
      <c r="U387" s="307"/>
      <c r="V387" s="307"/>
      <c r="W387" s="307"/>
      <c r="X387" s="307"/>
      <c r="Y387" s="307"/>
      <c r="Z387" s="307"/>
      <c r="AA387" s="307"/>
      <c r="AB387" s="307"/>
      <c r="AC387" s="307"/>
      <c r="AD387" s="307"/>
      <c r="AE387" s="307"/>
      <c r="AF387" s="307"/>
      <c r="AG387" s="307"/>
      <c r="AH387" s="307"/>
    </row>
    <row r="388" spans="1:34" ht="17.399999999999999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  <c r="M388" s="307"/>
      <c r="N388" s="307"/>
      <c r="O388" s="307"/>
      <c r="P388" s="307"/>
      <c r="Q388" s="307"/>
      <c r="R388" s="307"/>
      <c r="S388" s="307"/>
      <c r="T388" s="307"/>
      <c r="U388" s="307"/>
      <c r="V388" s="307"/>
      <c r="W388" s="307"/>
      <c r="X388" s="307"/>
      <c r="Y388" s="307"/>
      <c r="Z388" s="307"/>
      <c r="AA388" s="307"/>
      <c r="AB388" s="307"/>
      <c r="AC388" s="307"/>
      <c r="AD388" s="307"/>
      <c r="AE388" s="307"/>
      <c r="AF388" s="307"/>
      <c r="AG388" s="307"/>
      <c r="AH388" s="307"/>
    </row>
    <row r="389" spans="1:34" ht="17.399999999999999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  <c r="M389" s="307"/>
      <c r="N389" s="307"/>
      <c r="O389" s="307"/>
      <c r="P389" s="307"/>
      <c r="Q389" s="307"/>
      <c r="R389" s="307"/>
      <c r="S389" s="307"/>
      <c r="T389" s="307"/>
      <c r="U389" s="307"/>
      <c r="V389" s="307"/>
      <c r="W389" s="307"/>
      <c r="X389" s="307"/>
      <c r="Y389" s="307"/>
      <c r="Z389" s="307"/>
      <c r="AA389" s="307"/>
      <c r="AB389" s="307"/>
      <c r="AC389" s="307"/>
      <c r="AD389" s="307"/>
      <c r="AE389" s="307"/>
      <c r="AF389" s="307"/>
      <c r="AG389" s="307"/>
      <c r="AH389" s="307"/>
    </row>
    <row r="390" spans="1:34" ht="17.399999999999999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  <c r="M390" s="307"/>
      <c r="N390" s="307"/>
      <c r="O390" s="307"/>
      <c r="P390" s="307"/>
      <c r="Q390" s="307"/>
      <c r="R390" s="307"/>
      <c r="S390" s="307"/>
      <c r="T390" s="307"/>
      <c r="U390" s="307"/>
      <c r="V390" s="307"/>
      <c r="W390" s="307"/>
      <c r="X390" s="307"/>
      <c r="Y390" s="307"/>
      <c r="Z390" s="307"/>
      <c r="AA390" s="307"/>
      <c r="AB390" s="307"/>
      <c r="AC390" s="307"/>
      <c r="AD390" s="307"/>
      <c r="AE390" s="307"/>
      <c r="AF390" s="307"/>
      <c r="AG390" s="307"/>
      <c r="AH390" s="307"/>
    </row>
    <row r="391" spans="1:34" ht="17.399999999999999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  <c r="M391" s="307"/>
      <c r="N391" s="307"/>
      <c r="O391" s="307"/>
      <c r="P391" s="307"/>
      <c r="Q391" s="307"/>
      <c r="R391" s="307"/>
      <c r="S391" s="307"/>
      <c r="T391" s="307"/>
      <c r="U391" s="307"/>
      <c r="V391" s="307"/>
      <c r="W391" s="307"/>
      <c r="X391" s="307"/>
      <c r="Y391" s="307"/>
      <c r="Z391" s="307"/>
      <c r="AA391" s="307"/>
      <c r="AB391" s="307"/>
      <c r="AC391" s="307"/>
      <c r="AD391" s="307"/>
      <c r="AE391" s="307"/>
      <c r="AF391" s="307"/>
      <c r="AG391" s="307"/>
      <c r="AH391" s="307"/>
    </row>
    <row r="392" spans="1:34" ht="17.399999999999999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  <c r="M392" s="307"/>
      <c r="N392" s="307"/>
      <c r="O392" s="307"/>
      <c r="P392" s="307"/>
      <c r="Q392" s="307"/>
      <c r="R392" s="307"/>
      <c r="S392" s="307"/>
      <c r="T392" s="307"/>
      <c r="U392" s="307"/>
      <c r="V392" s="307"/>
      <c r="W392" s="307"/>
      <c r="X392" s="307"/>
      <c r="Y392" s="307"/>
      <c r="Z392" s="307"/>
      <c r="AA392" s="307"/>
      <c r="AB392" s="307"/>
      <c r="AC392" s="307"/>
      <c r="AD392" s="307"/>
      <c r="AE392" s="307"/>
      <c r="AF392" s="307"/>
      <c r="AG392" s="307"/>
      <c r="AH392" s="307"/>
    </row>
    <row r="393" spans="1:34" ht="17.399999999999999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  <c r="M393" s="307"/>
      <c r="N393" s="307"/>
      <c r="O393" s="307"/>
      <c r="P393" s="307"/>
      <c r="Q393" s="307"/>
      <c r="R393" s="307"/>
      <c r="S393" s="307"/>
      <c r="T393" s="307"/>
      <c r="U393" s="307"/>
      <c r="V393" s="307"/>
      <c r="W393" s="307"/>
      <c r="X393" s="307"/>
      <c r="Y393" s="307"/>
      <c r="Z393" s="307"/>
      <c r="AA393" s="307"/>
      <c r="AB393" s="307"/>
      <c r="AC393" s="307"/>
      <c r="AD393" s="307"/>
      <c r="AE393" s="307"/>
      <c r="AF393" s="307"/>
      <c r="AG393" s="307"/>
      <c r="AH393" s="307"/>
    </row>
    <row r="394" spans="1:34" ht="17.399999999999999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  <c r="M394" s="307"/>
      <c r="N394" s="307"/>
      <c r="O394" s="307"/>
      <c r="P394" s="307"/>
      <c r="Q394" s="307"/>
      <c r="R394" s="307"/>
      <c r="S394" s="307"/>
      <c r="T394" s="307"/>
      <c r="U394" s="307"/>
      <c r="V394" s="307"/>
      <c r="W394" s="307"/>
      <c r="X394" s="307"/>
      <c r="Y394" s="307"/>
      <c r="Z394" s="307"/>
      <c r="AA394" s="307"/>
      <c r="AB394" s="307"/>
      <c r="AC394" s="307"/>
      <c r="AD394" s="307"/>
      <c r="AE394" s="307"/>
      <c r="AF394" s="307"/>
      <c r="AG394" s="307"/>
      <c r="AH394" s="307"/>
    </row>
    <row r="395" spans="1:34" ht="17.399999999999999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  <c r="M395" s="307"/>
      <c r="N395" s="307"/>
      <c r="O395" s="307"/>
      <c r="P395" s="307"/>
      <c r="Q395" s="307"/>
      <c r="R395" s="307"/>
      <c r="S395" s="307"/>
      <c r="T395" s="307"/>
      <c r="U395" s="307"/>
      <c r="V395" s="307"/>
      <c r="W395" s="307"/>
      <c r="X395" s="307"/>
      <c r="Y395" s="307"/>
      <c r="Z395" s="307"/>
      <c r="AA395" s="307"/>
      <c r="AB395" s="307"/>
      <c r="AC395" s="307"/>
      <c r="AD395" s="307"/>
      <c r="AE395" s="307"/>
      <c r="AF395" s="307"/>
      <c r="AG395" s="307"/>
      <c r="AH395" s="307"/>
    </row>
    <row r="396" spans="1:34" ht="17.399999999999999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  <c r="M396" s="307"/>
      <c r="N396" s="307"/>
      <c r="O396" s="307"/>
      <c r="P396" s="307"/>
      <c r="Q396" s="307"/>
      <c r="R396" s="307"/>
      <c r="S396" s="307"/>
      <c r="T396" s="307"/>
      <c r="U396" s="307"/>
      <c r="V396" s="307"/>
      <c r="W396" s="307"/>
      <c r="X396" s="307"/>
      <c r="Y396" s="307"/>
      <c r="Z396" s="307"/>
      <c r="AA396" s="307"/>
      <c r="AB396" s="307"/>
      <c r="AC396" s="307"/>
      <c r="AD396" s="307"/>
      <c r="AE396" s="307"/>
      <c r="AF396" s="307"/>
      <c r="AG396" s="307"/>
      <c r="AH396" s="307"/>
    </row>
    <row r="397" spans="1:34" ht="17.399999999999999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  <c r="M397" s="307"/>
      <c r="N397" s="307"/>
      <c r="O397" s="307"/>
      <c r="P397" s="307"/>
      <c r="Q397" s="307"/>
      <c r="R397" s="307"/>
      <c r="S397" s="307"/>
      <c r="T397" s="307"/>
      <c r="U397" s="307"/>
      <c r="V397" s="307"/>
      <c r="W397" s="307"/>
      <c r="X397" s="307"/>
      <c r="Y397" s="307"/>
      <c r="Z397" s="307"/>
      <c r="AA397" s="307"/>
      <c r="AB397" s="307"/>
      <c r="AC397" s="307"/>
      <c r="AD397" s="307"/>
      <c r="AE397" s="307"/>
      <c r="AF397" s="307"/>
      <c r="AG397" s="307"/>
      <c r="AH397" s="307"/>
    </row>
    <row r="398" spans="1:34" ht="17.399999999999999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  <c r="M398" s="307"/>
      <c r="N398" s="307"/>
      <c r="O398" s="307"/>
      <c r="P398" s="307"/>
      <c r="Q398" s="307"/>
      <c r="R398" s="307"/>
      <c r="S398" s="307"/>
      <c r="T398" s="307"/>
      <c r="U398" s="307"/>
      <c r="V398" s="307"/>
      <c r="W398" s="307"/>
      <c r="X398" s="307"/>
      <c r="Y398" s="307"/>
      <c r="Z398" s="307"/>
      <c r="AA398" s="307"/>
      <c r="AB398" s="307"/>
      <c r="AC398" s="307"/>
      <c r="AD398" s="307"/>
      <c r="AE398" s="307"/>
      <c r="AF398" s="307"/>
      <c r="AG398" s="307"/>
      <c r="AH398" s="307"/>
    </row>
    <row r="399" spans="1:34" ht="17.399999999999999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  <c r="M399" s="307"/>
      <c r="N399" s="307"/>
      <c r="O399" s="307"/>
      <c r="P399" s="307"/>
      <c r="Q399" s="307"/>
      <c r="R399" s="307"/>
      <c r="S399" s="307"/>
      <c r="T399" s="307"/>
      <c r="U399" s="307"/>
      <c r="V399" s="307"/>
      <c r="W399" s="307"/>
      <c r="X399" s="307"/>
      <c r="Y399" s="307"/>
      <c r="Z399" s="307"/>
      <c r="AA399" s="307"/>
      <c r="AB399" s="307"/>
      <c r="AC399" s="307"/>
      <c r="AD399" s="307"/>
      <c r="AE399" s="307"/>
      <c r="AF399" s="307"/>
      <c r="AG399" s="307"/>
      <c r="AH399" s="307"/>
    </row>
    <row r="400" spans="1:34" ht="17.399999999999999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  <c r="M400" s="307"/>
      <c r="N400" s="307"/>
      <c r="O400" s="307"/>
      <c r="P400" s="307"/>
      <c r="Q400" s="307"/>
      <c r="R400" s="307"/>
      <c r="S400" s="307"/>
      <c r="T400" s="307"/>
      <c r="U400" s="307"/>
      <c r="V400" s="307"/>
      <c r="W400" s="307"/>
      <c r="X400" s="307"/>
      <c r="Y400" s="307"/>
      <c r="Z400" s="307"/>
      <c r="AA400" s="307"/>
      <c r="AB400" s="307"/>
      <c r="AC400" s="307"/>
      <c r="AD400" s="307"/>
      <c r="AE400" s="307"/>
      <c r="AF400" s="307"/>
      <c r="AG400" s="307"/>
      <c r="AH400" s="307"/>
    </row>
    <row r="401" spans="1:34" ht="17.399999999999999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  <c r="M401" s="307"/>
      <c r="N401" s="307"/>
      <c r="O401" s="307"/>
      <c r="P401" s="307"/>
      <c r="Q401" s="307"/>
      <c r="R401" s="307"/>
      <c r="S401" s="307"/>
      <c r="T401" s="307"/>
      <c r="U401" s="307"/>
      <c r="V401" s="307"/>
      <c r="W401" s="307"/>
      <c r="X401" s="307"/>
      <c r="Y401" s="307"/>
      <c r="Z401" s="307"/>
      <c r="AA401" s="307"/>
      <c r="AB401" s="307"/>
      <c r="AC401" s="307"/>
      <c r="AD401" s="307"/>
      <c r="AE401" s="307"/>
      <c r="AF401" s="307"/>
      <c r="AG401" s="307"/>
      <c r="AH401" s="307"/>
    </row>
    <row r="402" spans="1:34" ht="17.399999999999999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  <c r="M402" s="307"/>
      <c r="N402" s="307"/>
      <c r="O402" s="307"/>
      <c r="P402" s="307"/>
      <c r="Q402" s="307"/>
      <c r="R402" s="307"/>
      <c r="S402" s="307"/>
      <c r="T402" s="307"/>
      <c r="U402" s="307"/>
      <c r="V402" s="307"/>
      <c r="W402" s="307"/>
      <c r="X402" s="307"/>
      <c r="Y402" s="307"/>
      <c r="Z402" s="307"/>
      <c r="AA402" s="307"/>
      <c r="AB402" s="307"/>
      <c r="AC402" s="307"/>
      <c r="AD402" s="307"/>
      <c r="AE402" s="307"/>
      <c r="AF402" s="307"/>
      <c r="AG402" s="307"/>
      <c r="AH402" s="307"/>
    </row>
    <row r="403" spans="1:34" ht="17.399999999999999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  <c r="M403" s="307"/>
      <c r="N403" s="307"/>
      <c r="O403" s="307"/>
      <c r="P403" s="307"/>
      <c r="Q403" s="307"/>
      <c r="R403" s="307"/>
      <c r="S403" s="307"/>
      <c r="T403" s="307"/>
      <c r="U403" s="307"/>
      <c r="V403" s="307"/>
      <c r="W403" s="307"/>
      <c r="X403" s="307"/>
      <c r="Y403" s="307"/>
      <c r="Z403" s="307"/>
      <c r="AA403" s="307"/>
      <c r="AB403" s="307"/>
      <c r="AC403" s="307"/>
      <c r="AD403" s="307"/>
      <c r="AE403" s="307"/>
      <c r="AF403" s="307"/>
      <c r="AG403" s="307"/>
      <c r="AH403" s="307"/>
    </row>
    <row r="404" spans="1:34" ht="17.399999999999999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  <c r="M404" s="307"/>
      <c r="N404" s="307"/>
      <c r="O404" s="307"/>
      <c r="P404" s="307"/>
      <c r="Q404" s="307"/>
      <c r="R404" s="307"/>
      <c r="S404" s="307"/>
      <c r="T404" s="307"/>
      <c r="U404" s="307"/>
      <c r="V404" s="307"/>
      <c r="W404" s="307"/>
      <c r="X404" s="307"/>
      <c r="Y404" s="307"/>
      <c r="Z404" s="307"/>
      <c r="AA404" s="307"/>
      <c r="AB404" s="307"/>
      <c r="AC404" s="307"/>
      <c r="AD404" s="307"/>
      <c r="AE404" s="307"/>
      <c r="AF404" s="307"/>
      <c r="AG404" s="307"/>
      <c r="AH404" s="307"/>
    </row>
    <row r="405" spans="1:34" ht="17.399999999999999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  <c r="M405" s="307"/>
      <c r="N405" s="307"/>
      <c r="O405" s="307"/>
      <c r="P405" s="307"/>
      <c r="Q405" s="307"/>
      <c r="R405" s="307"/>
      <c r="S405" s="307"/>
      <c r="T405" s="307"/>
      <c r="U405" s="307"/>
      <c r="V405" s="307"/>
      <c r="W405" s="307"/>
      <c r="X405" s="307"/>
      <c r="Y405" s="307"/>
      <c r="Z405" s="307"/>
      <c r="AA405" s="307"/>
      <c r="AB405" s="307"/>
      <c r="AC405" s="307"/>
      <c r="AD405" s="307"/>
      <c r="AE405" s="307"/>
      <c r="AF405" s="307"/>
      <c r="AG405" s="307"/>
      <c r="AH405" s="307"/>
    </row>
    <row r="406" spans="1:34" ht="17.399999999999999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  <c r="M406" s="307"/>
      <c r="N406" s="307"/>
      <c r="O406" s="307"/>
      <c r="P406" s="307"/>
      <c r="Q406" s="307"/>
      <c r="R406" s="307"/>
      <c r="S406" s="307"/>
      <c r="T406" s="307"/>
      <c r="U406" s="307"/>
      <c r="V406" s="307"/>
      <c r="W406" s="307"/>
      <c r="X406" s="307"/>
      <c r="Y406" s="307"/>
      <c r="Z406" s="307"/>
      <c r="AA406" s="307"/>
      <c r="AB406" s="307"/>
      <c r="AC406" s="307"/>
      <c r="AD406" s="307"/>
      <c r="AE406" s="307"/>
      <c r="AF406" s="307"/>
      <c r="AG406" s="307"/>
      <c r="AH406" s="307"/>
    </row>
    <row r="407" spans="1:34" ht="17.399999999999999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  <c r="M407" s="307"/>
      <c r="N407" s="307"/>
      <c r="O407" s="307"/>
      <c r="P407" s="307"/>
      <c r="Q407" s="307"/>
      <c r="R407" s="307"/>
      <c r="S407" s="307"/>
      <c r="T407" s="307"/>
      <c r="U407" s="307"/>
      <c r="V407" s="307"/>
      <c r="W407" s="307"/>
      <c r="X407" s="307"/>
      <c r="Y407" s="307"/>
      <c r="Z407" s="307"/>
      <c r="AA407" s="307"/>
      <c r="AB407" s="307"/>
      <c r="AC407" s="307"/>
      <c r="AD407" s="307"/>
      <c r="AE407" s="307"/>
      <c r="AF407" s="307"/>
      <c r="AG407" s="307"/>
      <c r="AH407" s="307"/>
    </row>
    <row r="408" spans="1:34" ht="17.399999999999999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  <c r="M408" s="307"/>
      <c r="N408" s="307"/>
      <c r="O408" s="307"/>
      <c r="P408" s="307"/>
      <c r="Q408" s="307"/>
      <c r="R408" s="307"/>
      <c r="S408" s="307"/>
      <c r="T408" s="307"/>
      <c r="U408" s="307"/>
      <c r="V408" s="307"/>
      <c r="W408" s="307"/>
      <c r="X408" s="307"/>
      <c r="Y408" s="307"/>
      <c r="Z408" s="307"/>
      <c r="AA408" s="307"/>
      <c r="AB408" s="307"/>
      <c r="AC408" s="307"/>
      <c r="AD408" s="307"/>
      <c r="AE408" s="307"/>
      <c r="AF408" s="307"/>
      <c r="AG408" s="307"/>
      <c r="AH408" s="307"/>
    </row>
    <row r="409" spans="1:34" ht="17.399999999999999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  <c r="M409" s="307"/>
      <c r="N409" s="307"/>
      <c r="O409" s="307"/>
      <c r="P409" s="307"/>
      <c r="Q409" s="307"/>
      <c r="R409" s="307"/>
      <c r="S409" s="307"/>
      <c r="T409" s="307"/>
      <c r="U409" s="307"/>
      <c r="V409" s="307"/>
      <c r="W409" s="307"/>
      <c r="X409" s="307"/>
      <c r="Y409" s="307"/>
      <c r="Z409" s="307"/>
      <c r="AA409" s="307"/>
      <c r="AB409" s="307"/>
      <c r="AC409" s="307"/>
      <c r="AD409" s="307"/>
      <c r="AE409" s="307"/>
      <c r="AF409" s="307"/>
      <c r="AG409" s="307"/>
      <c r="AH409" s="307"/>
    </row>
    <row r="410" spans="1:34" ht="17.399999999999999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  <c r="M410" s="307"/>
      <c r="N410" s="307"/>
      <c r="O410" s="307"/>
      <c r="P410" s="307"/>
      <c r="Q410" s="307"/>
      <c r="R410" s="307"/>
      <c r="S410" s="307"/>
      <c r="T410" s="307"/>
      <c r="U410" s="307"/>
      <c r="V410" s="307"/>
      <c r="W410" s="307"/>
      <c r="X410" s="307"/>
      <c r="Y410" s="307"/>
      <c r="Z410" s="307"/>
      <c r="AA410" s="307"/>
      <c r="AB410" s="307"/>
      <c r="AC410" s="307"/>
      <c r="AD410" s="307"/>
      <c r="AE410" s="307"/>
      <c r="AF410" s="307"/>
      <c r="AG410" s="307"/>
      <c r="AH410" s="307"/>
    </row>
    <row r="411" spans="1:34" ht="17.399999999999999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  <c r="M411" s="307"/>
      <c r="N411" s="307"/>
      <c r="O411" s="307"/>
      <c r="P411" s="307"/>
      <c r="Q411" s="307"/>
      <c r="R411" s="307"/>
      <c r="S411" s="307"/>
      <c r="T411" s="307"/>
      <c r="U411" s="307"/>
      <c r="V411" s="307"/>
      <c r="W411" s="307"/>
      <c r="X411" s="307"/>
      <c r="Y411" s="307"/>
      <c r="Z411" s="307"/>
      <c r="AA411" s="307"/>
      <c r="AB411" s="307"/>
      <c r="AC411" s="307"/>
      <c r="AD411" s="307"/>
      <c r="AE411" s="307"/>
      <c r="AF411" s="307"/>
      <c r="AG411" s="307"/>
      <c r="AH411" s="307"/>
    </row>
    <row r="412" spans="1:34" ht="17.399999999999999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  <c r="M412" s="307"/>
      <c r="N412" s="307"/>
      <c r="O412" s="307"/>
      <c r="P412" s="307"/>
      <c r="Q412" s="307"/>
      <c r="R412" s="307"/>
      <c r="S412" s="307"/>
      <c r="T412" s="307"/>
      <c r="U412" s="307"/>
      <c r="V412" s="307"/>
      <c r="W412" s="307"/>
      <c r="X412" s="307"/>
      <c r="Y412" s="307"/>
      <c r="Z412" s="307"/>
      <c r="AA412" s="307"/>
      <c r="AB412" s="307"/>
      <c r="AC412" s="307"/>
      <c r="AD412" s="307"/>
      <c r="AE412" s="307"/>
      <c r="AF412" s="307"/>
      <c r="AG412" s="307"/>
      <c r="AH412" s="307"/>
    </row>
    <row r="413" spans="1:34" ht="17.399999999999999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  <c r="M413" s="307"/>
      <c r="N413" s="307"/>
      <c r="O413" s="307"/>
      <c r="P413" s="307"/>
      <c r="Q413" s="307"/>
      <c r="R413" s="307"/>
      <c r="S413" s="307"/>
      <c r="T413" s="307"/>
      <c r="U413" s="307"/>
      <c r="V413" s="307"/>
      <c r="W413" s="307"/>
      <c r="X413" s="307"/>
      <c r="Y413" s="307"/>
      <c r="Z413" s="307"/>
      <c r="AA413" s="307"/>
      <c r="AB413" s="307"/>
      <c r="AC413" s="307"/>
      <c r="AD413" s="307"/>
      <c r="AE413" s="307"/>
      <c r="AF413" s="307"/>
      <c r="AG413" s="307"/>
      <c r="AH413" s="307"/>
    </row>
    <row r="414" spans="1:34" ht="17.399999999999999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  <c r="M414" s="307"/>
      <c r="N414" s="307"/>
      <c r="O414" s="307"/>
      <c r="P414" s="307"/>
      <c r="Q414" s="307"/>
      <c r="R414" s="307"/>
      <c r="S414" s="307"/>
      <c r="T414" s="307"/>
      <c r="U414" s="307"/>
      <c r="V414" s="307"/>
      <c r="W414" s="307"/>
      <c r="X414" s="307"/>
      <c r="Y414" s="307"/>
      <c r="Z414" s="307"/>
      <c r="AA414" s="307"/>
      <c r="AB414" s="307"/>
      <c r="AC414" s="307"/>
      <c r="AD414" s="307"/>
      <c r="AE414" s="307"/>
      <c r="AF414" s="307"/>
      <c r="AG414" s="307"/>
      <c r="AH414" s="307"/>
    </row>
    <row r="415" spans="1:34" ht="17.399999999999999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  <c r="M415" s="307"/>
      <c r="N415" s="307"/>
      <c r="O415" s="307"/>
      <c r="P415" s="307"/>
      <c r="Q415" s="307"/>
      <c r="R415" s="307"/>
      <c r="S415" s="307"/>
      <c r="T415" s="307"/>
      <c r="U415" s="307"/>
      <c r="V415" s="307"/>
      <c r="W415" s="307"/>
      <c r="X415" s="307"/>
      <c r="Y415" s="307"/>
      <c r="Z415" s="307"/>
      <c r="AA415" s="307"/>
      <c r="AB415" s="307"/>
      <c r="AC415" s="307"/>
      <c r="AD415" s="307"/>
      <c r="AE415" s="307"/>
      <c r="AF415" s="307"/>
      <c r="AG415" s="307"/>
      <c r="AH415" s="307"/>
    </row>
    <row r="416" spans="1:34" ht="17.399999999999999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  <c r="M416" s="307"/>
      <c r="N416" s="307"/>
      <c r="O416" s="307"/>
      <c r="P416" s="307"/>
      <c r="Q416" s="307"/>
      <c r="R416" s="307"/>
      <c r="S416" s="307"/>
      <c r="T416" s="307"/>
      <c r="U416" s="307"/>
      <c r="V416" s="307"/>
      <c r="W416" s="307"/>
      <c r="X416" s="307"/>
      <c r="Y416" s="307"/>
      <c r="Z416" s="307"/>
      <c r="AA416" s="307"/>
      <c r="AB416" s="307"/>
      <c r="AC416" s="307"/>
      <c r="AD416" s="307"/>
      <c r="AE416" s="307"/>
      <c r="AF416" s="307"/>
      <c r="AG416" s="307"/>
      <c r="AH416" s="307"/>
    </row>
    <row r="417" spans="1:34" ht="17.399999999999999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  <c r="M417" s="307"/>
      <c r="N417" s="307"/>
      <c r="O417" s="307"/>
      <c r="P417" s="307"/>
      <c r="Q417" s="307"/>
      <c r="R417" s="307"/>
      <c r="S417" s="307"/>
      <c r="T417" s="307"/>
      <c r="U417" s="307"/>
      <c r="V417" s="307"/>
      <c r="W417" s="307"/>
      <c r="X417" s="307"/>
      <c r="Y417" s="307"/>
      <c r="Z417" s="307"/>
      <c r="AA417" s="307"/>
      <c r="AB417" s="307"/>
      <c r="AC417" s="307"/>
      <c r="AD417" s="307"/>
      <c r="AE417" s="307"/>
      <c r="AF417" s="307"/>
      <c r="AG417" s="307"/>
      <c r="AH417" s="307"/>
    </row>
    <row r="418" spans="1:34" ht="17.399999999999999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  <c r="M418" s="307"/>
      <c r="N418" s="307"/>
      <c r="O418" s="307"/>
      <c r="P418" s="307"/>
      <c r="Q418" s="307"/>
      <c r="R418" s="307"/>
      <c r="S418" s="307"/>
      <c r="T418" s="307"/>
      <c r="U418" s="307"/>
      <c r="V418" s="307"/>
      <c r="W418" s="307"/>
      <c r="X418" s="307"/>
      <c r="Y418" s="307"/>
      <c r="Z418" s="307"/>
      <c r="AA418" s="307"/>
      <c r="AB418" s="307"/>
      <c r="AC418" s="307"/>
      <c r="AD418" s="307"/>
      <c r="AE418" s="307"/>
      <c r="AF418" s="307"/>
      <c r="AG418" s="307"/>
      <c r="AH418" s="307"/>
    </row>
    <row r="419" spans="1:34" ht="17.399999999999999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  <c r="M419" s="307"/>
      <c r="N419" s="307"/>
      <c r="O419" s="307"/>
      <c r="P419" s="307"/>
      <c r="Q419" s="307"/>
      <c r="R419" s="307"/>
      <c r="S419" s="307"/>
      <c r="T419" s="307"/>
      <c r="U419" s="307"/>
      <c r="V419" s="307"/>
      <c r="W419" s="307"/>
      <c r="X419" s="307"/>
      <c r="Y419" s="307"/>
      <c r="Z419" s="307"/>
      <c r="AA419" s="307"/>
      <c r="AB419" s="307"/>
      <c r="AC419" s="307"/>
      <c r="AD419" s="307"/>
      <c r="AE419" s="307"/>
      <c r="AF419" s="307"/>
      <c r="AG419" s="307"/>
      <c r="AH419" s="307"/>
    </row>
    <row r="420" spans="1:34" ht="17.399999999999999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  <c r="M420" s="307"/>
      <c r="N420" s="307"/>
      <c r="O420" s="307"/>
      <c r="P420" s="307"/>
      <c r="Q420" s="307"/>
      <c r="R420" s="307"/>
      <c r="S420" s="307"/>
      <c r="T420" s="307"/>
      <c r="U420" s="307"/>
      <c r="V420" s="307"/>
      <c r="W420" s="307"/>
      <c r="X420" s="307"/>
      <c r="Y420" s="307"/>
      <c r="Z420" s="307"/>
      <c r="AA420" s="307"/>
      <c r="AB420" s="307"/>
      <c r="AC420" s="307"/>
      <c r="AD420" s="307"/>
      <c r="AE420" s="307"/>
      <c r="AF420" s="307"/>
      <c r="AG420" s="307"/>
      <c r="AH420" s="307"/>
    </row>
    <row r="421" spans="1:34" ht="17.399999999999999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  <c r="M421" s="307"/>
      <c r="N421" s="307"/>
      <c r="O421" s="307"/>
      <c r="P421" s="307"/>
      <c r="Q421" s="307"/>
      <c r="R421" s="307"/>
      <c r="S421" s="307"/>
      <c r="T421" s="307"/>
      <c r="U421" s="307"/>
      <c r="V421" s="307"/>
      <c r="W421" s="307"/>
      <c r="X421" s="307"/>
      <c r="Y421" s="307"/>
      <c r="Z421" s="307"/>
      <c r="AA421" s="307"/>
      <c r="AB421" s="307"/>
      <c r="AC421" s="307"/>
      <c r="AD421" s="307"/>
      <c r="AE421" s="307"/>
      <c r="AF421" s="307"/>
      <c r="AG421" s="307"/>
      <c r="AH421" s="307"/>
    </row>
    <row r="422" spans="1:34" ht="17.399999999999999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  <c r="M422" s="307"/>
      <c r="N422" s="307"/>
      <c r="O422" s="307"/>
      <c r="P422" s="307"/>
      <c r="Q422" s="307"/>
      <c r="R422" s="307"/>
      <c r="S422" s="307"/>
      <c r="T422" s="307"/>
      <c r="U422" s="307"/>
      <c r="V422" s="307"/>
      <c r="W422" s="307"/>
      <c r="X422" s="307"/>
      <c r="Y422" s="307"/>
      <c r="Z422" s="307"/>
      <c r="AA422" s="307"/>
      <c r="AB422" s="307"/>
      <c r="AC422" s="307"/>
      <c r="AD422" s="307"/>
      <c r="AE422" s="307"/>
      <c r="AF422" s="307"/>
      <c r="AG422" s="307"/>
      <c r="AH422" s="307"/>
    </row>
    <row r="423" spans="1:34" ht="17.399999999999999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  <c r="M423" s="307"/>
      <c r="N423" s="307"/>
      <c r="O423" s="307"/>
      <c r="P423" s="307"/>
      <c r="Q423" s="307"/>
      <c r="R423" s="307"/>
      <c r="S423" s="307"/>
      <c r="T423" s="307"/>
      <c r="U423" s="307"/>
      <c r="V423" s="307"/>
      <c r="W423" s="307"/>
      <c r="X423" s="307"/>
      <c r="Y423" s="307"/>
      <c r="Z423" s="307"/>
      <c r="AA423" s="307"/>
      <c r="AB423" s="307"/>
      <c r="AC423" s="307"/>
      <c r="AD423" s="307"/>
      <c r="AE423" s="307"/>
      <c r="AF423" s="307"/>
      <c r="AG423" s="307"/>
      <c r="AH423" s="307"/>
    </row>
    <row r="424" spans="1:34" ht="17.399999999999999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  <c r="M424" s="307"/>
      <c r="N424" s="307"/>
      <c r="O424" s="307"/>
      <c r="P424" s="307"/>
      <c r="Q424" s="307"/>
      <c r="R424" s="307"/>
      <c r="S424" s="307"/>
      <c r="T424" s="307"/>
      <c r="U424" s="307"/>
      <c r="V424" s="307"/>
      <c r="W424" s="307"/>
      <c r="X424" s="307"/>
      <c r="Y424" s="307"/>
      <c r="Z424" s="307"/>
      <c r="AA424" s="307"/>
      <c r="AB424" s="307"/>
      <c r="AC424" s="307"/>
      <c r="AD424" s="307"/>
      <c r="AE424" s="307"/>
      <c r="AF424" s="307"/>
      <c r="AG424" s="307"/>
      <c r="AH424" s="307"/>
    </row>
    <row r="425" spans="1:34" ht="17.399999999999999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  <c r="M425" s="307"/>
      <c r="N425" s="307"/>
      <c r="O425" s="307"/>
      <c r="P425" s="307"/>
      <c r="Q425" s="307"/>
      <c r="R425" s="307"/>
      <c r="S425" s="307"/>
      <c r="T425" s="307"/>
      <c r="U425" s="307"/>
      <c r="V425" s="307"/>
      <c r="W425" s="307"/>
      <c r="X425" s="307"/>
      <c r="Y425" s="307"/>
      <c r="Z425" s="307"/>
      <c r="AA425" s="307"/>
      <c r="AB425" s="307"/>
      <c r="AC425" s="307"/>
      <c r="AD425" s="307"/>
      <c r="AE425" s="307"/>
      <c r="AF425" s="307"/>
      <c r="AG425" s="307"/>
      <c r="AH425" s="307"/>
    </row>
    <row r="426" spans="1:34" ht="17.399999999999999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  <c r="M426" s="307"/>
      <c r="N426" s="307"/>
      <c r="O426" s="307"/>
      <c r="P426" s="307"/>
      <c r="Q426" s="307"/>
      <c r="R426" s="307"/>
      <c r="S426" s="307"/>
      <c r="T426" s="307"/>
      <c r="U426" s="307"/>
      <c r="V426" s="307"/>
      <c r="W426" s="307"/>
      <c r="X426" s="307"/>
      <c r="Y426" s="307"/>
      <c r="Z426" s="307"/>
      <c r="AA426" s="307"/>
      <c r="AB426" s="307"/>
      <c r="AC426" s="307"/>
      <c r="AD426" s="307"/>
      <c r="AE426" s="307"/>
      <c r="AF426" s="307"/>
      <c r="AG426" s="307"/>
      <c r="AH426" s="307"/>
    </row>
    <row r="427" spans="1:34" ht="17.399999999999999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  <c r="M427" s="307"/>
      <c r="N427" s="307"/>
      <c r="O427" s="307"/>
      <c r="P427" s="307"/>
      <c r="Q427" s="307"/>
      <c r="R427" s="307"/>
      <c r="S427" s="307"/>
      <c r="T427" s="307"/>
      <c r="U427" s="307"/>
      <c r="V427" s="307"/>
      <c r="W427" s="307"/>
      <c r="X427" s="307"/>
      <c r="Y427" s="307"/>
      <c r="Z427" s="307"/>
      <c r="AA427" s="307"/>
      <c r="AB427" s="307"/>
      <c r="AC427" s="307"/>
      <c r="AD427" s="307"/>
      <c r="AE427" s="307"/>
      <c r="AF427" s="307"/>
      <c r="AG427" s="307"/>
      <c r="AH427" s="307"/>
    </row>
    <row r="428" spans="1:34" ht="17.399999999999999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  <c r="M428" s="307"/>
      <c r="N428" s="307"/>
      <c r="O428" s="307"/>
      <c r="P428" s="307"/>
      <c r="Q428" s="307"/>
      <c r="R428" s="307"/>
      <c r="S428" s="307"/>
      <c r="T428" s="307"/>
      <c r="U428" s="307"/>
      <c r="V428" s="307"/>
      <c r="W428" s="307"/>
      <c r="X428" s="307"/>
      <c r="Y428" s="307"/>
      <c r="Z428" s="307"/>
      <c r="AA428" s="307"/>
      <c r="AB428" s="307"/>
      <c r="AC428" s="307"/>
      <c r="AD428" s="307"/>
      <c r="AE428" s="307"/>
      <c r="AF428" s="307"/>
      <c r="AG428" s="307"/>
      <c r="AH428" s="307"/>
    </row>
    <row r="429" spans="1:34" ht="17.399999999999999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  <c r="M429" s="307"/>
      <c r="N429" s="307"/>
      <c r="O429" s="307"/>
      <c r="P429" s="307"/>
      <c r="Q429" s="307"/>
      <c r="R429" s="307"/>
      <c r="S429" s="307"/>
      <c r="T429" s="307"/>
      <c r="U429" s="307"/>
      <c r="V429" s="307"/>
      <c r="W429" s="307"/>
      <c r="X429" s="307"/>
      <c r="Y429" s="307"/>
      <c r="Z429" s="307"/>
      <c r="AA429" s="307"/>
      <c r="AB429" s="307"/>
      <c r="AC429" s="307"/>
      <c r="AD429" s="307"/>
      <c r="AE429" s="307"/>
      <c r="AF429" s="307"/>
      <c r="AG429" s="307"/>
      <c r="AH429" s="307"/>
    </row>
    <row r="430" spans="1:34" ht="17.399999999999999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  <c r="M430" s="307"/>
      <c r="N430" s="307"/>
      <c r="O430" s="307"/>
      <c r="P430" s="307"/>
      <c r="Q430" s="307"/>
      <c r="R430" s="307"/>
      <c r="S430" s="307"/>
      <c r="T430" s="307"/>
      <c r="U430" s="307"/>
      <c r="V430" s="307"/>
      <c r="W430" s="307"/>
      <c r="X430" s="307"/>
      <c r="Y430" s="307"/>
      <c r="Z430" s="307"/>
      <c r="AA430" s="307"/>
      <c r="AB430" s="307"/>
      <c r="AC430" s="307"/>
      <c r="AD430" s="307"/>
      <c r="AE430" s="307"/>
      <c r="AF430" s="307"/>
      <c r="AG430" s="307"/>
      <c r="AH430" s="307"/>
    </row>
    <row r="431" spans="1:34" ht="17.399999999999999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  <c r="M431" s="307"/>
      <c r="N431" s="307"/>
      <c r="O431" s="307"/>
      <c r="P431" s="307"/>
      <c r="Q431" s="307"/>
      <c r="R431" s="307"/>
      <c r="S431" s="307"/>
      <c r="T431" s="307"/>
      <c r="U431" s="307"/>
      <c r="V431" s="307"/>
      <c r="W431" s="307"/>
      <c r="X431" s="307"/>
      <c r="Y431" s="307"/>
      <c r="Z431" s="307"/>
      <c r="AA431" s="307"/>
      <c r="AB431" s="307"/>
      <c r="AC431" s="307"/>
      <c r="AD431" s="307"/>
      <c r="AE431" s="307"/>
      <c r="AF431" s="307"/>
      <c r="AG431" s="307"/>
      <c r="AH431" s="307"/>
    </row>
    <row r="432" spans="1:34" ht="17.399999999999999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  <c r="M432" s="307"/>
      <c r="N432" s="307"/>
      <c r="O432" s="307"/>
      <c r="P432" s="307"/>
      <c r="Q432" s="307"/>
      <c r="R432" s="307"/>
      <c r="S432" s="307"/>
      <c r="T432" s="307"/>
      <c r="U432" s="307"/>
      <c r="V432" s="307"/>
      <c r="W432" s="307"/>
      <c r="X432" s="307"/>
      <c r="Y432" s="307"/>
      <c r="Z432" s="307"/>
      <c r="AA432" s="307"/>
      <c r="AB432" s="307"/>
      <c r="AC432" s="307"/>
      <c r="AD432" s="307"/>
      <c r="AE432" s="307"/>
      <c r="AF432" s="307"/>
      <c r="AG432" s="307"/>
      <c r="AH432" s="307"/>
    </row>
    <row r="433" spans="1:34" ht="17.399999999999999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  <c r="M433" s="307"/>
      <c r="N433" s="307"/>
      <c r="O433" s="307"/>
      <c r="P433" s="307"/>
      <c r="Q433" s="307"/>
      <c r="R433" s="307"/>
      <c r="S433" s="307"/>
      <c r="T433" s="307"/>
      <c r="U433" s="307"/>
      <c r="V433" s="307"/>
      <c r="W433" s="307"/>
      <c r="X433" s="307"/>
      <c r="Y433" s="307"/>
      <c r="Z433" s="307"/>
      <c r="AA433" s="307"/>
      <c r="AB433" s="307"/>
      <c r="AC433" s="307"/>
      <c r="AD433" s="307"/>
      <c r="AE433" s="307"/>
      <c r="AF433" s="307"/>
      <c r="AG433" s="307"/>
      <c r="AH433" s="307"/>
    </row>
    <row r="434" spans="1:34" ht="17.399999999999999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  <c r="M434" s="307"/>
      <c r="N434" s="307"/>
      <c r="O434" s="307"/>
      <c r="P434" s="307"/>
      <c r="Q434" s="307"/>
      <c r="R434" s="307"/>
      <c r="S434" s="307"/>
      <c r="T434" s="307"/>
      <c r="U434" s="307"/>
      <c r="V434" s="307"/>
      <c r="W434" s="307"/>
      <c r="X434" s="307"/>
      <c r="Y434" s="307"/>
      <c r="Z434" s="307"/>
      <c r="AA434" s="307"/>
      <c r="AB434" s="307"/>
      <c r="AC434" s="307"/>
      <c r="AD434" s="307"/>
      <c r="AE434" s="307"/>
      <c r="AF434" s="307"/>
      <c r="AG434" s="307"/>
      <c r="AH434" s="307"/>
    </row>
    <row r="435" spans="1:34" ht="17.399999999999999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  <c r="M435" s="307"/>
      <c r="N435" s="307"/>
      <c r="O435" s="307"/>
      <c r="P435" s="307"/>
      <c r="Q435" s="307"/>
      <c r="R435" s="307"/>
      <c r="S435" s="307"/>
      <c r="T435" s="307"/>
      <c r="U435" s="307"/>
      <c r="V435" s="307"/>
      <c r="W435" s="307"/>
      <c r="X435" s="307"/>
      <c r="Y435" s="307"/>
      <c r="Z435" s="307"/>
      <c r="AA435" s="307"/>
      <c r="AB435" s="307"/>
      <c r="AC435" s="307"/>
      <c r="AD435" s="307"/>
      <c r="AE435" s="307"/>
      <c r="AF435" s="307"/>
      <c r="AG435" s="307"/>
      <c r="AH435" s="307"/>
    </row>
    <row r="436" spans="1:34" ht="17.399999999999999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  <c r="M436" s="307"/>
      <c r="N436" s="307"/>
      <c r="O436" s="307"/>
      <c r="P436" s="307"/>
      <c r="Q436" s="307"/>
      <c r="R436" s="307"/>
      <c r="S436" s="307"/>
      <c r="T436" s="307"/>
      <c r="U436" s="307"/>
      <c r="V436" s="307"/>
      <c r="W436" s="307"/>
      <c r="X436" s="307"/>
      <c r="Y436" s="307"/>
      <c r="Z436" s="307"/>
      <c r="AA436" s="307"/>
      <c r="AB436" s="307"/>
      <c r="AC436" s="307"/>
      <c r="AD436" s="307"/>
      <c r="AE436" s="307"/>
      <c r="AF436" s="307"/>
      <c r="AG436" s="307"/>
      <c r="AH436" s="307"/>
    </row>
    <row r="437" spans="1:34" ht="17.399999999999999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  <c r="M437" s="307"/>
      <c r="N437" s="307"/>
      <c r="O437" s="307"/>
      <c r="P437" s="307"/>
      <c r="Q437" s="307"/>
      <c r="R437" s="307"/>
      <c r="S437" s="307"/>
      <c r="T437" s="307"/>
      <c r="U437" s="307"/>
      <c r="V437" s="307"/>
      <c r="W437" s="307"/>
      <c r="X437" s="307"/>
      <c r="Y437" s="307"/>
      <c r="Z437" s="307"/>
      <c r="AA437" s="307"/>
      <c r="AB437" s="307"/>
      <c r="AC437" s="307"/>
      <c r="AD437" s="307"/>
      <c r="AE437" s="307"/>
      <c r="AF437" s="307"/>
      <c r="AG437" s="307"/>
      <c r="AH437" s="307"/>
    </row>
    <row r="438" spans="1:34" ht="17.399999999999999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  <c r="M438" s="307"/>
      <c r="N438" s="307"/>
      <c r="O438" s="307"/>
      <c r="P438" s="307"/>
      <c r="Q438" s="307"/>
      <c r="R438" s="307"/>
      <c r="S438" s="307"/>
      <c r="T438" s="307"/>
      <c r="U438" s="307"/>
      <c r="V438" s="307"/>
      <c r="W438" s="307"/>
      <c r="X438" s="307"/>
      <c r="Y438" s="307"/>
      <c r="Z438" s="307"/>
      <c r="AA438" s="307"/>
      <c r="AB438" s="307"/>
      <c r="AC438" s="307"/>
      <c r="AD438" s="307"/>
      <c r="AE438" s="307"/>
      <c r="AF438" s="307"/>
      <c r="AG438" s="307"/>
      <c r="AH438" s="307"/>
    </row>
    <row r="439" spans="1:34" ht="17.399999999999999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  <c r="M439" s="307"/>
      <c r="N439" s="307"/>
      <c r="O439" s="307"/>
      <c r="P439" s="307"/>
      <c r="Q439" s="307"/>
      <c r="R439" s="307"/>
      <c r="S439" s="307"/>
      <c r="T439" s="307"/>
      <c r="U439" s="307"/>
      <c r="V439" s="307"/>
      <c r="W439" s="307"/>
      <c r="X439" s="307"/>
      <c r="Y439" s="307"/>
      <c r="Z439" s="307"/>
      <c r="AA439" s="307"/>
      <c r="AB439" s="307"/>
      <c r="AC439" s="307"/>
      <c r="AD439" s="307"/>
      <c r="AE439" s="307"/>
      <c r="AF439" s="307"/>
      <c r="AG439" s="307"/>
      <c r="AH439" s="307"/>
    </row>
    <row r="440" spans="1:34" ht="17.399999999999999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  <c r="M440" s="307"/>
      <c r="N440" s="307"/>
      <c r="O440" s="307"/>
      <c r="P440" s="307"/>
      <c r="Q440" s="307"/>
      <c r="R440" s="307"/>
      <c r="S440" s="307"/>
      <c r="T440" s="307"/>
      <c r="U440" s="307"/>
      <c r="V440" s="307"/>
      <c r="W440" s="307"/>
      <c r="X440" s="307"/>
      <c r="Y440" s="307"/>
      <c r="Z440" s="307"/>
      <c r="AA440" s="307"/>
      <c r="AB440" s="307"/>
      <c r="AC440" s="307"/>
      <c r="AD440" s="307"/>
      <c r="AE440" s="307"/>
      <c r="AF440" s="307"/>
      <c r="AG440" s="307"/>
      <c r="AH440" s="307"/>
    </row>
    <row r="441" spans="1:34" ht="17.399999999999999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  <c r="M441" s="307"/>
      <c r="N441" s="307"/>
      <c r="O441" s="307"/>
      <c r="P441" s="307"/>
      <c r="Q441" s="307"/>
      <c r="R441" s="307"/>
      <c r="S441" s="307"/>
      <c r="T441" s="307"/>
      <c r="U441" s="307"/>
      <c r="V441" s="307"/>
      <c r="W441" s="307"/>
      <c r="X441" s="307"/>
      <c r="Y441" s="307"/>
      <c r="Z441" s="307"/>
      <c r="AA441" s="307"/>
      <c r="AB441" s="307"/>
      <c r="AC441" s="307"/>
      <c r="AD441" s="307"/>
      <c r="AE441" s="307"/>
      <c r="AF441" s="307"/>
      <c r="AG441" s="307"/>
      <c r="AH441" s="307"/>
    </row>
    <row r="442" spans="1:34" ht="17.399999999999999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  <c r="M442" s="307"/>
      <c r="N442" s="307"/>
      <c r="O442" s="307"/>
      <c r="P442" s="307"/>
      <c r="Q442" s="307"/>
      <c r="R442" s="307"/>
      <c r="S442" s="307"/>
      <c r="T442" s="307"/>
      <c r="U442" s="307"/>
      <c r="V442" s="307"/>
      <c r="W442" s="307"/>
      <c r="X442" s="307"/>
      <c r="Y442" s="307"/>
      <c r="Z442" s="307"/>
      <c r="AA442" s="307"/>
      <c r="AB442" s="307"/>
      <c r="AC442" s="307"/>
      <c r="AD442" s="307"/>
      <c r="AE442" s="307"/>
      <c r="AF442" s="307"/>
      <c r="AG442" s="307"/>
      <c r="AH442" s="307"/>
    </row>
    <row r="443" spans="1:34" ht="17.399999999999999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  <c r="M443" s="307"/>
      <c r="N443" s="307"/>
      <c r="O443" s="307"/>
      <c r="P443" s="307"/>
      <c r="Q443" s="307"/>
      <c r="R443" s="307"/>
      <c r="S443" s="307"/>
      <c r="T443" s="307"/>
      <c r="U443" s="307"/>
      <c r="V443" s="307"/>
      <c r="W443" s="307"/>
      <c r="X443" s="307"/>
      <c r="Y443" s="307"/>
      <c r="Z443" s="307"/>
      <c r="AA443" s="307"/>
      <c r="AB443" s="307"/>
      <c r="AC443" s="307"/>
      <c r="AD443" s="307"/>
      <c r="AE443" s="307"/>
      <c r="AF443" s="307"/>
      <c r="AG443" s="307"/>
      <c r="AH443" s="307"/>
    </row>
    <row r="444" spans="1:34" ht="17.399999999999999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  <c r="M444" s="307"/>
      <c r="N444" s="307"/>
      <c r="O444" s="307"/>
      <c r="P444" s="307"/>
      <c r="Q444" s="307"/>
      <c r="R444" s="307"/>
      <c r="S444" s="307"/>
      <c r="T444" s="307"/>
      <c r="U444" s="307"/>
      <c r="V444" s="307"/>
      <c r="W444" s="307"/>
      <c r="X444" s="307"/>
      <c r="Y444" s="307"/>
      <c r="Z444" s="307"/>
      <c r="AA444" s="307"/>
      <c r="AB444" s="307"/>
      <c r="AC444" s="307"/>
      <c r="AD444" s="307"/>
      <c r="AE444" s="307"/>
      <c r="AF444" s="307"/>
      <c r="AG444" s="307"/>
      <c r="AH444" s="307"/>
    </row>
    <row r="445" spans="1:34" ht="17.399999999999999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  <c r="M445" s="307"/>
      <c r="N445" s="307"/>
      <c r="O445" s="307"/>
      <c r="P445" s="307"/>
      <c r="Q445" s="307"/>
      <c r="R445" s="307"/>
      <c r="S445" s="307"/>
      <c r="T445" s="307"/>
      <c r="U445" s="307"/>
      <c r="V445" s="307"/>
      <c r="W445" s="307"/>
      <c r="X445" s="307"/>
      <c r="Y445" s="307"/>
      <c r="Z445" s="307"/>
      <c r="AA445" s="307"/>
      <c r="AB445" s="307"/>
      <c r="AC445" s="307"/>
      <c r="AD445" s="307"/>
      <c r="AE445" s="307"/>
      <c r="AF445" s="307"/>
      <c r="AG445" s="307"/>
      <c r="AH445" s="307"/>
    </row>
    <row r="446" spans="1:34" ht="17.399999999999999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  <c r="M446" s="307"/>
      <c r="N446" s="307"/>
      <c r="O446" s="307"/>
      <c r="P446" s="307"/>
      <c r="Q446" s="307"/>
      <c r="R446" s="307"/>
      <c r="S446" s="307"/>
      <c r="T446" s="307"/>
      <c r="U446" s="307"/>
      <c r="V446" s="307"/>
      <c r="W446" s="307"/>
      <c r="X446" s="307"/>
      <c r="Y446" s="307"/>
      <c r="Z446" s="307"/>
      <c r="AA446" s="307"/>
      <c r="AB446" s="307"/>
      <c r="AC446" s="307"/>
      <c r="AD446" s="307"/>
      <c r="AE446" s="307"/>
      <c r="AF446" s="307"/>
      <c r="AG446" s="307"/>
      <c r="AH446" s="307"/>
    </row>
    <row r="447" spans="1:34" ht="17.399999999999999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  <c r="M447" s="307"/>
      <c r="N447" s="307"/>
      <c r="O447" s="307"/>
      <c r="P447" s="307"/>
      <c r="Q447" s="307"/>
      <c r="R447" s="307"/>
      <c r="S447" s="307"/>
      <c r="T447" s="307"/>
      <c r="U447" s="307"/>
      <c r="V447" s="307"/>
      <c r="W447" s="307"/>
      <c r="X447" s="307"/>
      <c r="Y447" s="307"/>
      <c r="Z447" s="307"/>
      <c r="AA447" s="307"/>
      <c r="AB447" s="307"/>
      <c r="AC447" s="307"/>
      <c r="AD447" s="307"/>
      <c r="AE447" s="307"/>
      <c r="AF447" s="307"/>
      <c r="AG447" s="307"/>
      <c r="AH447" s="307"/>
    </row>
    <row r="448" spans="1:34" ht="17.399999999999999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  <c r="M448" s="307"/>
      <c r="N448" s="307"/>
      <c r="O448" s="307"/>
      <c r="P448" s="307"/>
      <c r="Q448" s="307"/>
      <c r="R448" s="307"/>
      <c r="S448" s="307"/>
      <c r="T448" s="307"/>
      <c r="U448" s="307"/>
      <c r="V448" s="307"/>
      <c r="W448" s="307"/>
      <c r="X448" s="307"/>
      <c r="Y448" s="307"/>
      <c r="Z448" s="307"/>
      <c r="AA448" s="307"/>
      <c r="AB448" s="307"/>
      <c r="AC448" s="307"/>
      <c r="AD448" s="307"/>
      <c r="AE448" s="307"/>
      <c r="AF448" s="307"/>
      <c r="AG448" s="307"/>
      <c r="AH448" s="307"/>
    </row>
    <row r="449" spans="1:34" ht="17.399999999999999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  <c r="M449" s="307"/>
      <c r="N449" s="307"/>
      <c r="O449" s="307"/>
      <c r="P449" s="307"/>
      <c r="Q449" s="307"/>
      <c r="R449" s="307"/>
      <c r="S449" s="307"/>
      <c r="T449" s="307"/>
      <c r="U449" s="307"/>
      <c r="V449" s="307"/>
      <c r="W449" s="307"/>
      <c r="X449" s="307"/>
      <c r="Y449" s="307"/>
      <c r="Z449" s="307"/>
      <c r="AA449" s="307"/>
      <c r="AB449" s="307"/>
      <c r="AC449" s="307"/>
      <c r="AD449" s="307"/>
      <c r="AE449" s="307"/>
      <c r="AF449" s="307"/>
      <c r="AG449" s="307"/>
      <c r="AH449" s="307"/>
    </row>
    <row r="450" spans="1:34" ht="17.399999999999999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  <c r="M450" s="307"/>
      <c r="N450" s="307"/>
      <c r="O450" s="307"/>
      <c r="P450" s="307"/>
      <c r="Q450" s="307"/>
      <c r="R450" s="307"/>
      <c r="S450" s="307"/>
      <c r="T450" s="307"/>
      <c r="U450" s="307"/>
      <c r="V450" s="307"/>
      <c r="W450" s="307"/>
      <c r="X450" s="307"/>
      <c r="Y450" s="307"/>
      <c r="Z450" s="307"/>
      <c r="AA450" s="307"/>
      <c r="AB450" s="307"/>
      <c r="AC450" s="307"/>
      <c r="AD450" s="307"/>
      <c r="AE450" s="307"/>
      <c r="AF450" s="307"/>
      <c r="AG450" s="307"/>
      <c r="AH450" s="307"/>
    </row>
    <row r="451" spans="1:34" ht="17.399999999999999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  <c r="M451" s="307"/>
      <c r="N451" s="307"/>
      <c r="O451" s="307"/>
      <c r="P451" s="307"/>
      <c r="Q451" s="307"/>
      <c r="R451" s="307"/>
      <c r="S451" s="307"/>
      <c r="T451" s="307"/>
      <c r="U451" s="307"/>
      <c r="V451" s="307"/>
      <c r="W451" s="307"/>
      <c r="X451" s="307"/>
      <c r="Y451" s="307"/>
      <c r="Z451" s="307"/>
      <c r="AA451" s="307"/>
      <c r="AB451" s="307"/>
      <c r="AC451" s="307"/>
      <c r="AD451" s="307"/>
      <c r="AE451" s="307"/>
      <c r="AF451" s="307"/>
      <c r="AG451" s="307"/>
      <c r="AH451" s="307"/>
    </row>
    <row r="452" spans="1:34" ht="17.399999999999999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  <c r="M452" s="307"/>
      <c r="N452" s="307"/>
      <c r="O452" s="307"/>
      <c r="P452" s="307"/>
      <c r="Q452" s="307"/>
      <c r="R452" s="307"/>
      <c r="S452" s="307"/>
      <c r="T452" s="307"/>
      <c r="U452" s="307"/>
      <c r="V452" s="307"/>
      <c r="W452" s="307"/>
      <c r="X452" s="307"/>
      <c r="Y452" s="307"/>
      <c r="Z452" s="307"/>
      <c r="AA452" s="307"/>
      <c r="AB452" s="307"/>
      <c r="AC452" s="307"/>
      <c r="AD452" s="307"/>
      <c r="AE452" s="307"/>
      <c r="AF452" s="307"/>
      <c r="AG452" s="307"/>
      <c r="AH452" s="307"/>
    </row>
    <row r="453" spans="1:34" ht="17.399999999999999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  <c r="M453" s="307"/>
      <c r="N453" s="307"/>
      <c r="O453" s="307"/>
      <c r="P453" s="307"/>
      <c r="Q453" s="307"/>
      <c r="R453" s="307"/>
      <c r="S453" s="307"/>
      <c r="T453" s="307"/>
      <c r="U453" s="307"/>
      <c r="V453" s="307"/>
      <c r="W453" s="307"/>
      <c r="X453" s="307"/>
      <c r="Y453" s="307"/>
      <c r="Z453" s="307"/>
      <c r="AA453" s="307"/>
      <c r="AB453" s="307"/>
      <c r="AC453" s="307"/>
      <c r="AD453" s="307"/>
      <c r="AE453" s="307"/>
      <c r="AF453" s="307"/>
      <c r="AG453" s="307"/>
      <c r="AH453" s="307"/>
    </row>
    <row r="454" spans="1:34" ht="17.399999999999999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  <c r="M454" s="307"/>
      <c r="N454" s="307"/>
      <c r="O454" s="307"/>
      <c r="P454" s="307"/>
      <c r="Q454" s="307"/>
      <c r="R454" s="307"/>
      <c r="S454" s="307"/>
      <c r="T454" s="307"/>
      <c r="U454" s="307"/>
      <c r="V454" s="307"/>
      <c r="W454" s="307"/>
      <c r="X454" s="307"/>
      <c r="Y454" s="307"/>
      <c r="Z454" s="307"/>
      <c r="AA454" s="307"/>
      <c r="AB454" s="307"/>
      <c r="AC454" s="307"/>
      <c r="AD454" s="307"/>
      <c r="AE454" s="307"/>
      <c r="AF454" s="307"/>
      <c r="AG454" s="307"/>
      <c r="AH454" s="307"/>
    </row>
    <row r="455" spans="1:34" ht="17.399999999999999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  <c r="M455" s="307"/>
      <c r="N455" s="307"/>
      <c r="O455" s="307"/>
      <c r="P455" s="307"/>
      <c r="Q455" s="307"/>
      <c r="R455" s="307"/>
      <c r="S455" s="307"/>
      <c r="T455" s="307"/>
      <c r="U455" s="307"/>
      <c r="V455" s="307"/>
      <c r="W455" s="307"/>
      <c r="X455" s="307"/>
      <c r="Y455" s="307"/>
      <c r="Z455" s="307"/>
      <c r="AA455" s="307"/>
      <c r="AB455" s="307"/>
      <c r="AC455" s="307"/>
      <c r="AD455" s="307"/>
      <c r="AE455" s="307"/>
      <c r="AF455" s="307"/>
      <c r="AG455" s="307"/>
      <c r="AH455" s="307"/>
    </row>
    <row r="456" spans="1:34" ht="17.399999999999999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  <c r="M456" s="307"/>
      <c r="N456" s="307"/>
      <c r="O456" s="307"/>
      <c r="P456" s="307"/>
      <c r="Q456" s="307"/>
      <c r="R456" s="307"/>
      <c r="S456" s="307"/>
      <c r="T456" s="307"/>
      <c r="U456" s="307"/>
      <c r="V456" s="307"/>
      <c r="W456" s="307"/>
      <c r="X456" s="307"/>
      <c r="Y456" s="307"/>
      <c r="Z456" s="307"/>
      <c r="AA456" s="307"/>
      <c r="AB456" s="307"/>
      <c r="AC456" s="307"/>
      <c r="AD456" s="307"/>
      <c r="AE456" s="307"/>
      <c r="AF456" s="307"/>
      <c r="AG456" s="307"/>
      <c r="AH456" s="307"/>
    </row>
    <row r="457" spans="1:34" ht="17.399999999999999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  <c r="M457" s="307"/>
      <c r="N457" s="307"/>
      <c r="O457" s="307"/>
      <c r="P457" s="307"/>
      <c r="Q457" s="307"/>
      <c r="R457" s="307"/>
      <c r="S457" s="307"/>
      <c r="T457" s="307"/>
      <c r="U457" s="307"/>
      <c r="V457" s="307"/>
      <c r="W457" s="307"/>
      <c r="X457" s="307"/>
      <c r="Y457" s="307"/>
      <c r="Z457" s="307"/>
      <c r="AA457" s="307"/>
      <c r="AB457" s="307"/>
      <c r="AC457" s="307"/>
      <c r="AD457" s="307"/>
      <c r="AE457" s="307"/>
      <c r="AF457" s="307"/>
      <c r="AG457" s="307"/>
      <c r="AH457" s="307"/>
    </row>
    <row r="458" spans="1:34" ht="17.399999999999999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  <c r="M458" s="307"/>
      <c r="N458" s="307"/>
      <c r="O458" s="307"/>
      <c r="P458" s="307"/>
      <c r="Q458" s="307"/>
      <c r="R458" s="307"/>
      <c r="S458" s="307"/>
      <c r="T458" s="307"/>
      <c r="U458" s="307"/>
      <c r="V458" s="307"/>
      <c r="W458" s="307"/>
      <c r="X458" s="307"/>
      <c r="Y458" s="307"/>
      <c r="Z458" s="307"/>
      <c r="AA458" s="307"/>
      <c r="AB458" s="307"/>
      <c r="AC458" s="307"/>
      <c r="AD458" s="307"/>
      <c r="AE458" s="307"/>
      <c r="AF458" s="307"/>
      <c r="AG458" s="307"/>
      <c r="AH458" s="307"/>
    </row>
    <row r="459" spans="1:34" ht="17.399999999999999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  <c r="M459" s="307"/>
      <c r="N459" s="307"/>
      <c r="O459" s="307"/>
      <c r="P459" s="307"/>
      <c r="Q459" s="307"/>
      <c r="R459" s="307"/>
      <c r="S459" s="307"/>
      <c r="T459" s="307"/>
      <c r="U459" s="307"/>
      <c r="V459" s="307"/>
      <c r="W459" s="307"/>
      <c r="X459" s="307"/>
      <c r="Y459" s="307"/>
      <c r="Z459" s="307"/>
      <c r="AA459" s="307"/>
      <c r="AB459" s="307"/>
      <c r="AC459" s="307"/>
      <c r="AD459" s="307"/>
      <c r="AE459" s="307"/>
      <c r="AF459" s="307"/>
      <c r="AG459" s="307"/>
      <c r="AH459" s="307"/>
    </row>
    <row r="460" spans="1:34" ht="17.399999999999999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  <c r="M460" s="307"/>
      <c r="N460" s="307"/>
      <c r="O460" s="307"/>
      <c r="P460" s="307"/>
      <c r="Q460" s="307"/>
      <c r="R460" s="307"/>
      <c r="S460" s="307"/>
      <c r="T460" s="307"/>
      <c r="U460" s="307"/>
      <c r="V460" s="307"/>
      <c r="W460" s="307"/>
      <c r="X460" s="307"/>
      <c r="Y460" s="307"/>
      <c r="Z460" s="307"/>
      <c r="AA460" s="307"/>
      <c r="AB460" s="307"/>
      <c r="AC460" s="307"/>
      <c r="AD460" s="307"/>
      <c r="AE460" s="307"/>
      <c r="AF460" s="307"/>
      <c r="AG460" s="307"/>
      <c r="AH460" s="307"/>
    </row>
    <row r="461" spans="1:34" ht="17.399999999999999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  <c r="M461" s="307"/>
      <c r="N461" s="307"/>
      <c r="O461" s="307"/>
      <c r="P461" s="307"/>
      <c r="Q461" s="307"/>
      <c r="R461" s="307"/>
      <c r="S461" s="307"/>
      <c r="T461" s="307"/>
      <c r="U461" s="307"/>
      <c r="V461" s="307"/>
      <c r="W461" s="307"/>
      <c r="X461" s="307"/>
      <c r="Y461" s="307"/>
      <c r="Z461" s="307"/>
      <c r="AA461" s="307"/>
      <c r="AB461" s="307"/>
      <c r="AC461" s="307"/>
      <c r="AD461" s="307"/>
      <c r="AE461" s="307"/>
      <c r="AF461" s="307"/>
      <c r="AG461" s="307"/>
      <c r="AH461" s="307"/>
    </row>
    <row r="462" spans="1:34" ht="17.399999999999999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  <c r="M462" s="307"/>
      <c r="N462" s="307"/>
      <c r="O462" s="307"/>
      <c r="P462" s="307"/>
      <c r="Q462" s="307"/>
      <c r="R462" s="307"/>
      <c r="S462" s="307"/>
      <c r="T462" s="307"/>
      <c r="U462" s="307"/>
      <c r="V462" s="307"/>
      <c r="W462" s="307"/>
      <c r="X462" s="307"/>
      <c r="Y462" s="307"/>
      <c r="Z462" s="307"/>
      <c r="AA462" s="307"/>
      <c r="AB462" s="307"/>
      <c r="AC462" s="307"/>
      <c r="AD462" s="307"/>
      <c r="AE462" s="307"/>
      <c r="AF462" s="307"/>
      <c r="AG462" s="307"/>
      <c r="AH462" s="307"/>
    </row>
    <row r="463" spans="1:34" ht="17.399999999999999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  <c r="M463" s="307"/>
      <c r="N463" s="307"/>
      <c r="O463" s="307"/>
      <c r="P463" s="307"/>
      <c r="Q463" s="307"/>
      <c r="R463" s="307"/>
      <c r="S463" s="307"/>
      <c r="T463" s="307"/>
      <c r="U463" s="307"/>
      <c r="V463" s="307"/>
      <c r="W463" s="307"/>
      <c r="X463" s="307"/>
      <c r="Y463" s="307"/>
      <c r="Z463" s="307"/>
      <c r="AA463" s="307"/>
      <c r="AB463" s="307"/>
      <c r="AC463" s="307"/>
      <c r="AD463" s="307"/>
      <c r="AE463" s="307"/>
      <c r="AF463" s="307"/>
      <c r="AG463" s="307"/>
      <c r="AH463" s="307"/>
    </row>
    <row r="464" spans="1:34" ht="17.399999999999999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  <c r="M464" s="307"/>
      <c r="N464" s="307"/>
      <c r="O464" s="307"/>
      <c r="P464" s="307"/>
      <c r="Q464" s="307"/>
      <c r="R464" s="307"/>
      <c r="S464" s="307"/>
      <c r="T464" s="307"/>
      <c r="U464" s="307"/>
      <c r="V464" s="307"/>
      <c r="W464" s="307"/>
      <c r="X464" s="307"/>
      <c r="Y464" s="307"/>
      <c r="Z464" s="307"/>
      <c r="AA464" s="307"/>
      <c r="AB464" s="307"/>
      <c r="AC464" s="307"/>
      <c r="AD464" s="307"/>
      <c r="AE464" s="307"/>
      <c r="AF464" s="307"/>
      <c r="AG464" s="307"/>
      <c r="AH464" s="307"/>
    </row>
    <row r="465" spans="1:34" ht="17.399999999999999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  <c r="M465" s="307"/>
      <c r="N465" s="307"/>
      <c r="O465" s="307"/>
      <c r="P465" s="307"/>
      <c r="Q465" s="307"/>
      <c r="R465" s="307"/>
      <c r="S465" s="307"/>
      <c r="T465" s="307"/>
      <c r="U465" s="307"/>
      <c r="V465" s="307"/>
      <c r="W465" s="307"/>
      <c r="X465" s="307"/>
      <c r="Y465" s="307"/>
      <c r="Z465" s="307"/>
      <c r="AA465" s="307"/>
      <c r="AB465" s="307"/>
      <c r="AC465" s="307"/>
      <c r="AD465" s="307"/>
      <c r="AE465" s="307"/>
      <c r="AF465" s="307"/>
      <c r="AG465" s="307"/>
      <c r="AH465" s="307"/>
    </row>
    <row r="466" spans="1:34" ht="17.399999999999999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  <c r="M466" s="307"/>
      <c r="N466" s="307"/>
      <c r="O466" s="307"/>
      <c r="P466" s="307"/>
      <c r="Q466" s="307"/>
      <c r="R466" s="307"/>
      <c r="S466" s="307"/>
      <c r="T466" s="307"/>
      <c r="U466" s="307"/>
      <c r="V466" s="307"/>
      <c r="W466" s="307"/>
      <c r="X466" s="307"/>
      <c r="Y466" s="307"/>
      <c r="Z466" s="307"/>
      <c r="AA466" s="307"/>
      <c r="AB466" s="307"/>
      <c r="AC466" s="307"/>
      <c r="AD466" s="307"/>
      <c r="AE466" s="307"/>
      <c r="AF466" s="307"/>
      <c r="AG466" s="307"/>
      <c r="AH466" s="307"/>
    </row>
    <row r="467" spans="1:34" ht="17.399999999999999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  <c r="M467" s="307"/>
      <c r="N467" s="307"/>
      <c r="O467" s="307"/>
      <c r="P467" s="307"/>
      <c r="Q467" s="307"/>
      <c r="R467" s="307"/>
      <c r="S467" s="307"/>
      <c r="T467" s="307"/>
      <c r="U467" s="307"/>
      <c r="V467" s="307"/>
      <c r="W467" s="307"/>
      <c r="X467" s="307"/>
      <c r="Y467" s="307"/>
      <c r="Z467" s="307"/>
      <c r="AA467" s="307"/>
      <c r="AB467" s="307"/>
      <c r="AC467" s="307"/>
      <c r="AD467" s="307"/>
      <c r="AE467" s="307"/>
      <c r="AF467" s="307"/>
      <c r="AG467" s="307"/>
      <c r="AH467" s="307"/>
    </row>
    <row r="468" spans="1:34" ht="17.399999999999999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  <c r="M468" s="307"/>
      <c r="N468" s="307"/>
      <c r="O468" s="307"/>
      <c r="P468" s="307"/>
      <c r="Q468" s="307"/>
      <c r="R468" s="307"/>
      <c r="S468" s="307"/>
      <c r="T468" s="307"/>
      <c r="U468" s="307"/>
      <c r="V468" s="307"/>
      <c r="W468" s="307"/>
      <c r="X468" s="307"/>
      <c r="Y468" s="307"/>
      <c r="Z468" s="307"/>
      <c r="AA468" s="307"/>
      <c r="AB468" s="307"/>
      <c r="AC468" s="307"/>
      <c r="AD468" s="307"/>
      <c r="AE468" s="307"/>
      <c r="AF468" s="307"/>
      <c r="AG468" s="307"/>
      <c r="AH468" s="307"/>
    </row>
    <row r="469" spans="1:34" ht="17.399999999999999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  <c r="M469" s="307"/>
      <c r="N469" s="307"/>
      <c r="O469" s="307"/>
      <c r="P469" s="307"/>
      <c r="Q469" s="307"/>
      <c r="R469" s="307"/>
      <c r="S469" s="307"/>
      <c r="T469" s="307"/>
      <c r="U469" s="307"/>
      <c r="V469" s="307"/>
      <c r="W469" s="307"/>
      <c r="X469" s="307"/>
      <c r="Y469" s="307"/>
      <c r="Z469" s="307"/>
      <c r="AA469" s="307"/>
      <c r="AB469" s="307"/>
      <c r="AC469" s="307"/>
      <c r="AD469" s="307"/>
      <c r="AE469" s="307"/>
      <c r="AF469" s="307"/>
      <c r="AG469" s="307"/>
      <c r="AH469" s="307"/>
    </row>
    <row r="470" spans="1:34" ht="17.399999999999999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  <c r="M470" s="307"/>
      <c r="N470" s="307"/>
      <c r="O470" s="307"/>
      <c r="P470" s="307"/>
      <c r="Q470" s="307"/>
      <c r="R470" s="307"/>
      <c r="S470" s="307"/>
      <c r="T470" s="307"/>
      <c r="U470" s="307"/>
      <c r="V470" s="307"/>
      <c r="W470" s="307"/>
      <c r="X470" s="307"/>
      <c r="Y470" s="307"/>
      <c r="Z470" s="307"/>
      <c r="AA470" s="307"/>
      <c r="AB470" s="307"/>
      <c r="AC470" s="307"/>
      <c r="AD470" s="307"/>
      <c r="AE470" s="307"/>
      <c r="AF470" s="307"/>
      <c r="AG470" s="307"/>
      <c r="AH470" s="307"/>
    </row>
    <row r="471" spans="1:34" ht="17.399999999999999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  <c r="M471" s="307"/>
      <c r="N471" s="307"/>
      <c r="O471" s="307"/>
      <c r="P471" s="307"/>
      <c r="Q471" s="307"/>
      <c r="R471" s="307"/>
      <c r="S471" s="307"/>
      <c r="T471" s="307"/>
      <c r="U471" s="307"/>
      <c r="V471" s="307"/>
      <c r="W471" s="307"/>
      <c r="X471" s="307"/>
      <c r="Y471" s="307"/>
      <c r="Z471" s="307"/>
      <c r="AA471" s="307"/>
      <c r="AB471" s="307"/>
      <c r="AC471" s="307"/>
      <c r="AD471" s="307"/>
      <c r="AE471" s="307"/>
      <c r="AF471" s="307"/>
      <c r="AG471" s="307"/>
      <c r="AH471" s="307"/>
    </row>
    <row r="472" spans="1:34" ht="17.399999999999999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  <c r="M472" s="307"/>
      <c r="N472" s="307"/>
      <c r="O472" s="307"/>
      <c r="P472" s="307"/>
      <c r="Q472" s="307"/>
      <c r="R472" s="307"/>
      <c r="S472" s="307"/>
      <c r="T472" s="307"/>
      <c r="U472" s="307"/>
      <c r="V472" s="307"/>
      <c r="W472" s="307"/>
      <c r="X472" s="307"/>
      <c r="Y472" s="307"/>
      <c r="Z472" s="307"/>
      <c r="AA472" s="307"/>
      <c r="AB472" s="307"/>
      <c r="AC472" s="307"/>
      <c r="AD472" s="307"/>
      <c r="AE472" s="307"/>
      <c r="AF472" s="307"/>
      <c r="AG472" s="307"/>
      <c r="AH472" s="307"/>
    </row>
    <row r="473" spans="1:34" ht="17.399999999999999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  <c r="M473" s="307"/>
      <c r="N473" s="307"/>
      <c r="O473" s="307"/>
      <c r="P473" s="307"/>
      <c r="Q473" s="307"/>
      <c r="R473" s="307"/>
      <c r="S473" s="307"/>
      <c r="T473" s="307"/>
      <c r="U473" s="307"/>
      <c r="V473" s="307"/>
      <c r="W473" s="307"/>
      <c r="X473" s="307"/>
      <c r="Y473" s="307"/>
      <c r="Z473" s="307"/>
      <c r="AA473" s="307"/>
      <c r="AB473" s="307"/>
      <c r="AC473" s="307"/>
      <c r="AD473" s="307"/>
      <c r="AE473" s="307"/>
      <c r="AF473" s="307"/>
      <c r="AG473" s="307"/>
      <c r="AH473" s="307"/>
    </row>
    <row r="474" spans="1:34" ht="17.399999999999999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  <c r="M474" s="307"/>
      <c r="N474" s="307"/>
      <c r="O474" s="307"/>
      <c r="P474" s="307"/>
      <c r="Q474" s="307"/>
      <c r="R474" s="307"/>
      <c r="S474" s="307"/>
      <c r="T474" s="307"/>
      <c r="U474" s="307"/>
      <c r="V474" s="307"/>
      <c r="W474" s="307"/>
      <c r="X474" s="307"/>
      <c r="Y474" s="307"/>
      <c r="Z474" s="307"/>
      <c r="AA474" s="307"/>
      <c r="AB474" s="307"/>
      <c r="AC474" s="307"/>
      <c r="AD474" s="307"/>
      <c r="AE474" s="307"/>
      <c r="AF474" s="307"/>
      <c r="AG474" s="307"/>
      <c r="AH474" s="307"/>
    </row>
    <row r="475" spans="1:34" ht="17.399999999999999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  <c r="M475" s="307"/>
      <c r="N475" s="307"/>
      <c r="O475" s="307"/>
      <c r="P475" s="307"/>
      <c r="Q475" s="307"/>
      <c r="R475" s="307"/>
      <c r="S475" s="307"/>
      <c r="T475" s="307"/>
      <c r="U475" s="307"/>
      <c r="V475" s="307"/>
      <c r="W475" s="307"/>
      <c r="X475" s="307"/>
      <c r="Y475" s="307"/>
      <c r="Z475" s="307"/>
      <c r="AA475" s="307"/>
      <c r="AB475" s="307"/>
      <c r="AC475" s="307"/>
      <c r="AD475" s="307"/>
      <c r="AE475" s="307"/>
      <c r="AF475" s="307"/>
      <c r="AG475" s="307"/>
      <c r="AH475" s="307"/>
    </row>
    <row r="476" spans="1:34" ht="17.399999999999999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  <c r="M476" s="307"/>
      <c r="N476" s="307"/>
      <c r="O476" s="307"/>
      <c r="P476" s="307"/>
      <c r="Q476" s="307"/>
      <c r="R476" s="307"/>
      <c r="S476" s="307"/>
      <c r="T476" s="307"/>
      <c r="U476" s="307"/>
      <c r="V476" s="307"/>
      <c r="W476" s="307"/>
      <c r="X476" s="307"/>
      <c r="Y476" s="307"/>
      <c r="Z476" s="307"/>
      <c r="AA476" s="307"/>
      <c r="AB476" s="307"/>
      <c r="AC476" s="307"/>
      <c r="AD476" s="307"/>
      <c r="AE476" s="307"/>
      <c r="AF476" s="307"/>
      <c r="AG476" s="307"/>
      <c r="AH476" s="307"/>
    </row>
    <row r="477" spans="1:34" ht="17.399999999999999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  <c r="M477" s="307"/>
      <c r="N477" s="307"/>
      <c r="O477" s="307"/>
      <c r="P477" s="307"/>
      <c r="Q477" s="307"/>
      <c r="R477" s="307"/>
      <c r="S477" s="307"/>
      <c r="T477" s="307"/>
      <c r="U477" s="307"/>
      <c r="V477" s="307"/>
      <c r="W477" s="307"/>
      <c r="X477" s="307"/>
      <c r="Y477" s="307"/>
      <c r="Z477" s="307"/>
      <c r="AA477" s="307"/>
      <c r="AB477" s="307"/>
      <c r="AC477" s="307"/>
      <c r="AD477" s="307"/>
      <c r="AE477" s="307"/>
      <c r="AF477" s="307"/>
      <c r="AG477" s="307"/>
      <c r="AH477" s="307"/>
    </row>
    <row r="478" spans="1:34" ht="17.399999999999999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  <c r="M478" s="307"/>
      <c r="N478" s="307"/>
      <c r="O478" s="307"/>
      <c r="P478" s="307"/>
      <c r="Q478" s="307"/>
      <c r="R478" s="307"/>
      <c r="S478" s="307"/>
      <c r="T478" s="307"/>
      <c r="U478" s="307"/>
      <c r="V478" s="307"/>
      <c r="W478" s="307"/>
      <c r="X478" s="307"/>
      <c r="Y478" s="307"/>
      <c r="Z478" s="307"/>
      <c r="AA478" s="307"/>
      <c r="AB478" s="307"/>
      <c r="AC478" s="307"/>
      <c r="AD478" s="307"/>
      <c r="AE478" s="307"/>
      <c r="AF478" s="307"/>
      <c r="AG478" s="307"/>
      <c r="AH478" s="307"/>
    </row>
    <row r="479" spans="1:34" ht="17.399999999999999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  <c r="M479" s="307"/>
      <c r="N479" s="307"/>
      <c r="O479" s="307"/>
      <c r="P479" s="307"/>
      <c r="Q479" s="307"/>
      <c r="R479" s="307"/>
      <c r="S479" s="307"/>
      <c r="T479" s="307"/>
      <c r="U479" s="307"/>
      <c r="V479" s="307"/>
      <c r="W479" s="307"/>
      <c r="X479" s="307"/>
      <c r="Y479" s="307"/>
      <c r="Z479" s="307"/>
      <c r="AA479" s="307"/>
      <c r="AB479" s="307"/>
      <c r="AC479" s="307"/>
      <c r="AD479" s="307"/>
      <c r="AE479" s="307"/>
      <c r="AF479" s="307"/>
      <c r="AG479" s="307"/>
      <c r="AH479" s="307"/>
    </row>
    <row r="480" spans="1:34" ht="17.399999999999999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  <c r="M480" s="307"/>
      <c r="N480" s="307"/>
      <c r="O480" s="307"/>
      <c r="P480" s="307"/>
      <c r="Q480" s="307"/>
      <c r="R480" s="307"/>
      <c r="S480" s="307"/>
      <c r="T480" s="307"/>
      <c r="U480" s="307"/>
      <c r="V480" s="307"/>
      <c r="W480" s="307"/>
      <c r="X480" s="307"/>
      <c r="Y480" s="307"/>
      <c r="Z480" s="307"/>
      <c r="AA480" s="307"/>
      <c r="AB480" s="307"/>
      <c r="AC480" s="307"/>
      <c r="AD480" s="307"/>
      <c r="AE480" s="307"/>
      <c r="AF480" s="307"/>
      <c r="AG480" s="307"/>
      <c r="AH480" s="307"/>
    </row>
    <row r="481" spans="1:34" ht="17.399999999999999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  <c r="M481" s="307"/>
      <c r="N481" s="307"/>
      <c r="O481" s="307"/>
      <c r="P481" s="307"/>
      <c r="Q481" s="307"/>
      <c r="R481" s="307"/>
      <c r="S481" s="307"/>
      <c r="T481" s="307"/>
      <c r="U481" s="307"/>
      <c r="V481" s="307"/>
      <c r="W481" s="307"/>
      <c r="X481" s="307"/>
      <c r="Y481" s="307"/>
      <c r="Z481" s="307"/>
      <c r="AA481" s="307"/>
      <c r="AB481" s="307"/>
      <c r="AC481" s="307"/>
      <c r="AD481" s="307"/>
      <c r="AE481" s="307"/>
      <c r="AF481" s="307"/>
      <c r="AG481" s="307"/>
      <c r="AH481" s="307"/>
    </row>
    <row r="482" spans="1:34" ht="17.399999999999999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  <c r="M482" s="307"/>
      <c r="N482" s="307"/>
      <c r="O482" s="307"/>
      <c r="P482" s="307"/>
      <c r="Q482" s="307"/>
      <c r="R482" s="307"/>
      <c r="S482" s="307"/>
      <c r="T482" s="307"/>
      <c r="U482" s="307"/>
      <c r="V482" s="307"/>
      <c r="W482" s="307"/>
      <c r="X482" s="307"/>
      <c r="Y482" s="307"/>
      <c r="Z482" s="307"/>
      <c r="AA482" s="307"/>
      <c r="AB482" s="307"/>
      <c r="AC482" s="307"/>
      <c r="AD482" s="307"/>
      <c r="AE482" s="307"/>
      <c r="AF482" s="307"/>
      <c r="AG482" s="307"/>
      <c r="AH482" s="307"/>
    </row>
    <row r="483" spans="1:34" ht="17.399999999999999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  <c r="M483" s="307"/>
      <c r="N483" s="307"/>
      <c r="O483" s="307"/>
      <c r="P483" s="307"/>
      <c r="Q483" s="307"/>
      <c r="R483" s="307"/>
      <c r="S483" s="307"/>
      <c r="T483" s="307"/>
      <c r="U483" s="307"/>
      <c r="V483" s="307"/>
      <c r="W483" s="307"/>
      <c r="X483" s="307"/>
      <c r="Y483" s="307"/>
      <c r="Z483" s="307"/>
      <c r="AA483" s="307"/>
      <c r="AB483" s="307"/>
      <c r="AC483" s="307"/>
      <c r="AD483" s="307"/>
      <c r="AE483" s="307"/>
      <c r="AF483" s="307"/>
      <c r="AG483" s="307"/>
      <c r="AH483" s="307"/>
    </row>
    <row r="484" spans="1:34" ht="17.399999999999999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  <c r="M484" s="307"/>
      <c r="N484" s="307"/>
      <c r="O484" s="307"/>
      <c r="P484" s="307"/>
      <c r="Q484" s="307"/>
      <c r="R484" s="307"/>
      <c r="S484" s="307"/>
      <c r="T484" s="307"/>
      <c r="U484" s="307"/>
      <c r="V484" s="307"/>
      <c r="W484" s="307"/>
      <c r="X484" s="307"/>
      <c r="Y484" s="307"/>
      <c r="Z484" s="307"/>
      <c r="AA484" s="307"/>
      <c r="AB484" s="307"/>
      <c r="AC484" s="307"/>
      <c r="AD484" s="307"/>
      <c r="AE484" s="307"/>
      <c r="AF484" s="307"/>
      <c r="AG484" s="307"/>
      <c r="AH484" s="307"/>
    </row>
    <row r="485" spans="1:34" ht="17.399999999999999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  <c r="M485" s="307"/>
      <c r="N485" s="307"/>
      <c r="O485" s="307"/>
      <c r="P485" s="307"/>
      <c r="Q485" s="307"/>
      <c r="R485" s="307"/>
      <c r="S485" s="307"/>
      <c r="T485" s="307"/>
      <c r="U485" s="307"/>
      <c r="V485" s="307"/>
      <c r="W485" s="307"/>
      <c r="X485" s="307"/>
      <c r="Y485" s="307"/>
      <c r="Z485" s="307"/>
      <c r="AA485" s="307"/>
      <c r="AB485" s="307"/>
      <c r="AC485" s="307"/>
      <c r="AD485" s="307"/>
      <c r="AE485" s="307"/>
      <c r="AF485" s="307"/>
      <c r="AG485" s="307"/>
      <c r="AH485" s="307"/>
    </row>
    <row r="486" spans="1:34" ht="17.399999999999999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  <c r="M486" s="307"/>
      <c r="N486" s="307"/>
      <c r="O486" s="307"/>
      <c r="P486" s="307"/>
      <c r="Q486" s="307"/>
      <c r="R486" s="307"/>
      <c r="S486" s="307"/>
      <c r="T486" s="307"/>
      <c r="U486" s="307"/>
      <c r="V486" s="307"/>
      <c r="W486" s="307"/>
      <c r="X486" s="307"/>
      <c r="Y486" s="307"/>
      <c r="Z486" s="307"/>
      <c r="AA486" s="307"/>
      <c r="AB486" s="307"/>
      <c r="AC486" s="307"/>
      <c r="AD486" s="307"/>
      <c r="AE486" s="307"/>
      <c r="AF486" s="307"/>
      <c r="AG486" s="307"/>
      <c r="AH486" s="307"/>
    </row>
    <row r="487" spans="1:34" ht="17.399999999999999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  <c r="M487" s="307"/>
      <c r="N487" s="307"/>
      <c r="O487" s="307"/>
      <c r="P487" s="307"/>
      <c r="Q487" s="307"/>
      <c r="R487" s="307"/>
      <c r="S487" s="307"/>
      <c r="T487" s="307"/>
      <c r="U487" s="307"/>
      <c r="V487" s="307"/>
      <c r="W487" s="307"/>
      <c r="X487" s="307"/>
      <c r="Y487" s="307"/>
      <c r="Z487" s="307"/>
      <c r="AA487" s="307"/>
      <c r="AB487" s="307"/>
      <c r="AC487" s="307"/>
      <c r="AD487" s="307"/>
      <c r="AE487" s="307"/>
      <c r="AF487" s="307"/>
      <c r="AG487" s="307"/>
      <c r="AH487" s="307"/>
    </row>
    <row r="488" spans="1:34" ht="17.399999999999999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  <c r="M488" s="307"/>
      <c r="N488" s="307"/>
      <c r="O488" s="307"/>
      <c r="P488" s="307"/>
      <c r="Q488" s="307"/>
      <c r="R488" s="307"/>
      <c r="S488" s="307"/>
      <c r="T488" s="307"/>
      <c r="U488" s="307"/>
      <c r="V488" s="307"/>
      <c r="W488" s="307"/>
      <c r="X488" s="307"/>
      <c r="Y488" s="307"/>
      <c r="Z488" s="307"/>
      <c r="AA488" s="307"/>
      <c r="AB488" s="307"/>
      <c r="AC488" s="307"/>
      <c r="AD488" s="307"/>
      <c r="AE488" s="307"/>
      <c r="AF488" s="307"/>
      <c r="AG488" s="307"/>
      <c r="AH488" s="307"/>
    </row>
    <row r="489" spans="1:34" ht="17.399999999999999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  <c r="M489" s="307"/>
      <c r="N489" s="307"/>
      <c r="O489" s="307"/>
      <c r="P489" s="307"/>
      <c r="Q489" s="307"/>
      <c r="R489" s="307"/>
      <c r="S489" s="307"/>
      <c r="T489" s="307"/>
      <c r="U489" s="307"/>
      <c r="V489" s="307"/>
      <c r="W489" s="307"/>
      <c r="X489" s="307"/>
      <c r="Y489" s="307"/>
      <c r="Z489" s="307"/>
      <c r="AA489" s="307"/>
      <c r="AB489" s="307"/>
      <c r="AC489" s="307"/>
      <c r="AD489" s="307"/>
      <c r="AE489" s="307"/>
      <c r="AF489" s="307"/>
      <c r="AG489" s="307"/>
      <c r="AH489" s="307"/>
    </row>
    <row r="490" spans="1:34" ht="17.399999999999999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  <c r="M490" s="307"/>
      <c r="N490" s="307"/>
      <c r="O490" s="307"/>
      <c r="P490" s="307"/>
      <c r="Q490" s="307"/>
      <c r="R490" s="307"/>
      <c r="S490" s="307"/>
      <c r="T490" s="307"/>
      <c r="U490" s="307"/>
      <c r="V490" s="307"/>
      <c r="W490" s="307"/>
      <c r="X490" s="307"/>
      <c r="Y490" s="307"/>
      <c r="Z490" s="307"/>
      <c r="AA490" s="307"/>
      <c r="AB490" s="307"/>
      <c r="AC490" s="307"/>
      <c r="AD490" s="307"/>
      <c r="AE490" s="307"/>
      <c r="AF490" s="307"/>
      <c r="AG490" s="307"/>
      <c r="AH490" s="307"/>
    </row>
    <row r="491" spans="1:34" ht="17.399999999999999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  <c r="M491" s="307"/>
      <c r="N491" s="307"/>
      <c r="O491" s="307"/>
      <c r="P491" s="307"/>
      <c r="Q491" s="307"/>
      <c r="R491" s="307"/>
      <c r="S491" s="307"/>
      <c r="T491" s="307"/>
      <c r="U491" s="307"/>
      <c r="V491" s="307"/>
      <c r="W491" s="307"/>
      <c r="X491" s="307"/>
      <c r="Y491" s="307"/>
      <c r="Z491" s="307"/>
      <c r="AA491" s="307"/>
      <c r="AB491" s="307"/>
      <c r="AC491" s="307"/>
      <c r="AD491" s="307"/>
      <c r="AE491" s="307"/>
      <c r="AF491" s="307"/>
      <c r="AG491" s="307"/>
      <c r="AH491" s="307"/>
    </row>
    <row r="492" spans="1:34" ht="17.399999999999999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  <c r="M492" s="307"/>
      <c r="N492" s="307"/>
      <c r="O492" s="307"/>
      <c r="P492" s="307"/>
      <c r="Q492" s="307"/>
      <c r="R492" s="307"/>
      <c r="S492" s="307"/>
      <c r="T492" s="307"/>
      <c r="U492" s="307"/>
      <c r="V492" s="307"/>
      <c r="W492" s="307"/>
      <c r="X492" s="307"/>
      <c r="Y492" s="307"/>
      <c r="Z492" s="307"/>
      <c r="AA492" s="307"/>
      <c r="AB492" s="307"/>
      <c r="AC492" s="307"/>
      <c r="AD492" s="307"/>
      <c r="AE492" s="307"/>
      <c r="AF492" s="307"/>
      <c r="AG492" s="307"/>
      <c r="AH492" s="307"/>
    </row>
    <row r="493" spans="1:34" ht="17.399999999999999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  <c r="M493" s="307"/>
      <c r="N493" s="307"/>
      <c r="O493" s="307"/>
      <c r="P493" s="307"/>
      <c r="Q493" s="307"/>
      <c r="R493" s="307"/>
      <c r="S493" s="307"/>
      <c r="T493" s="307"/>
      <c r="U493" s="307"/>
      <c r="V493" s="307"/>
      <c r="W493" s="307"/>
      <c r="X493" s="307"/>
      <c r="Y493" s="307"/>
      <c r="Z493" s="307"/>
      <c r="AA493" s="307"/>
      <c r="AB493" s="307"/>
      <c r="AC493" s="307"/>
      <c r="AD493" s="307"/>
      <c r="AE493" s="307"/>
      <c r="AF493" s="307"/>
      <c r="AG493" s="307"/>
      <c r="AH493" s="307"/>
    </row>
    <row r="494" spans="1:34" ht="17.399999999999999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  <c r="M494" s="307"/>
      <c r="N494" s="307"/>
      <c r="O494" s="307"/>
      <c r="P494" s="307"/>
      <c r="Q494" s="307"/>
      <c r="R494" s="307"/>
      <c r="S494" s="307"/>
      <c r="T494" s="307"/>
      <c r="U494" s="307"/>
      <c r="V494" s="307"/>
      <c r="W494" s="307"/>
      <c r="X494" s="307"/>
      <c r="Y494" s="307"/>
      <c r="Z494" s="307"/>
      <c r="AA494" s="307"/>
      <c r="AB494" s="307"/>
      <c r="AC494" s="307"/>
      <c r="AD494" s="307"/>
      <c r="AE494" s="307"/>
      <c r="AF494" s="307"/>
      <c r="AG494" s="307"/>
      <c r="AH494" s="307"/>
    </row>
    <row r="495" spans="1:34" ht="17.399999999999999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  <c r="M495" s="307"/>
      <c r="N495" s="307"/>
      <c r="O495" s="307"/>
      <c r="P495" s="307"/>
      <c r="Q495" s="307"/>
      <c r="R495" s="307"/>
      <c r="S495" s="307"/>
      <c r="T495" s="307"/>
      <c r="U495" s="307"/>
      <c r="V495" s="307"/>
      <c r="W495" s="307"/>
      <c r="X495" s="307"/>
      <c r="Y495" s="307"/>
      <c r="Z495" s="307"/>
      <c r="AA495" s="307"/>
      <c r="AB495" s="307"/>
      <c r="AC495" s="307"/>
      <c r="AD495" s="307"/>
      <c r="AE495" s="307"/>
      <c r="AF495" s="307"/>
      <c r="AG495" s="307"/>
      <c r="AH495" s="307"/>
    </row>
    <row r="496" spans="1:34" ht="17.399999999999999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  <c r="M496" s="307"/>
      <c r="N496" s="307"/>
      <c r="O496" s="307"/>
      <c r="P496" s="307"/>
      <c r="Q496" s="307"/>
      <c r="R496" s="307"/>
      <c r="S496" s="307"/>
      <c r="T496" s="307"/>
      <c r="U496" s="307"/>
      <c r="V496" s="307"/>
      <c r="W496" s="307"/>
      <c r="X496" s="307"/>
      <c r="Y496" s="307"/>
      <c r="Z496" s="307"/>
      <c r="AA496" s="307"/>
      <c r="AB496" s="307"/>
      <c r="AC496" s="307"/>
      <c r="AD496" s="307"/>
      <c r="AE496" s="307"/>
      <c r="AF496" s="307"/>
      <c r="AG496" s="307"/>
      <c r="AH496" s="307"/>
    </row>
    <row r="497" spans="1:34" ht="17.399999999999999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  <c r="M497" s="307"/>
      <c r="N497" s="307"/>
      <c r="O497" s="307"/>
      <c r="P497" s="307"/>
      <c r="Q497" s="307"/>
      <c r="R497" s="307"/>
      <c r="S497" s="307"/>
      <c r="T497" s="307"/>
      <c r="U497" s="307"/>
      <c r="V497" s="307"/>
      <c r="W497" s="307"/>
      <c r="X497" s="307"/>
      <c r="Y497" s="307"/>
      <c r="Z497" s="307"/>
      <c r="AA497" s="307"/>
      <c r="AB497" s="307"/>
      <c r="AC497" s="307"/>
      <c r="AD497" s="307"/>
      <c r="AE497" s="307"/>
      <c r="AF497" s="307"/>
      <c r="AG497" s="307"/>
      <c r="AH497" s="307"/>
    </row>
    <row r="498" spans="1:34" ht="17.399999999999999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  <c r="M498" s="307"/>
      <c r="N498" s="307"/>
      <c r="O498" s="307"/>
      <c r="P498" s="307"/>
      <c r="Q498" s="307"/>
      <c r="R498" s="307"/>
      <c r="S498" s="307"/>
      <c r="T498" s="307"/>
      <c r="U498" s="307"/>
      <c r="V498" s="307"/>
      <c r="W498" s="307"/>
      <c r="X498" s="307"/>
      <c r="Y498" s="307"/>
      <c r="Z498" s="307"/>
      <c r="AA498" s="307"/>
      <c r="AB498" s="307"/>
      <c r="AC498" s="307"/>
      <c r="AD498" s="307"/>
      <c r="AE498" s="307"/>
      <c r="AF498" s="307"/>
      <c r="AG498" s="307"/>
      <c r="AH498" s="307"/>
    </row>
    <row r="499" spans="1:34" ht="17.399999999999999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  <c r="M499" s="307"/>
      <c r="N499" s="307"/>
      <c r="O499" s="307"/>
      <c r="P499" s="307"/>
      <c r="Q499" s="307"/>
      <c r="R499" s="307"/>
      <c r="S499" s="307"/>
      <c r="T499" s="307"/>
      <c r="U499" s="307"/>
      <c r="V499" s="307"/>
      <c r="W499" s="307"/>
      <c r="X499" s="307"/>
      <c r="Y499" s="307"/>
      <c r="Z499" s="307"/>
      <c r="AA499" s="307"/>
      <c r="AB499" s="307"/>
      <c r="AC499" s="307"/>
      <c r="AD499" s="307"/>
      <c r="AE499" s="307"/>
      <c r="AF499" s="307"/>
      <c r="AG499" s="307"/>
      <c r="AH499" s="307"/>
    </row>
    <row r="500" spans="1:34" ht="17.399999999999999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  <c r="M500" s="307"/>
      <c r="N500" s="307"/>
      <c r="O500" s="307"/>
      <c r="P500" s="307"/>
      <c r="Q500" s="307"/>
      <c r="R500" s="307"/>
      <c r="S500" s="307"/>
      <c r="T500" s="307"/>
      <c r="U500" s="307"/>
      <c r="V500" s="307"/>
      <c r="W500" s="307"/>
      <c r="X500" s="307"/>
      <c r="Y500" s="307"/>
      <c r="Z500" s="307"/>
      <c r="AA500" s="307"/>
      <c r="AB500" s="307"/>
      <c r="AC500" s="307"/>
      <c r="AD500" s="307"/>
      <c r="AE500" s="307"/>
      <c r="AF500" s="307"/>
      <c r="AG500" s="307"/>
      <c r="AH500" s="307"/>
    </row>
    <row r="501" spans="1:34" ht="17.399999999999999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  <c r="M501" s="307"/>
      <c r="N501" s="307"/>
      <c r="O501" s="307"/>
      <c r="P501" s="307"/>
      <c r="Q501" s="307"/>
      <c r="R501" s="307"/>
      <c r="S501" s="307"/>
      <c r="T501" s="307"/>
      <c r="U501" s="307"/>
      <c r="V501" s="307"/>
      <c r="W501" s="307"/>
      <c r="X501" s="307"/>
      <c r="Y501" s="307"/>
      <c r="Z501" s="307"/>
      <c r="AA501" s="307"/>
      <c r="AB501" s="307"/>
      <c r="AC501" s="307"/>
      <c r="AD501" s="307"/>
      <c r="AE501" s="307"/>
      <c r="AF501" s="307"/>
      <c r="AG501" s="307"/>
      <c r="AH501" s="307"/>
    </row>
    <row r="502" spans="1:34" ht="17.399999999999999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  <c r="M502" s="307"/>
      <c r="N502" s="307"/>
      <c r="O502" s="307"/>
      <c r="P502" s="307"/>
      <c r="Q502" s="307"/>
      <c r="R502" s="307"/>
      <c r="S502" s="307"/>
      <c r="T502" s="307"/>
      <c r="U502" s="307"/>
      <c r="V502" s="307"/>
      <c r="W502" s="307"/>
      <c r="X502" s="307"/>
      <c r="Y502" s="307"/>
      <c r="Z502" s="307"/>
      <c r="AA502" s="307"/>
      <c r="AB502" s="307"/>
      <c r="AC502" s="307"/>
      <c r="AD502" s="307"/>
      <c r="AE502" s="307"/>
      <c r="AF502" s="307"/>
      <c r="AG502" s="307"/>
      <c r="AH502" s="307"/>
    </row>
    <row r="503" spans="1:34" ht="17.399999999999999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  <c r="M503" s="307"/>
      <c r="N503" s="307"/>
      <c r="O503" s="307"/>
      <c r="P503" s="307"/>
      <c r="Q503" s="307"/>
      <c r="R503" s="307"/>
      <c r="S503" s="307"/>
      <c r="T503" s="307"/>
      <c r="U503" s="307"/>
      <c r="V503" s="307"/>
      <c r="W503" s="307"/>
      <c r="X503" s="307"/>
      <c r="Y503" s="307"/>
      <c r="Z503" s="307"/>
      <c r="AA503" s="307"/>
      <c r="AB503" s="307"/>
      <c r="AC503" s="307"/>
      <c r="AD503" s="307"/>
      <c r="AE503" s="307"/>
      <c r="AF503" s="307"/>
      <c r="AG503" s="307"/>
      <c r="AH503" s="307"/>
    </row>
    <row r="504" spans="1:34" ht="17.399999999999999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  <c r="M504" s="307"/>
      <c r="N504" s="307"/>
      <c r="O504" s="307"/>
      <c r="P504" s="307"/>
      <c r="Q504" s="307"/>
      <c r="R504" s="307"/>
      <c r="S504" s="307"/>
      <c r="T504" s="307"/>
      <c r="U504" s="307"/>
      <c r="V504" s="307"/>
      <c r="W504" s="307"/>
      <c r="X504" s="307"/>
      <c r="Y504" s="307"/>
      <c r="Z504" s="307"/>
      <c r="AA504" s="307"/>
      <c r="AB504" s="307"/>
      <c r="AC504" s="307"/>
      <c r="AD504" s="307"/>
      <c r="AE504" s="307"/>
      <c r="AF504" s="307"/>
      <c r="AG504" s="307"/>
      <c r="AH504" s="307"/>
    </row>
    <row r="505" spans="1:34" ht="17.399999999999999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  <c r="M505" s="307"/>
      <c r="N505" s="307"/>
      <c r="O505" s="307"/>
      <c r="P505" s="307"/>
      <c r="Q505" s="307"/>
      <c r="R505" s="307"/>
      <c r="S505" s="307"/>
      <c r="T505" s="307"/>
      <c r="U505" s="307"/>
      <c r="V505" s="307"/>
      <c r="W505" s="307"/>
      <c r="X505" s="307"/>
      <c r="Y505" s="307"/>
      <c r="Z505" s="307"/>
      <c r="AA505" s="307"/>
      <c r="AB505" s="307"/>
      <c r="AC505" s="307"/>
      <c r="AD505" s="307"/>
      <c r="AE505" s="307"/>
      <c r="AF505" s="307"/>
      <c r="AG505" s="307"/>
      <c r="AH505" s="307"/>
    </row>
    <row r="506" spans="1:34" ht="17.399999999999999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  <c r="M506" s="307"/>
      <c r="N506" s="307"/>
      <c r="O506" s="307"/>
      <c r="P506" s="307"/>
      <c r="Q506" s="307"/>
      <c r="R506" s="307"/>
      <c r="S506" s="307"/>
      <c r="T506" s="307"/>
      <c r="U506" s="307"/>
      <c r="V506" s="307"/>
      <c r="W506" s="307"/>
      <c r="X506" s="307"/>
      <c r="Y506" s="307"/>
      <c r="Z506" s="307"/>
      <c r="AA506" s="307"/>
      <c r="AB506" s="307"/>
      <c r="AC506" s="307"/>
      <c r="AD506" s="307"/>
      <c r="AE506" s="307"/>
      <c r="AF506" s="307"/>
      <c r="AG506" s="307"/>
      <c r="AH506" s="307"/>
    </row>
    <row r="507" spans="1:34" ht="17.399999999999999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  <c r="M507" s="307"/>
      <c r="N507" s="307"/>
      <c r="O507" s="307"/>
      <c r="P507" s="307"/>
      <c r="Q507" s="307"/>
      <c r="R507" s="307"/>
      <c r="S507" s="307"/>
      <c r="T507" s="307"/>
      <c r="U507" s="307"/>
      <c r="V507" s="307"/>
      <c r="W507" s="307"/>
      <c r="X507" s="307"/>
      <c r="Y507" s="307"/>
      <c r="Z507" s="307"/>
      <c r="AA507" s="307"/>
      <c r="AB507" s="307"/>
      <c r="AC507" s="307"/>
      <c r="AD507" s="307"/>
      <c r="AE507" s="307"/>
      <c r="AF507" s="307"/>
      <c r="AG507" s="307"/>
      <c r="AH507" s="307"/>
    </row>
    <row r="508" spans="1:34" ht="17.399999999999999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  <c r="M508" s="307"/>
      <c r="N508" s="307"/>
      <c r="O508" s="307"/>
      <c r="P508" s="307"/>
      <c r="Q508" s="307"/>
      <c r="R508" s="307"/>
      <c r="S508" s="307"/>
      <c r="T508" s="307"/>
      <c r="U508" s="307"/>
      <c r="V508" s="307"/>
      <c r="W508" s="307"/>
      <c r="X508" s="307"/>
      <c r="Y508" s="307"/>
      <c r="Z508" s="307"/>
      <c r="AA508" s="307"/>
      <c r="AB508" s="307"/>
      <c r="AC508" s="307"/>
      <c r="AD508" s="307"/>
      <c r="AE508" s="307"/>
      <c r="AF508" s="307"/>
      <c r="AG508" s="307"/>
      <c r="AH508" s="307"/>
    </row>
    <row r="509" spans="1:34" ht="17.399999999999999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  <c r="M509" s="307"/>
      <c r="N509" s="307"/>
      <c r="O509" s="307"/>
      <c r="P509" s="307"/>
      <c r="Q509" s="307"/>
      <c r="R509" s="307"/>
      <c r="S509" s="307"/>
      <c r="T509" s="307"/>
      <c r="U509" s="307"/>
      <c r="V509" s="307"/>
      <c r="W509" s="307"/>
      <c r="X509" s="307"/>
      <c r="Y509" s="307"/>
      <c r="Z509" s="307"/>
      <c r="AA509" s="307"/>
      <c r="AB509" s="307"/>
      <c r="AC509" s="307"/>
      <c r="AD509" s="307"/>
      <c r="AE509" s="307"/>
      <c r="AF509" s="307"/>
      <c r="AG509" s="307"/>
      <c r="AH509" s="307"/>
    </row>
    <row r="510" spans="1:34" ht="17.399999999999999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  <c r="M510" s="307"/>
      <c r="N510" s="307"/>
      <c r="O510" s="307"/>
      <c r="P510" s="307"/>
      <c r="Q510" s="307"/>
      <c r="R510" s="307"/>
      <c r="S510" s="307"/>
      <c r="T510" s="307"/>
      <c r="U510" s="307"/>
      <c r="V510" s="307"/>
      <c r="W510" s="307"/>
      <c r="X510" s="307"/>
      <c r="Y510" s="307"/>
      <c r="Z510" s="307"/>
      <c r="AA510" s="307"/>
      <c r="AB510" s="307"/>
      <c r="AC510" s="307"/>
      <c r="AD510" s="307"/>
      <c r="AE510" s="307"/>
      <c r="AF510" s="307"/>
      <c r="AG510" s="307"/>
      <c r="AH510" s="307"/>
    </row>
    <row r="511" spans="1:34" ht="17.399999999999999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  <c r="M511" s="307"/>
      <c r="N511" s="307"/>
      <c r="O511" s="307"/>
      <c r="P511" s="307"/>
      <c r="Q511" s="307"/>
      <c r="R511" s="307"/>
      <c r="S511" s="307"/>
      <c r="T511" s="307"/>
      <c r="U511" s="307"/>
      <c r="V511" s="307"/>
      <c r="W511" s="307"/>
      <c r="X511" s="307"/>
      <c r="Y511" s="307"/>
      <c r="Z511" s="307"/>
      <c r="AA511" s="307"/>
      <c r="AB511" s="307"/>
      <c r="AC511" s="307"/>
      <c r="AD511" s="307"/>
      <c r="AE511" s="307"/>
      <c r="AF511" s="307"/>
      <c r="AG511" s="307"/>
      <c r="AH511" s="307"/>
    </row>
    <row r="512" spans="1:34" ht="17.399999999999999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  <c r="M512" s="307"/>
      <c r="N512" s="307"/>
      <c r="O512" s="307"/>
      <c r="P512" s="307"/>
      <c r="Q512" s="307"/>
      <c r="R512" s="307"/>
      <c r="S512" s="307"/>
      <c r="T512" s="307"/>
      <c r="U512" s="307"/>
      <c r="V512" s="307"/>
      <c r="W512" s="307"/>
      <c r="X512" s="307"/>
      <c r="Y512" s="307"/>
      <c r="Z512" s="307"/>
      <c r="AA512" s="307"/>
      <c r="AB512" s="307"/>
      <c r="AC512" s="307"/>
      <c r="AD512" s="307"/>
      <c r="AE512" s="307"/>
      <c r="AF512" s="307"/>
      <c r="AG512" s="307"/>
      <c r="AH512" s="307"/>
    </row>
    <row r="513" spans="1:34" ht="17.399999999999999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  <c r="M513" s="307"/>
      <c r="N513" s="307"/>
      <c r="O513" s="307"/>
      <c r="P513" s="307"/>
      <c r="Q513" s="307"/>
      <c r="R513" s="307"/>
      <c r="S513" s="307"/>
      <c r="T513" s="307"/>
      <c r="U513" s="307"/>
      <c r="V513" s="307"/>
      <c r="W513" s="307"/>
      <c r="X513" s="307"/>
      <c r="Y513" s="307"/>
      <c r="Z513" s="307"/>
      <c r="AA513" s="307"/>
      <c r="AB513" s="307"/>
      <c r="AC513" s="307"/>
      <c r="AD513" s="307"/>
      <c r="AE513" s="307"/>
      <c r="AF513" s="307"/>
      <c r="AG513" s="307"/>
      <c r="AH513" s="307"/>
    </row>
    <row r="514" spans="1:34" ht="17.399999999999999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  <c r="M514" s="307"/>
      <c r="N514" s="307"/>
      <c r="O514" s="307"/>
      <c r="P514" s="307"/>
      <c r="Q514" s="307"/>
      <c r="R514" s="307"/>
      <c r="S514" s="307"/>
      <c r="T514" s="307"/>
      <c r="U514" s="307"/>
      <c r="V514" s="307"/>
      <c r="W514" s="307"/>
      <c r="X514" s="307"/>
      <c r="Y514" s="307"/>
      <c r="Z514" s="307"/>
      <c r="AA514" s="307"/>
      <c r="AB514" s="307"/>
      <c r="AC514" s="307"/>
      <c r="AD514" s="307"/>
      <c r="AE514" s="307"/>
      <c r="AF514" s="307"/>
      <c r="AG514" s="307"/>
      <c r="AH514" s="307"/>
    </row>
    <row r="515" spans="1:34" ht="17.399999999999999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  <c r="M515" s="307"/>
      <c r="N515" s="307"/>
      <c r="O515" s="307"/>
      <c r="P515" s="307"/>
      <c r="Q515" s="307"/>
      <c r="R515" s="307"/>
      <c r="S515" s="307"/>
      <c r="T515" s="307"/>
      <c r="U515" s="307"/>
      <c r="V515" s="307"/>
      <c r="W515" s="307"/>
      <c r="X515" s="307"/>
      <c r="Y515" s="307"/>
      <c r="Z515" s="307"/>
      <c r="AA515" s="307"/>
      <c r="AB515" s="307"/>
      <c r="AC515" s="307"/>
      <c r="AD515" s="307"/>
      <c r="AE515" s="307"/>
      <c r="AF515" s="307"/>
      <c r="AG515" s="307"/>
      <c r="AH515" s="307"/>
    </row>
    <row r="516" spans="1:34" ht="17.399999999999999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  <c r="M516" s="307"/>
      <c r="N516" s="307"/>
      <c r="O516" s="307"/>
      <c r="P516" s="307"/>
      <c r="Q516" s="307"/>
      <c r="R516" s="307"/>
      <c r="S516" s="307"/>
      <c r="T516" s="307"/>
      <c r="U516" s="307"/>
      <c r="V516" s="307"/>
      <c r="W516" s="307"/>
      <c r="X516" s="307"/>
      <c r="Y516" s="307"/>
      <c r="Z516" s="307"/>
      <c r="AA516" s="307"/>
      <c r="AB516" s="307"/>
      <c r="AC516" s="307"/>
      <c r="AD516" s="307"/>
      <c r="AE516" s="307"/>
      <c r="AF516" s="307"/>
      <c r="AG516" s="307"/>
      <c r="AH516" s="307"/>
    </row>
    <row r="517" spans="1:34" ht="17.399999999999999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  <c r="M517" s="307"/>
      <c r="N517" s="307"/>
      <c r="O517" s="307"/>
      <c r="P517" s="307"/>
      <c r="Q517" s="307"/>
      <c r="R517" s="307"/>
      <c r="S517" s="307"/>
      <c r="T517" s="307"/>
      <c r="U517" s="307"/>
      <c r="V517" s="307"/>
      <c r="W517" s="307"/>
      <c r="X517" s="307"/>
      <c r="Y517" s="307"/>
      <c r="Z517" s="307"/>
      <c r="AA517" s="307"/>
      <c r="AB517" s="307"/>
      <c r="AC517" s="307"/>
      <c r="AD517" s="307"/>
      <c r="AE517" s="307"/>
      <c r="AF517" s="307"/>
      <c r="AG517" s="307"/>
      <c r="AH517" s="307"/>
    </row>
    <row r="518" spans="1:34" ht="17.399999999999999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  <c r="M518" s="307"/>
      <c r="N518" s="307"/>
      <c r="O518" s="307"/>
      <c r="P518" s="307"/>
      <c r="Q518" s="307"/>
      <c r="R518" s="307"/>
      <c r="S518" s="307"/>
      <c r="T518" s="307"/>
      <c r="U518" s="307"/>
      <c r="V518" s="307"/>
      <c r="W518" s="307"/>
      <c r="X518" s="307"/>
      <c r="Y518" s="307"/>
      <c r="Z518" s="307"/>
      <c r="AA518" s="307"/>
      <c r="AB518" s="307"/>
      <c r="AC518" s="307"/>
      <c r="AD518" s="307"/>
      <c r="AE518" s="307"/>
      <c r="AF518" s="307"/>
      <c r="AG518" s="307"/>
      <c r="AH518" s="307"/>
    </row>
    <row r="519" spans="1:34" ht="17.399999999999999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  <c r="M519" s="307"/>
      <c r="N519" s="307"/>
      <c r="O519" s="307"/>
      <c r="P519" s="307"/>
      <c r="Q519" s="307"/>
      <c r="R519" s="307"/>
      <c r="S519" s="307"/>
      <c r="T519" s="307"/>
      <c r="U519" s="307"/>
      <c r="V519" s="307"/>
      <c r="W519" s="307"/>
      <c r="X519" s="307"/>
      <c r="Y519" s="307"/>
      <c r="Z519" s="307"/>
      <c r="AA519" s="307"/>
      <c r="AB519" s="307"/>
      <c r="AC519" s="307"/>
      <c r="AD519" s="307"/>
      <c r="AE519" s="307"/>
      <c r="AF519" s="307"/>
      <c r="AG519" s="307"/>
      <c r="AH519" s="307"/>
    </row>
    <row r="520" spans="1:34" ht="17.399999999999999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  <c r="M520" s="307"/>
      <c r="N520" s="307"/>
      <c r="O520" s="307"/>
      <c r="P520" s="307"/>
      <c r="Q520" s="307"/>
      <c r="R520" s="307"/>
      <c r="S520" s="307"/>
      <c r="T520" s="307"/>
      <c r="U520" s="307"/>
      <c r="V520" s="307"/>
      <c r="W520" s="307"/>
      <c r="X520" s="307"/>
      <c r="Y520" s="307"/>
      <c r="Z520" s="307"/>
      <c r="AA520" s="307"/>
      <c r="AB520" s="307"/>
      <c r="AC520" s="307"/>
      <c r="AD520" s="307"/>
      <c r="AE520" s="307"/>
      <c r="AF520" s="307"/>
      <c r="AG520" s="307"/>
      <c r="AH520" s="307"/>
    </row>
    <row r="521" spans="1:34" ht="17.399999999999999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  <c r="M521" s="307"/>
      <c r="N521" s="307"/>
      <c r="O521" s="307"/>
      <c r="P521" s="307"/>
      <c r="Q521" s="307"/>
      <c r="R521" s="307"/>
      <c r="S521" s="307"/>
      <c r="T521" s="307"/>
      <c r="U521" s="307"/>
      <c r="V521" s="307"/>
      <c r="W521" s="307"/>
      <c r="X521" s="307"/>
      <c r="Y521" s="307"/>
      <c r="Z521" s="307"/>
      <c r="AA521" s="307"/>
      <c r="AB521" s="307"/>
      <c r="AC521" s="307"/>
      <c r="AD521" s="307"/>
      <c r="AE521" s="307"/>
      <c r="AF521" s="307"/>
      <c r="AG521" s="307"/>
      <c r="AH521" s="307"/>
    </row>
    <row r="522" spans="1:34" ht="17.399999999999999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  <c r="M522" s="307"/>
      <c r="N522" s="307"/>
      <c r="O522" s="307"/>
      <c r="P522" s="307"/>
      <c r="Q522" s="307"/>
      <c r="R522" s="307"/>
      <c r="S522" s="307"/>
      <c r="T522" s="307"/>
      <c r="U522" s="307"/>
      <c r="V522" s="307"/>
      <c r="W522" s="307"/>
      <c r="X522" s="307"/>
      <c r="Y522" s="307"/>
      <c r="Z522" s="307"/>
      <c r="AA522" s="307"/>
      <c r="AB522" s="307"/>
      <c r="AC522" s="307"/>
      <c r="AD522" s="307"/>
      <c r="AE522" s="307"/>
      <c r="AF522" s="307"/>
      <c r="AG522" s="307"/>
      <c r="AH522" s="307"/>
    </row>
    <row r="523" spans="1:34" ht="17.399999999999999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  <c r="M523" s="307"/>
      <c r="N523" s="307"/>
      <c r="O523" s="307"/>
      <c r="P523" s="307"/>
      <c r="Q523" s="307"/>
      <c r="R523" s="307"/>
      <c r="S523" s="307"/>
      <c r="T523" s="307"/>
      <c r="U523" s="307"/>
      <c r="V523" s="307"/>
      <c r="W523" s="307"/>
      <c r="X523" s="307"/>
      <c r="Y523" s="307"/>
      <c r="Z523" s="307"/>
      <c r="AA523" s="307"/>
      <c r="AB523" s="307"/>
      <c r="AC523" s="307"/>
      <c r="AD523" s="307"/>
      <c r="AE523" s="307"/>
      <c r="AF523" s="307"/>
      <c r="AG523" s="307"/>
      <c r="AH523" s="307"/>
    </row>
    <row r="524" spans="1:34" ht="17.399999999999999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  <c r="M524" s="307"/>
      <c r="N524" s="307"/>
      <c r="O524" s="307"/>
      <c r="P524" s="307"/>
      <c r="Q524" s="307"/>
      <c r="R524" s="307"/>
      <c r="S524" s="307"/>
      <c r="T524" s="307"/>
      <c r="U524" s="307"/>
      <c r="V524" s="307"/>
      <c r="W524" s="307"/>
      <c r="X524" s="307"/>
      <c r="Y524" s="307"/>
      <c r="Z524" s="307"/>
      <c r="AA524" s="307"/>
      <c r="AB524" s="307"/>
      <c r="AC524" s="307"/>
      <c r="AD524" s="307"/>
      <c r="AE524" s="307"/>
      <c r="AF524" s="307"/>
      <c r="AG524" s="307"/>
      <c r="AH524" s="307"/>
    </row>
    <row r="525" spans="1:34" ht="17.399999999999999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  <c r="M525" s="307"/>
      <c r="N525" s="307"/>
      <c r="O525" s="307"/>
      <c r="P525" s="307"/>
      <c r="Q525" s="307"/>
      <c r="R525" s="307"/>
      <c r="S525" s="307"/>
      <c r="T525" s="307"/>
      <c r="U525" s="307"/>
      <c r="V525" s="307"/>
      <c r="W525" s="307"/>
      <c r="X525" s="307"/>
      <c r="Y525" s="307"/>
      <c r="Z525" s="307"/>
      <c r="AA525" s="307"/>
      <c r="AB525" s="307"/>
      <c r="AC525" s="307"/>
      <c r="AD525" s="307"/>
      <c r="AE525" s="307"/>
      <c r="AF525" s="307"/>
      <c r="AG525" s="307"/>
      <c r="AH525" s="307"/>
    </row>
    <row r="526" spans="1:34" ht="17.399999999999999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  <c r="M526" s="307"/>
      <c r="N526" s="307"/>
      <c r="O526" s="307"/>
      <c r="P526" s="307"/>
      <c r="Q526" s="307"/>
      <c r="R526" s="307"/>
      <c r="S526" s="307"/>
      <c r="T526" s="307"/>
      <c r="U526" s="307"/>
      <c r="V526" s="307"/>
      <c r="W526" s="307"/>
      <c r="X526" s="307"/>
      <c r="Y526" s="307"/>
      <c r="Z526" s="307"/>
      <c r="AA526" s="307"/>
      <c r="AB526" s="307"/>
      <c r="AC526" s="307"/>
      <c r="AD526" s="307"/>
      <c r="AE526" s="307"/>
      <c r="AF526" s="307"/>
      <c r="AG526" s="307"/>
      <c r="AH526" s="307"/>
    </row>
    <row r="527" spans="1:34" ht="17.399999999999999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  <c r="M527" s="307"/>
      <c r="N527" s="307"/>
      <c r="O527" s="307"/>
      <c r="P527" s="307"/>
      <c r="Q527" s="307"/>
      <c r="R527" s="307"/>
      <c r="S527" s="307"/>
      <c r="T527" s="307"/>
      <c r="U527" s="307"/>
      <c r="V527" s="307"/>
      <c r="W527" s="307"/>
      <c r="X527" s="307"/>
      <c r="Y527" s="307"/>
      <c r="Z527" s="307"/>
      <c r="AA527" s="307"/>
      <c r="AB527" s="307"/>
      <c r="AC527" s="307"/>
      <c r="AD527" s="307"/>
      <c r="AE527" s="307"/>
      <c r="AF527" s="307"/>
      <c r="AG527" s="307"/>
      <c r="AH527" s="307"/>
    </row>
    <row r="528" spans="1:34" ht="17.399999999999999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  <c r="M528" s="307"/>
      <c r="N528" s="307"/>
      <c r="O528" s="307"/>
      <c r="P528" s="307"/>
      <c r="Q528" s="307"/>
      <c r="R528" s="307"/>
      <c r="S528" s="307"/>
      <c r="T528" s="307"/>
      <c r="U528" s="307"/>
      <c r="V528" s="307"/>
      <c r="W528" s="307"/>
      <c r="X528" s="307"/>
      <c r="Y528" s="307"/>
      <c r="Z528" s="307"/>
      <c r="AA528" s="307"/>
      <c r="AB528" s="307"/>
      <c r="AC528" s="307"/>
      <c r="AD528" s="307"/>
      <c r="AE528" s="307"/>
      <c r="AF528" s="307"/>
      <c r="AG528" s="307"/>
      <c r="AH528" s="307"/>
    </row>
    <row r="529" spans="1:34" ht="17.399999999999999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  <c r="M529" s="307"/>
      <c r="N529" s="307"/>
      <c r="O529" s="307"/>
      <c r="P529" s="307"/>
      <c r="Q529" s="307"/>
      <c r="R529" s="307"/>
      <c r="S529" s="307"/>
      <c r="T529" s="307"/>
      <c r="U529" s="307"/>
      <c r="V529" s="307"/>
      <c r="W529" s="307"/>
      <c r="X529" s="307"/>
      <c r="Y529" s="307"/>
      <c r="Z529" s="307"/>
      <c r="AA529" s="307"/>
      <c r="AB529" s="307"/>
      <c r="AC529" s="307"/>
      <c r="AD529" s="307"/>
      <c r="AE529" s="307"/>
      <c r="AF529" s="307"/>
      <c r="AG529" s="307"/>
      <c r="AH529" s="307"/>
    </row>
    <row r="530" spans="1:34" ht="17.399999999999999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  <c r="M530" s="307"/>
      <c r="N530" s="307"/>
      <c r="O530" s="307"/>
      <c r="P530" s="307"/>
      <c r="Q530" s="307"/>
      <c r="R530" s="307"/>
      <c r="S530" s="307"/>
      <c r="T530" s="307"/>
      <c r="U530" s="307"/>
      <c r="V530" s="307"/>
      <c r="W530" s="307"/>
      <c r="X530" s="307"/>
      <c r="Y530" s="307"/>
      <c r="Z530" s="307"/>
      <c r="AA530" s="307"/>
      <c r="AB530" s="307"/>
      <c r="AC530" s="307"/>
      <c r="AD530" s="307"/>
      <c r="AE530" s="307"/>
      <c r="AF530" s="307"/>
      <c r="AG530" s="307"/>
      <c r="AH530" s="307"/>
    </row>
    <row r="531" spans="1:34" ht="17.399999999999999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  <c r="M531" s="307"/>
      <c r="N531" s="307"/>
      <c r="O531" s="307"/>
      <c r="P531" s="307"/>
      <c r="Q531" s="307"/>
      <c r="R531" s="307"/>
      <c r="S531" s="307"/>
      <c r="T531" s="307"/>
      <c r="U531" s="307"/>
      <c r="V531" s="307"/>
      <c r="W531" s="307"/>
      <c r="X531" s="307"/>
      <c r="Y531" s="307"/>
      <c r="Z531" s="307"/>
      <c r="AA531" s="307"/>
      <c r="AB531" s="307"/>
      <c r="AC531" s="307"/>
      <c r="AD531" s="307"/>
      <c r="AE531" s="307"/>
      <c r="AF531" s="307"/>
      <c r="AG531" s="307"/>
      <c r="AH531" s="307"/>
    </row>
    <row r="532" spans="1:34" ht="17.399999999999999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  <c r="M532" s="307"/>
      <c r="N532" s="307"/>
      <c r="O532" s="307"/>
      <c r="P532" s="307"/>
      <c r="Q532" s="307"/>
      <c r="R532" s="307"/>
      <c r="S532" s="307"/>
      <c r="T532" s="307"/>
      <c r="U532" s="307"/>
      <c r="V532" s="307"/>
      <c r="W532" s="307"/>
      <c r="X532" s="307"/>
      <c r="Y532" s="307"/>
      <c r="Z532" s="307"/>
      <c r="AA532" s="307"/>
      <c r="AB532" s="307"/>
      <c r="AC532" s="307"/>
      <c r="AD532" s="307"/>
      <c r="AE532" s="307"/>
      <c r="AF532" s="307"/>
      <c r="AG532" s="307"/>
      <c r="AH532" s="307"/>
    </row>
    <row r="533" spans="1:34" ht="17.399999999999999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  <c r="M533" s="307"/>
      <c r="N533" s="307"/>
      <c r="O533" s="307"/>
      <c r="P533" s="307"/>
      <c r="Q533" s="307"/>
      <c r="R533" s="307"/>
      <c r="S533" s="307"/>
      <c r="T533" s="307"/>
      <c r="U533" s="307"/>
      <c r="V533" s="307"/>
      <c r="W533" s="307"/>
      <c r="X533" s="307"/>
      <c r="Y533" s="307"/>
      <c r="Z533" s="307"/>
      <c r="AA533" s="307"/>
      <c r="AB533" s="307"/>
      <c r="AC533" s="307"/>
      <c r="AD533" s="307"/>
      <c r="AE533" s="307"/>
      <c r="AF533" s="307"/>
      <c r="AG533" s="307"/>
      <c r="AH533" s="307"/>
    </row>
    <row r="534" spans="1:34" ht="17.399999999999999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  <c r="M534" s="307"/>
      <c r="N534" s="307"/>
      <c r="O534" s="307"/>
      <c r="P534" s="307"/>
      <c r="Q534" s="307"/>
      <c r="R534" s="307"/>
      <c r="S534" s="307"/>
      <c r="T534" s="307"/>
      <c r="U534" s="307"/>
      <c r="V534" s="307"/>
      <c r="W534" s="307"/>
      <c r="X534" s="307"/>
      <c r="Y534" s="307"/>
      <c r="Z534" s="307"/>
      <c r="AA534" s="307"/>
      <c r="AB534" s="307"/>
      <c r="AC534" s="307"/>
      <c r="AD534" s="307"/>
      <c r="AE534" s="307"/>
      <c r="AF534" s="307"/>
      <c r="AG534" s="307"/>
      <c r="AH534" s="307"/>
    </row>
    <row r="535" spans="1:34" ht="17.399999999999999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  <c r="M535" s="307"/>
      <c r="N535" s="307"/>
      <c r="O535" s="307"/>
      <c r="P535" s="307"/>
      <c r="Q535" s="307"/>
      <c r="R535" s="307"/>
      <c r="S535" s="307"/>
      <c r="T535" s="307"/>
      <c r="U535" s="307"/>
      <c r="V535" s="307"/>
      <c r="W535" s="307"/>
      <c r="X535" s="307"/>
      <c r="Y535" s="307"/>
      <c r="Z535" s="307"/>
      <c r="AA535" s="307"/>
      <c r="AB535" s="307"/>
      <c r="AC535" s="307"/>
      <c r="AD535" s="307"/>
      <c r="AE535" s="307"/>
      <c r="AF535" s="307"/>
      <c r="AG535" s="307"/>
      <c r="AH535" s="307"/>
    </row>
    <row r="536" spans="1:34" ht="17.399999999999999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  <c r="M536" s="307"/>
      <c r="N536" s="307"/>
      <c r="O536" s="307"/>
      <c r="P536" s="307"/>
      <c r="Q536" s="307"/>
      <c r="R536" s="307"/>
      <c r="S536" s="307"/>
      <c r="T536" s="307"/>
      <c r="U536" s="307"/>
      <c r="V536" s="307"/>
      <c r="W536" s="307"/>
      <c r="X536" s="307"/>
      <c r="Y536" s="307"/>
      <c r="Z536" s="307"/>
      <c r="AA536" s="307"/>
      <c r="AB536" s="307"/>
      <c r="AC536" s="307"/>
      <c r="AD536" s="307"/>
      <c r="AE536" s="307"/>
      <c r="AF536" s="307"/>
      <c r="AG536" s="307"/>
      <c r="AH536" s="307"/>
    </row>
    <row r="537" spans="1:34" ht="17.399999999999999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  <c r="M537" s="307"/>
      <c r="N537" s="307"/>
      <c r="O537" s="307"/>
      <c r="P537" s="307"/>
      <c r="Q537" s="307"/>
      <c r="R537" s="307"/>
      <c r="S537" s="307"/>
      <c r="T537" s="307"/>
      <c r="U537" s="307"/>
      <c r="V537" s="307"/>
      <c r="W537" s="307"/>
      <c r="X537" s="307"/>
      <c r="Y537" s="307"/>
      <c r="Z537" s="307"/>
      <c r="AA537" s="307"/>
      <c r="AB537" s="307"/>
      <c r="AC537" s="307"/>
      <c r="AD537" s="307"/>
      <c r="AE537" s="307"/>
      <c r="AF537" s="307"/>
      <c r="AG537" s="307"/>
      <c r="AH537" s="307"/>
    </row>
    <row r="538" spans="1:34" ht="17.399999999999999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  <c r="M538" s="307"/>
      <c r="N538" s="307"/>
      <c r="O538" s="307"/>
      <c r="P538" s="307"/>
      <c r="Q538" s="307"/>
      <c r="R538" s="307"/>
      <c r="S538" s="307"/>
      <c r="T538" s="307"/>
      <c r="U538" s="307"/>
      <c r="V538" s="307"/>
      <c r="W538" s="307"/>
      <c r="X538" s="307"/>
      <c r="Y538" s="307"/>
      <c r="Z538" s="307"/>
      <c r="AA538" s="307"/>
      <c r="AB538" s="307"/>
      <c r="AC538" s="307"/>
      <c r="AD538" s="307"/>
      <c r="AE538" s="307"/>
      <c r="AF538" s="307"/>
      <c r="AG538" s="307"/>
      <c r="AH538" s="307"/>
    </row>
    <row r="539" spans="1:34" ht="17.399999999999999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  <c r="M539" s="307"/>
      <c r="N539" s="307"/>
      <c r="O539" s="307"/>
      <c r="P539" s="307"/>
      <c r="Q539" s="307"/>
      <c r="R539" s="307"/>
      <c r="S539" s="307"/>
      <c r="T539" s="307"/>
      <c r="U539" s="307"/>
      <c r="V539" s="307"/>
      <c r="W539" s="307"/>
      <c r="X539" s="307"/>
      <c r="Y539" s="307"/>
      <c r="Z539" s="307"/>
      <c r="AA539" s="307"/>
      <c r="AB539" s="307"/>
      <c r="AC539" s="307"/>
      <c r="AD539" s="307"/>
      <c r="AE539" s="307"/>
      <c r="AF539" s="307"/>
      <c r="AG539" s="307"/>
      <c r="AH539" s="307"/>
    </row>
    <row r="540" spans="1:34" ht="17.399999999999999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  <c r="M540" s="307"/>
      <c r="N540" s="307"/>
      <c r="O540" s="307"/>
      <c r="P540" s="307"/>
      <c r="Q540" s="307"/>
      <c r="R540" s="307"/>
      <c r="S540" s="307"/>
      <c r="T540" s="307"/>
      <c r="U540" s="307"/>
      <c r="V540" s="307"/>
      <c r="W540" s="307"/>
      <c r="X540" s="307"/>
      <c r="Y540" s="307"/>
      <c r="Z540" s="307"/>
      <c r="AA540" s="307"/>
      <c r="AB540" s="307"/>
      <c r="AC540" s="307"/>
      <c r="AD540" s="307"/>
      <c r="AE540" s="307"/>
      <c r="AF540" s="307"/>
      <c r="AG540" s="307"/>
      <c r="AH540" s="307"/>
    </row>
    <row r="541" spans="1:34" ht="17.399999999999999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  <c r="M541" s="307"/>
      <c r="N541" s="307"/>
      <c r="O541" s="307"/>
      <c r="P541" s="307"/>
      <c r="Q541" s="307"/>
      <c r="R541" s="307"/>
      <c r="S541" s="307"/>
      <c r="T541" s="307"/>
      <c r="U541" s="307"/>
      <c r="V541" s="307"/>
      <c r="W541" s="307"/>
      <c r="X541" s="307"/>
      <c r="Y541" s="307"/>
      <c r="Z541" s="307"/>
      <c r="AA541" s="307"/>
      <c r="AB541" s="307"/>
      <c r="AC541" s="307"/>
      <c r="AD541" s="307"/>
      <c r="AE541" s="307"/>
      <c r="AF541" s="307"/>
      <c r="AG541" s="307"/>
      <c r="AH541" s="307"/>
    </row>
    <row r="542" spans="1:34" ht="17.399999999999999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  <c r="M542" s="307"/>
      <c r="N542" s="307"/>
      <c r="O542" s="307"/>
      <c r="P542" s="307"/>
      <c r="Q542" s="307"/>
      <c r="R542" s="307"/>
      <c r="S542" s="307"/>
      <c r="T542" s="307"/>
      <c r="U542" s="307"/>
      <c r="V542" s="307"/>
      <c r="W542" s="307"/>
      <c r="X542" s="307"/>
      <c r="Y542" s="307"/>
      <c r="Z542" s="307"/>
      <c r="AA542" s="307"/>
      <c r="AB542" s="307"/>
      <c r="AC542" s="307"/>
      <c r="AD542" s="307"/>
      <c r="AE542" s="307"/>
      <c r="AF542" s="307"/>
      <c r="AG542" s="307"/>
      <c r="AH542" s="307"/>
    </row>
    <row r="543" spans="1:34" ht="17.399999999999999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  <c r="M543" s="307"/>
      <c r="N543" s="307"/>
      <c r="O543" s="307"/>
      <c r="P543" s="307"/>
      <c r="Q543" s="307"/>
      <c r="R543" s="307"/>
      <c r="S543" s="307"/>
      <c r="T543" s="307"/>
      <c r="U543" s="307"/>
      <c r="V543" s="307"/>
      <c r="W543" s="307"/>
      <c r="X543" s="307"/>
      <c r="Y543" s="307"/>
      <c r="Z543" s="307"/>
      <c r="AA543" s="307"/>
      <c r="AB543" s="307"/>
      <c r="AC543" s="307"/>
      <c r="AD543" s="307"/>
      <c r="AE543" s="307"/>
      <c r="AF543" s="307"/>
      <c r="AG543" s="307"/>
      <c r="AH543" s="307"/>
    </row>
    <row r="544" spans="1:34" ht="17.399999999999999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  <c r="M544" s="307"/>
      <c r="N544" s="307"/>
      <c r="O544" s="307"/>
      <c r="P544" s="307"/>
      <c r="Q544" s="307"/>
      <c r="R544" s="307"/>
      <c r="S544" s="307"/>
      <c r="T544" s="307"/>
      <c r="U544" s="307"/>
      <c r="V544" s="307"/>
      <c r="W544" s="307"/>
      <c r="X544" s="307"/>
      <c r="Y544" s="307"/>
      <c r="Z544" s="307"/>
      <c r="AA544" s="307"/>
      <c r="AB544" s="307"/>
      <c r="AC544" s="307"/>
      <c r="AD544" s="307"/>
      <c r="AE544" s="307"/>
      <c r="AF544" s="307"/>
      <c r="AG544" s="307"/>
      <c r="AH544" s="307"/>
    </row>
    <row r="545" spans="1:34" ht="17.399999999999999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  <c r="M545" s="307"/>
      <c r="N545" s="307"/>
      <c r="O545" s="307"/>
      <c r="P545" s="307"/>
      <c r="Q545" s="307"/>
      <c r="R545" s="307"/>
      <c r="S545" s="307"/>
      <c r="T545" s="307"/>
      <c r="U545" s="307"/>
      <c r="V545" s="307"/>
      <c r="W545" s="307"/>
      <c r="X545" s="307"/>
      <c r="Y545" s="307"/>
      <c r="Z545" s="307"/>
      <c r="AA545" s="307"/>
      <c r="AB545" s="307"/>
      <c r="AC545" s="307"/>
      <c r="AD545" s="307"/>
      <c r="AE545" s="307"/>
      <c r="AF545" s="307"/>
      <c r="AG545" s="307"/>
      <c r="AH545" s="307"/>
    </row>
    <row r="546" spans="1:34" ht="17.399999999999999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  <c r="M546" s="307"/>
      <c r="N546" s="307"/>
      <c r="O546" s="307"/>
      <c r="P546" s="307"/>
      <c r="Q546" s="307"/>
      <c r="R546" s="307"/>
      <c r="S546" s="307"/>
      <c r="T546" s="307"/>
      <c r="U546" s="307"/>
      <c r="V546" s="307"/>
      <c r="W546" s="307"/>
      <c r="X546" s="307"/>
      <c r="Y546" s="307"/>
      <c r="Z546" s="307"/>
      <c r="AA546" s="307"/>
      <c r="AB546" s="307"/>
      <c r="AC546" s="307"/>
      <c r="AD546" s="307"/>
      <c r="AE546" s="307"/>
      <c r="AF546" s="307"/>
      <c r="AG546" s="307"/>
      <c r="AH546" s="307"/>
    </row>
    <row r="547" spans="1:34" ht="17.399999999999999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  <c r="M547" s="307"/>
      <c r="N547" s="307"/>
      <c r="O547" s="307"/>
      <c r="P547" s="307"/>
      <c r="Q547" s="307"/>
      <c r="R547" s="307"/>
      <c r="S547" s="307"/>
      <c r="T547" s="307"/>
      <c r="U547" s="307"/>
      <c r="V547" s="307"/>
      <c r="W547" s="307"/>
      <c r="X547" s="307"/>
      <c r="Y547" s="307"/>
      <c r="Z547" s="307"/>
      <c r="AA547" s="307"/>
      <c r="AB547" s="307"/>
      <c r="AC547" s="307"/>
      <c r="AD547" s="307"/>
      <c r="AE547" s="307"/>
      <c r="AF547" s="307"/>
      <c r="AG547" s="307"/>
      <c r="AH547" s="307"/>
    </row>
    <row r="548" spans="1:34" ht="17.399999999999999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  <c r="M548" s="307"/>
      <c r="N548" s="307"/>
      <c r="O548" s="307"/>
      <c r="P548" s="307"/>
      <c r="Q548" s="307"/>
      <c r="R548" s="307"/>
      <c r="S548" s="307"/>
      <c r="T548" s="307"/>
      <c r="U548" s="307"/>
      <c r="V548" s="307"/>
      <c r="W548" s="307"/>
      <c r="X548" s="307"/>
      <c r="Y548" s="307"/>
      <c r="Z548" s="307"/>
      <c r="AA548" s="307"/>
      <c r="AB548" s="307"/>
      <c r="AC548" s="307"/>
      <c r="AD548" s="307"/>
      <c r="AE548" s="307"/>
      <c r="AF548" s="307"/>
      <c r="AG548" s="307"/>
      <c r="AH548" s="307"/>
    </row>
    <row r="549" spans="1:34" ht="17.399999999999999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  <c r="M549" s="307"/>
      <c r="N549" s="307"/>
      <c r="O549" s="307"/>
      <c r="P549" s="307"/>
      <c r="Q549" s="307"/>
      <c r="R549" s="307"/>
      <c r="S549" s="307"/>
      <c r="T549" s="307"/>
      <c r="U549" s="307"/>
      <c r="V549" s="307"/>
      <c r="W549" s="307"/>
      <c r="X549" s="307"/>
      <c r="Y549" s="307"/>
      <c r="Z549" s="307"/>
      <c r="AA549" s="307"/>
      <c r="AB549" s="307"/>
      <c r="AC549" s="307"/>
      <c r="AD549" s="307"/>
      <c r="AE549" s="307"/>
      <c r="AF549" s="307"/>
      <c r="AG549" s="307"/>
      <c r="AH549" s="307"/>
    </row>
    <row r="550" spans="1:34" ht="17.399999999999999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  <c r="M550" s="307"/>
      <c r="N550" s="307"/>
      <c r="O550" s="307"/>
      <c r="P550" s="307"/>
      <c r="Q550" s="307"/>
      <c r="R550" s="307"/>
      <c r="S550" s="307"/>
      <c r="T550" s="307"/>
      <c r="U550" s="307"/>
      <c r="V550" s="307"/>
      <c r="W550" s="307"/>
      <c r="X550" s="307"/>
      <c r="Y550" s="307"/>
      <c r="Z550" s="307"/>
      <c r="AA550" s="307"/>
      <c r="AB550" s="307"/>
      <c r="AC550" s="307"/>
      <c r="AD550" s="307"/>
      <c r="AE550" s="307"/>
      <c r="AF550" s="307"/>
      <c r="AG550" s="307"/>
      <c r="AH550" s="307"/>
    </row>
    <row r="551" spans="1:34" ht="17.399999999999999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  <c r="M551" s="307"/>
      <c r="N551" s="307"/>
      <c r="O551" s="307"/>
      <c r="P551" s="307"/>
      <c r="Q551" s="307"/>
      <c r="R551" s="307"/>
      <c r="S551" s="307"/>
      <c r="T551" s="307"/>
      <c r="U551" s="307"/>
      <c r="V551" s="307"/>
      <c r="W551" s="307"/>
      <c r="X551" s="307"/>
      <c r="Y551" s="307"/>
      <c r="Z551" s="307"/>
      <c r="AA551" s="307"/>
      <c r="AB551" s="307"/>
      <c r="AC551" s="307"/>
      <c r="AD551" s="307"/>
      <c r="AE551" s="307"/>
      <c r="AF551" s="307"/>
      <c r="AG551" s="307"/>
      <c r="AH551" s="307"/>
    </row>
    <row r="552" spans="1:34" ht="17.399999999999999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  <c r="M552" s="307"/>
      <c r="N552" s="307"/>
      <c r="O552" s="307"/>
      <c r="P552" s="307"/>
      <c r="Q552" s="307"/>
      <c r="R552" s="307"/>
      <c r="S552" s="307"/>
      <c r="T552" s="307"/>
      <c r="U552" s="307"/>
      <c r="V552" s="307"/>
      <c r="W552" s="307"/>
      <c r="X552" s="307"/>
      <c r="Y552" s="307"/>
      <c r="Z552" s="307"/>
      <c r="AA552" s="307"/>
      <c r="AB552" s="307"/>
      <c r="AC552" s="307"/>
      <c r="AD552" s="307"/>
      <c r="AE552" s="307"/>
      <c r="AF552" s="307"/>
      <c r="AG552" s="307"/>
      <c r="AH552" s="307"/>
    </row>
    <row r="553" spans="1:34" ht="17.399999999999999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  <c r="M553" s="307"/>
      <c r="N553" s="307"/>
      <c r="O553" s="307"/>
      <c r="P553" s="307"/>
      <c r="Q553" s="307"/>
      <c r="R553" s="307"/>
      <c r="S553" s="307"/>
      <c r="T553" s="307"/>
      <c r="U553" s="307"/>
      <c r="V553" s="307"/>
      <c r="W553" s="307"/>
      <c r="X553" s="307"/>
      <c r="Y553" s="307"/>
      <c r="Z553" s="307"/>
      <c r="AA553" s="307"/>
      <c r="AB553" s="307"/>
      <c r="AC553" s="307"/>
      <c r="AD553" s="307"/>
      <c r="AE553" s="307"/>
      <c r="AF553" s="307"/>
      <c r="AG553" s="307"/>
      <c r="AH553" s="307"/>
    </row>
    <row r="554" spans="1:34" ht="17.399999999999999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  <c r="M554" s="307"/>
      <c r="N554" s="307"/>
      <c r="O554" s="307"/>
      <c r="P554" s="307"/>
      <c r="Q554" s="307"/>
      <c r="R554" s="307"/>
      <c r="S554" s="307"/>
      <c r="T554" s="307"/>
      <c r="U554" s="307"/>
      <c r="V554" s="307"/>
      <c r="W554" s="307"/>
      <c r="X554" s="307"/>
      <c r="Y554" s="307"/>
      <c r="Z554" s="307"/>
      <c r="AA554" s="307"/>
      <c r="AB554" s="307"/>
      <c r="AC554" s="307"/>
      <c r="AD554" s="307"/>
      <c r="AE554" s="307"/>
      <c r="AF554" s="307"/>
      <c r="AG554" s="307"/>
      <c r="AH554" s="307"/>
    </row>
    <row r="555" spans="1:34" ht="17.399999999999999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  <c r="M555" s="307"/>
      <c r="N555" s="307"/>
      <c r="O555" s="307"/>
      <c r="P555" s="307"/>
      <c r="Q555" s="307"/>
      <c r="R555" s="307"/>
      <c r="S555" s="307"/>
      <c r="T555" s="307"/>
      <c r="U555" s="307"/>
      <c r="V555" s="307"/>
      <c r="W555" s="307"/>
      <c r="X555" s="307"/>
      <c r="Y555" s="307"/>
      <c r="Z555" s="307"/>
      <c r="AA555" s="307"/>
      <c r="AB555" s="307"/>
      <c r="AC555" s="307"/>
      <c r="AD555" s="307"/>
      <c r="AE555" s="307"/>
      <c r="AF555" s="307"/>
      <c r="AG555" s="307"/>
      <c r="AH555" s="307"/>
    </row>
    <row r="556" spans="1:34" ht="17.399999999999999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  <c r="M556" s="307"/>
      <c r="N556" s="307"/>
      <c r="O556" s="307"/>
      <c r="P556" s="307"/>
      <c r="Q556" s="307"/>
      <c r="R556" s="307"/>
      <c r="S556" s="307"/>
      <c r="T556" s="307"/>
      <c r="U556" s="307"/>
      <c r="V556" s="307"/>
      <c r="W556" s="307"/>
      <c r="X556" s="307"/>
      <c r="Y556" s="307"/>
      <c r="Z556" s="307"/>
      <c r="AA556" s="307"/>
      <c r="AB556" s="307"/>
      <c r="AC556" s="307"/>
      <c r="AD556" s="307"/>
      <c r="AE556" s="307"/>
      <c r="AF556" s="307"/>
      <c r="AG556" s="307"/>
      <c r="AH556" s="307"/>
    </row>
    <row r="557" spans="1:34" ht="17.399999999999999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  <c r="M557" s="307"/>
      <c r="N557" s="307"/>
      <c r="O557" s="307"/>
      <c r="P557" s="307"/>
      <c r="Q557" s="307"/>
      <c r="R557" s="307"/>
      <c r="S557" s="307"/>
      <c r="T557" s="307"/>
      <c r="U557" s="307"/>
      <c r="V557" s="307"/>
      <c r="W557" s="307"/>
      <c r="X557" s="307"/>
      <c r="Y557" s="307"/>
      <c r="Z557" s="307"/>
      <c r="AA557" s="307"/>
      <c r="AB557" s="307"/>
      <c r="AC557" s="307"/>
      <c r="AD557" s="307"/>
      <c r="AE557" s="307"/>
      <c r="AF557" s="307"/>
      <c r="AG557" s="307"/>
      <c r="AH557" s="307"/>
    </row>
    <row r="558" spans="1:34" ht="17.399999999999999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  <c r="M558" s="307"/>
      <c r="N558" s="307"/>
      <c r="O558" s="307"/>
      <c r="P558" s="307"/>
      <c r="Q558" s="307"/>
      <c r="R558" s="307"/>
      <c r="S558" s="307"/>
      <c r="T558" s="307"/>
      <c r="U558" s="307"/>
      <c r="V558" s="307"/>
      <c r="W558" s="307"/>
      <c r="X558" s="307"/>
      <c r="Y558" s="307"/>
      <c r="Z558" s="307"/>
      <c r="AA558" s="307"/>
      <c r="AB558" s="307"/>
      <c r="AC558" s="307"/>
      <c r="AD558" s="307"/>
      <c r="AE558" s="307"/>
      <c r="AF558" s="307"/>
      <c r="AG558" s="307"/>
      <c r="AH558" s="307"/>
    </row>
    <row r="559" spans="1:34" ht="17.399999999999999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  <c r="M559" s="307"/>
      <c r="N559" s="307"/>
      <c r="O559" s="307"/>
      <c r="P559" s="307"/>
      <c r="Q559" s="307"/>
      <c r="R559" s="307"/>
      <c r="S559" s="307"/>
      <c r="T559" s="307"/>
      <c r="U559" s="307"/>
      <c r="V559" s="307"/>
      <c r="W559" s="307"/>
      <c r="X559" s="307"/>
      <c r="Y559" s="307"/>
      <c r="Z559" s="307"/>
      <c r="AA559" s="307"/>
      <c r="AB559" s="307"/>
      <c r="AC559" s="307"/>
      <c r="AD559" s="307"/>
      <c r="AE559" s="307"/>
      <c r="AF559" s="307"/>
      <c r="AG559" s="307"/>
      <c r="AH559" s="307"/>
    </row>
    <row r="560" spans="1:34" ht="17.399999999999999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  <c r="M560" s="307"/>
      <c r="N560" s="307"/>
      <c r="O560" s="307"/>
      <c r="P560" s="307"/>
      <c r="Q560" s="307"/>
      <c r="R560" s="307"/>
      <c r="S560" s="307"/>
      <c r="T560" s="307"/>
      <c r="U560" s="307"/>
      <c r="V560" s="307"/>
      <c r="W560" s="307"/>
      <c r="X560" s="307"/>
      <c r="Y560" s="307"/>
      <c r="Z560" s="307"/>
      <c r="AA560" s="307"/>
      <c r="AB560" s="307"/>
      <c r="AC560" s="307"/>
      <c r="AD560" s="307"/>
      <c r="AE560" s="307"/>
      <c r="AF560" s="307"/>
      <c r="AG560" s="307"/>
      <c r="AH560" s="307"/>
    </row>
    <row r="561" spans="1:34" ht="17.399999999999999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  <c r="M561" s="307"/>
      <c r="N561" s="307"/>
      <c r="O561" s="307"/>
      <c r="P561" s="307"/>
      <c r="Q561" s="307"/>
      <c r="R561" s="307"/>
      <c r="S561" s="307"/>
      <c r="T561" s="307"/>
      <c r="U561" s="307"/>
      <c r="V561" s="307"/>
      <c r="W561" s="307"/>
      <c r="X561" s="307"/>
      <c r="Y561" s="307"/>
      <c r="Z561" s="307"/>
      <c r="AA561" s="307"/>
      <c r="AB561" s="307"/>
      <c r="AC561" s="307"/>
      <c r="AD561" s="307"/>
      <c r="AE561" s="307"/>
      <c r="AF561" s="307"/>
      <c r="AG561" s="307"/>
      <c r="AH561" s="307"/>
    </row>
    <row r="562" spans="1:34" ht="17.399999999999999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  <c r="M562" s="307"/>
      <c r="N562" s="307"/>
      <c r="O562" s="307"/>
      <c r="P562" s="307"/>
      <c r="Q562" s="307"/>
      <c r="R562" s="307"/>
      <c r="S562" s="307"/>
      <c r="T562" s="307"/>
      <c r="U562" s="307"/>
      <c r="V562" s="307"/>
      <c r="W562" s="307"/>
      <c r="X562" s="307"/>
      <c r="Y562" s="307"/>
      <c r="Z562" s="307"/>
      <c r="AA562" s="307"/>
      <c r="AB562" s="307"/>
      <c r="AC562" s="307"/>
      <c r="AD562" s="307"/>
      <c r="AE562" s="307"/>
      <c r="AF562" s="307"/>
      <c r="AG562" s="307"/>
      <c r="AH562" s="307"/>
    </row>
    <row r="563" spans="1:34" ht="17.399999999999999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  <c r="M563" s="307"/>
      <c r="N563" s="307"/>
      <c r="O563" s="307"/>
      <c r="P563" s="307"/>
      <c r="Q563" s="307"/>
      <c r="R563" s="307"/>
      <c r="S563" s="307"/>
      <c r="T563" s="307"/>
      <c r="U563" s="307"/>
      <c r="V563" s="307"/>
      <c r="W563" s="307"/>
      <c r="X563" s="307"/>
      <c r="Y563" s="307"/>
      <c r="Z563" s="307"/>
      <c r="AA563" s="307"/>
      <c r="AB563" s="307"/>
      <c r="AC563" s="307"/>
      <c r="AD563" s="307"/>
      <c r="AE563" s="307"/>
      <c r="AF563" s="307"/>
      <c r="AG563" s="307"/>
      <c r="AH563" s="307"/>
    </row>
    <row r="564" spans="1:34" ht="17.399999999999999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  <c r="M564" s="307"/>
      <c r="N564" s="307"/>
      <c r="O564" s="307"/>
      <c r="P564" s="307"/>
      <c r="Q564" s="307"/>
      <c r="R564" s="307"/>
      <c r="S564" s="307"/>
      <c r="T564" s="307"/>
      <c r="U564" s="307"/>
      <c r="V564" s="307"/>
      <c r="W564" s="307"/>
      <c r="X564" s="307"/>
      <c r="Y564" s="307"/>
      <c r="Z564" s="307"/>
      <c r="AA564" s="307"/>
      <c r="AB564" s="307"/>
      <c r="AC564" s="307"/>
      <c r="AD564" s="307"/>
      <c r="AE564" s="307"/>
      <c r="AF564" s="307"/>
      <c r="AG564" s="307"/>
      <c r="AH564" s="307"/>
    </row>
    <row r="565" spans="1:34" ht="17.399999999999999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  <c r="M565" s="307"/>
      <c r="N565" s="307"/>
      <c r="O565" s="307"/>
      <c r="P565" s="307"/>
      <c r="Q565" s="307"/>
      <c r="R565" s="307"/>
      <c r="S565" s="307"/>
      <c r="T565" s="307"/>
      <c r="U565" s="307"/>
      <c r="V565" s="307"/>
      <c r="W565" s="307"/>
      <c r="X565" s="307"/>
      <c r="Y565" s="307"/>
      <c r="Z565" s="307"/>
      <c r="AA565" s="307"/>
      <c r="AB565" s="307"/>
      <c r="AC565" s="307"/>
      <c r="AD565" s="307"/>
      <c r="AE565" s="307"/>
      <c r="AF565" s="307"/>
      <c r="AG565" s="307"/>
      <c r="AH565" s="307"/>
    </row>
    <row r="566" spans="1:34" ht="17.399999999999999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  <c r="M566" s="307"/>
      <c r="N566" s="307"/>
      <c r="O566" s="307"/>
      <c r="P566" s="307"/>
      <c r="Q566" s="307"/>
      <c r="R566" s="307"/>
      <c r="S566" s="307"/>
      <c r="T566" s="307"/>
      <c r="U566" s="307"/>
      <c r="V566" s="307"/>
      <c r="W566" s="307"/>
      <c r="X566" s="307"/>
      <c r="Y566" s="307"/>
      <c r="Z566" s="307"/>
      <c r="AA566" s="307"/>
      <c r="AB566" s="307"/>
      <c r="AC566" s="307"/>
      <c r="AD566" s="307"/>
      <c r="AE566" s="307"/>
      <c r="AF566" s="307"/>
      <c r="AG566" s="307"/>
      <c r="AH566" s="307"/>
    </row>
    <row r="567" spans="1:34" ht="17.399999999999999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  <c r="M567" s="307"/>
      <c r="N567" s="307"/>
      <c r="O567" s="307"/>
      <c r="P567" s="307"/>
      <c r="Q567" s="307"/>
      <c r="R567" s="307"/>
      <c r="S567" s="307"/>
      <c r="T567" s="307"/>
      <c r="U567" s="307"/>
      <c r="V567" s="307"/>
      <c r="W567" s="307"/>
      <c r="X567" s="307"/>
      <c r="Y567" s="307"/>
      <c r="Z567" s="307"/>
      <c r="AA567" s="307"/>
      <c r="AB567" s="307"/>
      <c r="AC567" s="307"/>
      <c r="AD567" s="307"/>
      <c r="AE567" s="307"/>
      <c r="AF567" s="307"/>
      <c r="AG567" s="307"/>
      <c r="AH567" s="307"/>
    </row>
    <row r="568" spans="1:34" ht="17.399999999999999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  <c r="M568" s="307"/>
      <c r="N568" s="307"/>
      <c r="O568" s="307"/>
      <c r="P568" s="307"/>
      <c r="Q568" s="307"/>
      <c r="R568" s="307"/>
      <c r="S568" s="307"/>
      <c r="T568" s="307"/>
      <c r="U568" s="307"/>
      <c r="V568" s="307"/>
      <c r="W568" s="307"/>
      <c r="X568" s="307"/>
      <c r="Y568" s="307"/>
      <c r="Z568" s="307"/>
      <c r="AA568" s="307"/>
      <c r="AB568" s="307"/>
      <c r="AC568" s="307"/>
      <c r="AD568" s="307"/>
      <c r="AE568" s="307"/>
      <c r="AF568" s="307"/>
      <c r="AG568" s="307"/>
      <c r="AH568" s="307"/>
    </row>
    <row r="569" spans="1:34" ht="17.399999999999999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  <c r="M569" s="307"/>
      <c r="N569" s="307"/>
      <c r="O569" s="307"/>
      <c r="P569" s="307"/>
      <c r="Q569" s="307"/>
      <c r="R569" s="307"/>
      <c r="S569" s="307"/>
      <c r="T569" s="307"/>
      <c r="U569" s="307"/>
      <c r="V569" s="307"/>
      <c r="W569" s="307"/>
      <c r="X569" s="307"/>
      <c r="Y569" s="307"/>
      <c r="Z569" s="307"/>
      <c r="AA569" s="307"/>
      <c r="AB569" s="307"/>
      <c r="AC569" s="307"/>
      <c r="AD569" s="307"/>
      <c r="AE569" s="307"/>
      <c r="AF569" s="307"/>
      <c r="AG569" s="307"/>
      <c r="AH569" s="307"/>
    </row>
    <row r="570" spans="1:34" ht="17.399999999999999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  <c r="M570" s="307"/>
      <c r="N570" s="307"/>
      <c r="O570" s="307"/>
      <c r="P570" s="307"/>
      <c r="Q570" s="307"/>
      <c r="R570" s="307"/>
      <c r="S570" s="307"/>
      <c r="T570" s="307"/>
      <c r="U570" s="307"/>
      <c r="V570" s="307"/>
      <c r="W570" s="307"/>
      <c r="X570" s="307"/>
      <c r="Y570" s="307"/>
      <c r="Z570" s="307"/>
      <c r="AA570" s="307"/>
      <c r="AB570" s="307"/>
      <c r="AC570" s="307"/>
      <c r="AD570" s="307"/>
      <c r="AE570" s="307"/>
      <c r="AF570" s="307"/>
      <c r="AG570" s="307"/>
      <c r="AH570" s="307"/>
    </row>
    <row r="571" spans="1:34" ht="17.399999999999999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  <c r="M571" s="307"/>
      <c r="N571" s="307"/>
      <c r="O571" s="307"/>
      <c r="P571" s="307"/>
      <c r="Q571" s="307"/>
      <c r="R571" s="307"/>
      <c r="S571" s="307"/>
      <c r="T571" s="307"/>
      <c r="U571" s="307"/>
      <c r="V571" s="307"/>
      <c r="W571" s="307"/>
      <c r="X571" s="307"/>
      <c r="Y571" s="307"/>
      <c r="Z571" s="307"/>
      <c r="AA571" s="307"/>
      <c r="AB571" s="307"/>
      <c r="AC571" s="307"/>
      <c r="AD571" s="307"/>
      <c r="AE571" s="307"/>
      <c r="AF571" s="307"/>
      <c r="AG571" s="307"/>
      <c r="AH571" s="307"/>
    </row>
    <row r="572" spans="1:34" ht="17.399999999999999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  <c r="M572" s="307"/>
      <c r="N572" s="307"/>
      <c r="O572" s="307"/>
      <c r="P572" s="307"/>
      <c r="Q572" s="307"/>
      <c r="R572" s="307"/>
      <c r="S572" s="307"/>
      <c r="T572" s="307"/>
      <c r="U572" s="307"/>
      <c r="V572" s="307"/>
      <c r="W572" s="307"/>
      <c r="X572" s="307"/>
      <c r="Y572" s="307"/>
      <c r="Z572" s="307"/>
      <c r="AA572" s="307"/>
      <c r="AB572" s="307"/>
      <c r="AC572" s="307"/>
      <c r="AD572" s="307"/>
      <c r="AE572" s="307"/>
      <c r="AF572" s="307"/>
      <c r="AG572" s="307"/>
      <c r="AH572" s="307"/>
    </row>
    <row r="573" spans="1:34" ht="17.399999999999999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  <c r="M573" s="307"/>
      <c r="N573" s="307"/>
      <c r="O573" s="307"/>
      <c r="P573" s="307"/>
      <c r="Q573" s="307"/>
      <c r="R573" s="307"/>
      <c r="S573" s="307"/>
      <c r="T573" s="307"/>
      <c r="U573" s="307"/>
      <c r="V573" s="307"/>
      <c r="W573" s="307"/>
      <c r="X573" s="307"/>
      <c r="Y573" s="307"/>
      <c r="Z573" s="307"/>
      <c r="AA573" s="307"/>
      <c r="AB573" s="307"/>
      <c r="AC573" s="307"/>
      <c r="AD573" s="307"/>
      <c r="AE573" s="307"/>
      <c r="AF573" s="307"/>
      <c r="AG573" s="307"/>
      <c r="AH573" s="307"/>
    </row>
    <row r="574" spans="1:34" ht="17.399999999999999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  <c r="M574" s="307"/>
      <c r="N574" s="307"/>
      <c r="O574" s="307"/>
      <c r="P574" s="307"/>
      <c r="Q574" s="307"/>
      <c r="R574" s="307"/>
      <c r="S574" s="307"/>
      <c r="T574" s="307"/>
      <c r="U574" s="307"/>
      <c r="V574" s="307"/>
      <c r="W574" s="307"/>
      <c r="X574" s="307"/>
      <c r="Y574" s="307"/>
      <c r="Z574" s="307"/>
      <c r="AA574" s="307"/>
      <c r="AB574" s="307"/>
      <c r="AC574" s="307"/>
      <c r="AD574" s="307"/>
      <c r="AE574" s="307"/>
      <c r="AF574" s="307"/>
      <c r="AG574" s="307"/>
      <c r="AH574" s="307"/>
    </row>
    <row r="575" spans="1:34" ht="17.399999999999999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  <c r="M575" s="307"/>
      <c r="N575" s="307"/>
      <c r="O575" s="307"/>
      <c r="P575" s="307"/>
      <c r="Q575" s="307"/>
      <c r="R575" s="307"/>
      <c r="S575" s="307"/>
      <c r="T575" s="307"/>
      <c r="U575" s="307"/>
      <c r="V575" s="307"/>
      <c r="W575" s="307"/>
      <c r="X575" s="307"/>
      <c r="Y575" s="307"/>
      <c r="Z575" s="307"/>
      <c r="AA575" s="307"/>
      <c r="AB575" s="307"/>
      <c r="AC575" s="307"/>
      <c r="AD575" s="307"/>
      <c r="AE575" s="307"/>
      <c r="AF575" s="307"/>
      <c r="AG575" s="307"/>
      <c r="AH575" s="307"/>
    </row>
    <row r="576" spans="1:34" ht="17.399999999999999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  <c r="M576" s="307"/>
      <c r="N576" s="307"/>
      <c r="O576" s="307"/>
      <c r="P576" s="307"/>
      <c r="Q576" s="307"/>
      <c r="R576" s="307"/>
      <c r="S576" s="307"/>
      <c r="T576" s="307"/>
      <c r="U576" s="307"/>
      <c r="V576" s="307"/>
      <c r="W576" s="307"/>
      <c r="X576" s="307"/>
      <c r="Y576" s="307"/>
      <c r="Z576" s="307"/>
      <c r="AA576" s="307"/>
      <c r="AB576" s="307"/>
      <c r="AC576" s="307"/>
      <c r="AD576" s="307"/>
      <c r="AE576" s="307"/>
      <c r="AF576" s="307"/>
      <c r="AG576" s="307"/>
      <c r="AH576" s="307"/>
    </row>
    <row r="577" spans="1:34" ht="17.399999999999999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  <c r="M577" s="307"/>
      <c r="N577" s="307"/>
      <c r="O577" s="307"/>
      <c r="P577" s="307"/>
      <c r="Q577" s="307"/>
      <c r="R577" s="307"/>
      <c r="S577" s="307"/>
      <c r="T577" s="307"/>
      <c r="U577" s="307"/>
      <c r="V577" s="307"/>
      <c r="W577" s="307"/>
      <c r="X577" s="307"/>
      <c r="Y577" s="307"/>
      <c r="Z577" s="307"/>
      <c r="AA577" s="307"/>
      <c r="AB577" s="307"/>
      <c r="AC577" s="307"/>
      <c r="AD577" s="307"/>
      <c r="AE577" s="307"/>
      <c r="AF577" s="307"/>
      <c r="AG577" s="307"/>
      <c r="AH577" s="307"/>
    </row>
    <row r="578" spans="1:34" ht="17.399999999999999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  <c r="M578" s="307"/>
      <c r="N578" s="307"/>
      <c r="O578" s="307"/>
      <c r="P578" s="307"/>
      <c r="Q578" s="307"/>
      <c r="R578" s="307"/>
      <c r="S578" s="307"/>
      <c r="T578" s="307"/>
      <c r="U578" s="307"/>
      <c r="V578" s="307"/>
      <c r="W578" s="307"/>
      <c r="X578" s="307"/>
      <c r="Y578" s="307"/>
      <c r="Z578" s="307"/>
      <c r="AA578" s="307"/>
      <c r="AB578" s="307"/>
      <c r="AC578" s="307"/>
      <c r="AD578" s="307"/>
      <c r="AE578" s="307"/>
      <c r="AF578" s="307"/>
      <c r="AG578" s="307"/>
      <c r="AH578" s="307"/>
    </row>
    <row r="579" spans="1:34" ht="17.399999999999999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  <c r="M579" s="307"/>
      <c r="N579" s="307"/>
      <c r="O579" s="307"/>
      <c r="P579" s="307"/>
      <c r="Q579" s="307"/>
      <c r="R579" s="307"/>
      <c r="S579" s="307"/>
      <c r="T579" s="307"/>
      <c r="U579" s="307"/>
      <c r="V579" s="307"/>
      <c r="W579" s="307"/>
      <c r="X579" s="307"/>
      <c r="Y579" s="307"/>
      <c r="Z579" s="307"/>
      <c r="AA579" s="307"/>
      <c r="AB579" s="307"/>
      <c r="AC579" s="307"/>
      <c r="AD579" s="307"/>
      <c r="AE579" s="307"/>
      <c r="AF579" s="307"/>
      <c r="AG579" s="307"/>
      <c r="AH579" s="307"/>
    </row>
    <row r="580" spans="1:34" ht="17.399999999999999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  <c r="M580" s="307"/>
      <c r="N580" s="307"/>
      <c r="O580" s="307"/>
      <c r="P580" s="307"/>
      <c r="Q580" s="307"/>
      <c r="R580" s="307"/>
      <c r="S580" s="307"/>
      <c r="T580" s="307"/>
      <c r="U580" s="307"/>
      <c r="V580" s="307"/>
      <c r="W580" s="307"/>
      <c r="X580" s="307"/>
      <c r="Y580" s="307"/>
      <c r="Z580" s="307"/>
      <c r="AA580" s="307"/>
      <c r="AB580" s="307"/>
      <c r="AC580" s="307"/>
      <c r="AD580" s="307"/>
      <c r="AE580" s="307"/>
      <c r="AF580" s="307"/>
      <c r="AG580" s="307"/>
      <c r="AH580" s="307"/>
    </row>
    <row r="581" spans="1:34" ht="17.399999999999999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  <c r="M581" s="307"/>
      <c r="N581" s="307"/>
      <c r="O581" s="307"/>
      <c r="P581" s="307"/>
      <c r="Q581" s="307"/>
      <c r="R581" s="307"/>
      <c r="S581" s="307"/>
      <c r="T581" s="307"/>
      <c r="U581" s="307"/>
      <c r="V581" s="307"/>
      <c r="W581" s="307"/>
      <c r="X581" s="307"/>
      <c r="Y581" s="307"/>
      <c r="Z581" s="307"/>
      <c r="AA581" s="307"/>
      <c r="AB581" s="307"/>
      <c r="AC581" s="307"/>
      <c r="AD581" s="307"/>
      <c r="AE581" s="307"/>
      <c r="AF581" s="307"/>
      <c r="AG581" s="307"/>
      <c r="AH581" s="307"/>
    </row>
    <row r="582" spans="1:34" ht="17.399999999999999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  <c r="M582" s="307"/>
      <c r="N582" s="307"/>
      <c r="O582" s="307"/>
      <c r="P582" s="307"/>
      <c r="Q582" s="307"/>
      <c r="R582" s="307"/>
      <c r="S582" s="307"/>
      <c r="T582" s="307"/>
      <c r="U582" s="307"/>
      <c r="V582" s="307"/>
      <c r="W582" s="307"/>
      <c r="X582" s="307"/>
      <c r="Y582" s="307"/>
      <c r="Z582" s="307"/>
      <c r="AA582" s="307"/>
      <c r="AB582" s="307"/>
      <c r="AC582" s="307"/>
      <c r="AD582" s="307"/>
      <c r="AE582" s="307"/>
      <c r="AF582" s="307"/>
      <c r="AG582" s="307"/>
      <c r="AH582" s="307"/>
    </row>
    <row r="583" spans="1:34" ht="17.399999999999999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  <c r="M583" s="307"/>
      <c r="N583" s="307"/>
      <c r="O583" s="307"/>
      <c r="P583" s="307"/>
      <c r="Q583" s="307"/>
      <c r="R583" s="307"/>
      <c r="S583" s="307"/>
      <c r="T583" s="307"/>
      <c r="U583" s="307"/>
      <c r="V583" s="307"/>
      <c r="W583" s="307"/>
      <c r="X583" s="307"/>
      <c r="Y583" s="307"/>
      <c r="Z583" s="307"/>
      <c r="AA583" s="307"/>
      <c r="AB583" s="307"/>
      <c r="AC583" s="307"/>
      <c r="AD583" s="307"/>
      <c r="AE583" s="307"/>
      <c r="AF583" s="307"/>
      <c r="AG583" s="307"/>
      <c r="AH583" s="307"/>
    </row>
    <row r="584" spans="1:34" ht="17.399999999999999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  <c r="M584" s="307"/>
      <c r="N584" s="307"/>
      <c r="O584" s="307"/>
      <c r="P584" s="307"/>
      <c r="Q584" s="307"/>
      <c r="R584" s="307"/>
      <c r="S584" s="307"/>
      <c r="T584" s="307"/>
      <c r="U584" s="307"/>
      <c r="V584" s="307"/>
      <c r="W584" s="307"/>
      <c r="X584" s="307"/>
      <c r="Y584" s="307"/>
      <c r="Z584" s="307"/>
      <c r="AA584" s="307"/>
      <c r="AB584" s="307"/>
      <c r="AC584" s="307"/>
      <c r="AD584" s="307"/>
      <c r="AE584" s="307"/>
      <c r="AF584" s="307"/>
      <c r="AG584" s="307"/>
      <c r="AH584" s="307"/>
    </row>
    <row r="585" spans="1:34" ht="17.399999999999999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  <c r="M585" s="307"/>
      <c r="N585" s="307"/>
      <c r="O585" s="307"/>
      <c r="P585" s="307"/>
      <c r="Q585" s="307"/>
      <c r="R585" s="307"/>
      <c r="S585" s="307"/>
      <c r="T585" s="307"/>
      <c r="U585" s="307"/>
      <c r="V585" s="307"/>
      <c r="W585" s="307"/>
      <c r="X585" s="307"/>
      <c r="Y585" s="307"/>
      <c r="Z585" s="307"/>
      <c r="AA585" s="307"/>
      <c r="AB585" s="307"/>
      <c r="AC585" s="307"/>
      <c r="AD585" s="307"/>
      <c r="AE585" s="307"/>
      <c r="AF585" s="307"/>
      <c r="AG585" s="307"/>
      <c r="AH585" s="307"/>
    </row>
    <row r="586" spans="1:34" ht="17.399999999999999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  <c r="M586" s="307"/>
      <c r="N586" s="307"/>
      <c r="O586" s="307"/>
      <c r="P586" s="307"/>
      <c r="Q586" s="307"/>
      <c r="R586" s="307"/>
      <c r="S586" s="307"/>
      <c r="T586" s="307"/>
      <c r="U586" s="307"/>
      <c r="V586" s="307"/>
      <c r="W586" s="307"/>
      <c r="X586" s="307"/>
      <c r="Y586" s="307"/>
      <c r="Z586" s="307"/>
      <c r="AA586" s="307"/>
      <c r="AB586" s="307"/>
      <c r="AC586" s="307"/>
      <c r="AD586" s="307"/>
      <c r="AE586" s="307"/>
      <c r="AF586" s="307"/>
      <c r="AG586" s="307"/>
      <c r="AH586" s="307"/>
    </row>
    <row r="587" spans="1:34" ht="17.399999999999999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  <c r="M587" s="307"/>
      <c r="N587" s="307"/>
      <c r="O587" s="307"/>
      <c r="P587" s="307"/>
      <c r="Q587" s="307"/>
      <c r="R587" s="307"/>
      <c r="S587" s="307"/>
      <c r="T587" s="307"/>
      <c r="U587" s="307"/>
      <c r="V587" s="307"/>
      <c r="W587" s="307"/>
      <c r="X587" s="307"/>
      <c r="Y587" s="307"/>
      <c r="Z587" s="307"/>
      <c r="AA587" s="307"/>
      <c r="AB587" s="307"/>
      <c r="AC587" s="307"/>
      <c r="AD587" s="307"/>
      <c r="AE587" s="307"/>
      <c r="AF587" s="307"/>
      <c r="AG587" s="307"/>
      <c r="AH587" s="307"/>
    </row>
    <row r="588" spans="1:34" ht="17.399999999999999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  <c r="M588" s="307"/>
      <c r="N588" s="307"/>
      <c r="O588" s="307"/>
      <c r="P588" s="307"/>
      <c r="Q588" s="307"/>
      <c r="R588" s="307"/>
      <c r="S588" s="307"/>
      <c r="T588" s="307"/>
      <c r="U588" s="307"/>
      <c r="V588" s="307"/>
      <c r="W588" s="307"/>
      <c r="X588" s="307"/>
      <c r="Y588" s="307"/>
      <c r="Z588" s="307"/>
      <c r="AA588" s="307"/>
      <c r="AB588" s="307"/>
      <c r="AC588" s="307"/>
      <c r="AD588" s="307"/>
      <c r="AE588" s="307"/>
      <c r="AF588" s="307"/>
      <c r="AG588" s="307"/>
      <c r="AH588" s="307"/>
    </row>
    <row r="589" spans="1:34" ht="17.399999999999999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  <c r="M589" s="307"/>
      <c r="N589" s="307"/>
      <c r="O589" s="307"/>
      <c r="P589" s="307"/>
      <c r="Q589" s="307"/>
      <c r="R589" s="307"/>
      <c r="S589" s="307"/>
      <c r="T589" s="307"/>
      <c r="U589" s="307"/>
      <c r="V589" s="307"/>
      <c r="W589" s="307"/>
      <c r="X589" s="307"/>
      <c r="Y589" s="307"/>
      <c r="Z589" s="307"/>
      <c r="AA589" s="307"/>
      <c r="AB589" s="307"/>
      <c r="AC589" s="307"/>
      <c r="AD589" s="307"/>
      <c r="AE589" s="307"/>
      <c r="AF589" s="307"/>
      <c r="AG589" s="307"/>
      <c r="AH589" s="307"/>
    </row>
    <row r="590" spans="1:34" ht="17.399999999999999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  <c r="M590" s="307"/>
      <c r="N590" s="307"/>
      <c r="O590" s="307"/>
      <c r="P590" s="307"/>
      <c r="Q590" s="307"/>
      <c r="R590" s="307"/>
      <c r="S590" s="307"/>
      <c r="T590" s="307"/>
      <c r="U590" s="307"/>
      <c r="V590" s="307"/>
      <c r="W590" s="307"/>
      <c r="X590" s="307"/>
      <c r="Y590" s="307"/>
      <c r="Z590" s="307"/>
      <c r="AA590" s="307"/>
      <c r="AB590" s="307"/>
      <c r="AC590" s="307"/>
      <c r="AD590" s="307"/>
      <c r="AE590" s="307"/>
      <c r="AF590" s="307"/>
      <c r="AG590" s="307"/>
      <c r="AH590" s="307"/>
    </row>
    <row r="591" spans="1:34" ht="17.399999999999999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  <c r="M591" s="307"/>
      <c r="N591" s="307"/>
      <c r="O591" s="307"/>
      <c r="P591" s="307"/>
      <c r="Q591" s="307"/>
      <c r="R591" s="307"/>
      <c r="S591" s="307"/>
      <c r="T591" s="307"/>
      <c r="U591" s="307"/>
      <c r="V591" s="307"/>
      <c r="W591" s="307"/>
      <c r="X591" s="307"/>
      <c r="Y591" s="307"/>
      <c r="Z591" s="307"/>
      <c r="AA591" s="307"/>
      <c r="AB591" s="307"/>
      <c r="AC591" s="307"/>
      <c r="AD591" s="307"/>
      <c r="AE591" s="307"/>
      <c r="AF591" s="307"/>
      <c r="AG591" s="307"/>
      <c r="AH591" s="307"/>
    </row>
    <row r="592" spans="1:34" ht="17.399999999999999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  <c r="M592" s="307"/>
      <c r="N592" s="307"/>
      <c r="O592" s="307"/>
      <c r="P592" s="307"/>
      <c r="Q592" s="307"/>
      <c r="R592" s="307"/>
      <c r="S592" s="307"/>
      <c r="T592" s="307"/>
      <c r="U592" s="307"/>
      <c r="V592" s="307"/>
      <c r="W592" s="307"/>
      <c r="X592" s="307"/>
      <c r="Y592" s="307"/>
      <c r="Z592" s="307"/>
      <c r="AA592" s="307"/>
      <c r="AB592" s="307"/>
      <c r="AC592" s="307"/>
      <c r="AD592" s="307"/>
      <c r="AE592" s="307"/>
      <c r="AF592" s="307"/>
      <c r="AG592" s="307"/>
      <c r="AH592" s="307"/>
    </row>
    <row r="593" spans="1:34" ht="17.399999999999999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  <c r="M593" s="307"/>
      <c r="N593" s="307"/>
      <c r="O593" s="307"/>
      <c r="P593" s="307"/>
      <c r="Q593" s="307"/>
      <c r="R593" s="307"/>
      <c r="S593" s="307"/>
      <c r="T593" s="307"/>
      <c r="U593" s="307"/>
      <c r="V593" s="307"/>
      <c r="W593" s="307"/>
      <c r="X593" s="307"/>
      <c r="Y593" s="307"/>
      <c r="Z593" s="307"/>
      <c r="AA593" s="307"/>
      <c r="AB593" s="307"/>
      <c r="AC593" s="307"/>
      <c r="AD593" s="307"/>
      <c r="AE593" s="307"/>
      <c r="AF593" s="307"/>
      <c r="AG593" s="307"/>
      <c r="AH593" s="307"/>
    </row>
    <row r="594" spans="1:34" ht="17.399999999999999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  <c r="M594" s="307"/>
      <c r="N594" s="307"/>
      <c r="O594" s="307"/>
      <c r="P594" s="307"/>
      <c r="Q594" s="307"/>
      <c r="R594" s="307"/>
      <c r="S594" s="307"/>
      <c r="T594" s="307"/>
      <c r="U594" s="307"/>
      <c r="V594" s="307"/>
      <c r="W594" s="307"/>
      <c r="X594" s="307"/>
      <c r="Y594" s="307"/>
      <c r="Z594" s="307"/>
      <c r="AA594" s="307"/>
      <c r="AB594" s="307"/>
      <c r="AC594" s="307"/>
      <c r="AD594" s="307"/>
      <c r="AE594" s="307"/>
      <c r="AF594" s="307"/>
      <c r="AG594" s="307"/>
      <c r="AH594" s="307"/>
    </row>
    <row r="595" spans="1:34" ht="17.399999999999999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  <c r="M595" s="307"/>
      <c r="N595" s="307"/>
      <c r="O595" s="307"/>
      <c r="P595" s="307"/>
      <c r="Q595" s="307"/>
      <c r="R595" s="307"/>
      <c r="S595" s="307"/>
      <c r="T595" s="307"/>
      <c r="U595" s="307"/>
      <c r="V595" s="307"/>
      <c r="W595" s="307"/>
      <c r="X595" s="307"/>
      <c r="Y595" s="307"/>
      <c r="Z595" s="307"/>
      <c r="AA595" s="307"/>
      <c r="AB595" s="307"/>
      <c r="AC595" s="307"/>
      <c r="AD595" s="307"/>
      <c r="AE595" s="307"/>
      <c r="AF595" s="307"/>
      <c r="AG595" s="307"/>
      <c r="AH595" s="307"/>
    </row>
    <row r="596" spans="1:34" ht="17.399999999999999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  <c r="M596" s="307"/>
      <c r="N596" s="307"/>
      <c r="O596" s="307"/>
      <c r="P596" s="307"/>
      <c r="Q596" s="307"/>
      <c r="R596" s="307"/>
      <c r="S596" s="307"/>
      <c r="T596" s="307"/>
      <c r="U596" s="307"/>
      <c r="V596" s="307"/>
      <c r="W596" s="307"/>
      <c r="X596" s="307"/>
      <c r="Y596" s="307"/>
      <c r="Z596" s="307"/>
      <c r="AA596" s="307"/>
      <c r="AB596" s="307"/>
      <c r="AC596" s="307"/>
      <c r="AD596" s="307"/>
      <c r="AE596" s="307"/>
      <c r="AF596" s="307"/>
      <c r="AG596" s="307"/>
      <c r="AH596" s="307"/>
    </row>
    <row r="597" spans="1:34" ht="17.399999999999999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  <c r="M597" s="307"/>
      <c r="N597" s="307"/>
      <c r="O597" s="307"/>
      <c r="P597" s="307"/>
      <c r="Q597" s="307"/>
      <c r="R597" s="307"/>
      <c r="S597" s="307"/>
      <c r="T597" s="307"/>
      <c r="U597" s="307"/>
      <c r="V597" s="307"/>
      <c r="W597" s="307"/>
      <c r="X597" s="307"/>
      <c r="Y597" s="307"/>
      <c r="Z597" s="307"/>
      <c r="AA597" s="307"/>
      <c r="AB597" s="307"/>
      <c r="AC597" s="307"/>
      <c r="AD597" s="307"/>
      <c r="AE597" s="307"/>
      <c r="AF597" s="307"/>
      <c r="AG597" s="307"/>
      <c r="AH597" s="307"/>
    </row>
    <row r="598" spans="1:34" ht="17.399999999999999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  <c r="M598" s="307"/>
      <c r="N598" s="307"/>
      <c r="O598" s="307"/>
      <c r="P598" s="307"/>
      <c r="Q598" s="307"/>
      <c r="R598" s="307"/>
      <c r="S598" s="307"/>
      <c r="T598" s="307"/>
      <c r="U598" s="307"/>
      <c r="V598" s="307"/>
      <c r="W598" s="307"/>
      <c r="X598" s="307"/>
      <c r="Y598" s="307"/>
      <c r="Z598" s="307"/>
      <c r="AA598" s="307"/>
      <c r="AB598" s="307"/>
      <c r="AC598" s="307"/>
      <c r="AD598" s="307"/>
      <c r="AE598" s="307"/>
      <c r="AF598" s="307"/>
      <c r="AG598" s="307"/>
      <c r="AH598" s="307"/>
    </row>
    <row r="599" spans="1:34" ht="17.399999999999999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  <c r="M599" s="307"/>
      <c r="N599" s="307"/>
      <c r="O599" s="307"/>
      <c r="P599" s="307"/>
      <c r="Q599" s="307"/>
      <c r="R599" s="307"/>
      <c r="S599" s="307"/>
      <c r="T599" s="307"/>
      <c r="U599" s="307"/>
      <c r="V599" s="307"/>
      <c r="W599" s="307"/>
      <c r="X599" s="307"/>
      <c r="Y599" s="307"/>
      <c r="Z599" s="307"/>
      <c r="AA599" s="307"/>
      <c r="AB599" s="307"/>
      <c r="AC599" s="307"/>
      <c r="AD599" s="307"/>
      <c r="AE599" s="307"/>
      <c r="AF599" s="307"/>
      <c r="AG599" s="307"/>
      <c r="AH599" s="307"/>
    </row>
    <row r="600" spans="1:34" ht="17.399999999999999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  <c r="M600" s="307"/>
      <c r="N600" s="307"/>
      <c r="O600" s="307"/>
      <c r="P600" s="307"/>
      <c r="Q600" s="307"/>
      <c r="R600" s="307"/>
      <c r="S600" s="307"/>
      <c r="T600" s="307"/>
      <c r="U600" s="307"/>
      <c r="V600" s="307"/>
      <c r="W600" s="307"/>
      <c r="X600" s="307"/>
      <c r="Y600" s="307"/>
      <c r="Z600" s="307"/>
      <c r="AA600" s="307"/>
      <c r="AB600" s="307"/>
      <c r="AC600" s="307"/>
      <c r="AD600" s="307"/>
      <c r="AE600" s="307"/>
      <c r="AF600" s="307"/>
      <c r="AG600" s="307"/>
      <c r="AH600" s="307"/>
    </row>
    <row r="601" spans="1:34" ht="17.399999999999999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  <c r="M601" s="307"/>
      <c r="N601" s="307"/>
      <c r="O601" s="307"/>
      <c r="P601" s="307"/>
      <c r="Q601" s="307"/>
      <c r="R601" s="307"/>
      <c r="S601" s="307"/>
      <c r="T601" s="307"/>
      <c r="U601" s="307"/>
      <c r="V601" s="307"/>
      <c r="W601" s="307"/>
      <c r="X601" s="307"/>
      <c r="Y601" s="307"/>
      <c r="Z601" s="307"/>
      <c r="AA601" s="307"/>
      <c r="AB601" s="307"/>
      <c r="AC601" s="307"/>
      <c r="AD601" s="307"/>
      <c r="AE601" s="307"/>
      <c r="AF601" s="307"/>
      <c r="AG601" s="307"/>
      <c r="AH601" s="307"/>
    </row>
    <row r="602" spans="1:34" ht="17.399999999999999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  <c r="M602" s="307"/>
      <c r="N602" s="307"/>
      <c r="O602" s="307"/>
      <c r="P602" s="307"/>
      <c r="Q602" s="307"/>
      <c r="R602" s="307"/>
      <c r="S602" s="307"/>
      <c r="T602" s="307"/>
      <c r="U602" s="307"/>
      <c r="V602" s="307"/>
      <c r="W602" s="307"/>
      <c r="X602" s="307"/>
      <c r="Y602" s="307"/>
      <c r="Z602" s="307"/>
      <c r="AA602" s="307"/>
      <c r="AB602" s="307"/>
      <c r="AC602" s="307"/>
      <c r="AD602" s="307"/>
      <c r="AE602" s="307"/>
      <c r="AF602" s="307"/>
      <c r="AG602" s="307"/>
      <c r="AH602" s="307"/>
    </row>
    <row r="603" spans="1:34" ht="17.399999999999999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  <c r="M603" s="307"/>
      <c r="N603" s="307"/>
      <c r="O603" s="307"/>
      <c r="P603" s="307"/>
      <c r="Q603" s="307"/>
      <c r="R603" s="307"/>
      <c r="S603" s="307"/>
      <c r="T603" s="307"/>
      <c r="U603" s="307"/>
      <c r="V603" s="307"/>
      <c r="W603" s="307"/>
      <c r="X603" s="307"/>
      <c r="Y603" s="307"/>
      <c r="Z603" s="307"/>
      <c r="AA603" s="307"/>
      <c r="AB603" s="307"/>
      <c r="AC603" s="307"/>
      <c r="AD603" s="307"/>
      <c r="AE603" s="307"/>
      <c r="AF603" s="307"/>
      <c r="AG603" s="307"/>
      <c r="AH603" s="307"/>
    </row>
    <row r="604" spans="1:34" ht="17.399999999999999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  <c r="M604" s="307"/>
      <c r="N604" s="307"/>
      <c r="O604" s="307"/>
      <c r="P604" s="307"/>
      <c r="Q604" s="307"/>
      <c r="R604" s="307"/>
      <c r="S604" s="307"/>
      <c r="T604" s="307"/>
      <c r="U604" s="307"/>
      <c r="V604" s="307"/>
      <c r="W604" s="307"/>
      <c r="X604" s="307"/>
      <c r="Y604" s="307"/>
      <c r="Z604" s="307"/>
      <c r="AA604" s="307"/>
      <c r="AB604" s="307"/>
      <c r="AC604" s="307"/>
      <c r="AD604" s="307"/>
      <c r="AE604" s="307"/>
      <c r="AF604" s="307"/>
      <c r="AG604" s="307"/>
      <c r="AH604" s="307"/>
    </row>
    <row r="605" spans="1:34" ht="17.399999999999999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  <c r="M605" s="307"/>
      <c r="N605" s="307"/>
      <c r="O605" s="307"/>
      <c r="P605" s="307"/>
      <c r="Q605" s="307"/>
      <c r="R605" s="307"/>
      <c r="S605" s="307"/>
      <c r="T605" s="307"/>
      <c r="U605" s="307"/>
      <c r="V605" s="307"/>
      <c r="W605" s="307"/>
      <c r="X605" s="307"/>
      <c r="Y605" s="307"/>
      <c r="Z605" s="307"/>
      <c r="AA605" s="307"/>
      <c r="AB605" s="307"/>
      <c r="AC605" s="307"/>
      <c r="AD605" s="307"/>
      <c r="AE605" s="307"/>
      <c r="AF605" s="307"/>
      <c r="AG605" s="307"/>
      <c r="AH605" s="307"/>
    </row>
    <row r="606" spans="1:34" ht="17.399999999999999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  <c r="M606" s="307"/>
      <c r="N606" s="307"/>
      <c r="O606" s="307"/>
      <c r="P606" s="307"/>
      <c r="Q606" s="307"/>
      <c r="R606" s="307"/>
      <c r="S606" s="307"/>
      <c r="T606" s="307"/>
      <c r="U606" s="307"/>
      <c r="V606" s="307"/>
      <c r="W606" s="307"/>
      <c r="X606" s="307"/>
      <c r="Y606" s="307"/>
      <c r="Z606" s="307"/>
      <c r="AA606" s="307"/>
      <c r="AB606" s="307"/>
      <c r="AC606" s="307"/>
      <c r="AD606" s="307"/>
      <c r="AE606" s="307"/>
      <c r="AF606" s="307"/>
      <c r="AG606" s="307"/>
      <c r="AH606" s="307"/>
    </row>
    <row r="607" spans="1:34" ht="17.399999999999999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  <c r="M607" s="307"/>
      <c r="N607" s="307"/>
      <c r="O607" s="307"/>
      <c r="P607" s="307"/>
      <c r="Q607" s="307"/>
      <c r="R607" s="307"/>
      <c r="S607" s="307"/>
      <c r="T607" s="307"/>
      <c r="U607" s="307"/>
      <c r="V607" s="307"/>
      <c r="W607" s="307"/>
      <c r="X607" s="307"/>
      <c r="Y607" s="307"/>
      <c r="Z607" s="307"/>
      <c r="AA607" s="307"/>
      <c r="AB607" s="307"/>
      <c r="AC607" s="307"/>
      <c r="AD607" s="307"/>
      <c r="AE607" s="307"/>
      <c r="AF607" s="307"/>
      <c r="AG607" s="307"/>
      <c r="AH607" s="307"/>
    </row>
    <row r="608" spans="1:34" ht="17.399999999999999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  <c r="M608" s="307"/>
      <c r="N608" s="307"/>
      <c r="O608" s="307"/>
      <c r="P608" s="307"/>
      <c r="Q608" s="307"/>
      <c r="R608" s="307"/>
      <c r="S608" s="307"/>
      <c r="T608" s="307"/>
      <c r="U608" s="307"/>
      <c r="V608" s="307"/>
      <c r="W608" s="307"/>
      <c r="X608" s="307"/>
      <c r="Y608" s="307"/>
      <c r="Z608" s="307"/>
      <c r="AA608" s="307"/>
      <c r="AB608" s="307"/>
      <c r="AC608" s="307"/>
      <c r="AD608" s="307"/>
      <c r="AE608" s="307"/>
      <c r="AF608" s="307"/>
      <c r="AG608" s="307"/>
      <c r="AH608" s="307"/>
    </row>
    <row r="609" spans="1:34" ht="17.399999999999999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  <c r="M609" s="307"/>
      <c r="N609" s="307"/>
      <c r="O609" s="307"/>
      <c r="P609" s="307"/>
      <c r="Q609" s="307"/>
      <c r="R609" s="307"/>
      <c r="S609" s="307"/>
      <c r="T609" s="307"/>
      <c r="U609" s="307"/>
      <c r="V609" s="307"/>
      <c r="W609" s="307"/>
      <c r="X609" s="307"/>
      <c r="Y609" s="307"/>
      <c r="Z609" s="307"/>
      <c r="AA609" s="307"/>
      <c r="AB609" s="307"/>
      <c r="AC609" s="307"/>
      <c r="AD609" s="307"/>
      <c r="AE609" s="307"/>
      <c r="AF609" s="307"/>
      <c r="AG609" s="307"/>
      <c r="AH609" s="307"/>
    </row>
    <row r="610" spans="1:34" ht="17.399999999999999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  <c r="M610" s="307"/>
      <c r="N610" s="307"/>
      <c r="O610" s="307"/>
      <c r="P610" s="307"/>
      <c r="Q610" s="307"/>
      <c r="R610" s="307"/>
      <c r="S610" s="307"/>
      <c r="T610" s="307"/>
      <c r="U610" s="307"/>
      <c r="V610" s="307"/>
      <c r="W610" s="307"/>
      <c r="X610" s="307"/>
      <c r="Y610" s="307"/>
      <c r="Z610" s="307"/>
      <c r="AA610" s="307"/>
      <c r="AB610" s="307"/>
      <c r="AC610" s="307"/>
      <c r="AD610" s="307"/>
      <c r="AE610" s="307"/>
      <c r="AF610" s="307"/>
      <c r="AG610" s="307"/>
      <c r="AH610" s="307"/>
    </row>
    <row r="611" spans="1:34" ht="17.399999999999999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  <c r="M611" s="307"/>
      <c r="N611" s="307"/>
      <c r="O611" s="307"/>
      <c r="P611" s="307"/>
      <c r="Q611" s="307"/>
      <c r="R611" s="307"/>
      <c r="S611" s="307"/>
      <c r="T611" s="307"/>
      <c r="U611" s="307"/>
      <c r="V611" s="307"/>
      <c r="W611" s="307"/>
      <c r="X611" s="307"/>
      <c r="Y611" s="307"/>
      <c r="Z611" s="307"/>
      <c r="AA611" s="307"/>
      <c r="AB611" s="307"/>
      <c r="AC611" s="307"/>
      <c r="AD611" s="307"/>
      <c r="AE611" s="307"/>
      <c r="AF611" s="307"/>
      <c r="AG611" s="307"/>
      <c r="AH611" s="307"/>
    </row>
    <row r="612" spans="1:34" ht="17.399999999999999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  <c r="M612" s="307"/>
      <c r="N612" s="307"/>
      <c r="O612" s="307"/>
      <c r="P612" s="307"/>
      <c r="Q612" s="307"/>
      <c r="R612" s="307"/>
      <c r="S612" s="307"/>
      <c r="T612" s="307"/>
      <c r="U612" s="307"/>
      <c r="V612" s="307"/>
      <c r="W612" s="307"/>
      <c r="X612" s="307"/>
      <c r="Y612" s="307"/>
      <c r="Z612" s="307"/>
      <c r="AA612" s="307"/>
      <c r="AB612" s="307"/>
      <c r="AC612" s="307"/>
      <c r="AD612" s="307"/>
      <c r="AE612" s="307"/>
      <c r="AF612" s="307"/>
      <c r="AG612" s="307"/>
      <c r="AH612" s="307"/>
    </row>
    <row r="613" spans="1:34" ht="17.399999999999999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  <c r="M613" s="307"/>
      <c r="N613" s="307"/>
      <c r="O613" s="307"/>
      <c r="P613" s="307"/>
      <c r="Q613" s="307"/>
      <c r="R613" s="307"/>
      <c r="S613" s="307"/>
      <c r="T613" s="307"/>
      <c r="U613" s="307"/>
      <c r="V613" s="307"/>
      <c r="W613" s="307"/>
      <c r="X613" s="307"/>
      <c r="Y613" s="307"/>
      <c r="Z613" s="307"/>
      <c r="AA613" s="307"/>
      <c r="AB613" s="307"/>
      <c r="AC613" s="307"/>
      <c r="AD613" s="307"/>
      <c r="AE613" s="307"/>
      <c r="AF613" s="307"/>
      <c r="AG613" s="307"/>
      <c r="AH613" s="307"/>
    </row>
    <row r="614" spans="1:34" ht="17.399999999999999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  <c r="M614" s="307"/>
      <c r="N614" s="307"/>
      <c r="O614" s="307"/>
      <c r="P614" s="307"/>
      <c r="Q614" s="307"/>
      <c r="R614" s="307"/>
      <c r="S614" s="307"/>
      <c r="T614" s="307"/>
      <c r="U614" s="307"/>
      <c r="V614" s="307"/>
      <c r="W614" s="307"/>
      <c r="X614" s="307"/>
      <c r="Y614" s="307"/>
      <c r="Z614" s="307"/>
      <c r="AA614" s="307"/>
      <c r="AB614" s="307"/>
      <c r="AC614" s="307"/>
      <c r="AD614" s="307"/>
      <c r="AE614" s="307"/>
      <c r="AF614" s="307"/>
      <c r="AG614" s="307"/>
      <c r="AH614" s="307"/>
    </row>
    <row r="615" spans="1:34" ht="17.399999999999999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  <c r="M615" s="307"/>
      <c r="N615" s="307"/>
      <c r="O615" s="307"/>
      <c r="P615" s="307"/>
      <c r="Q615" s="307"/>
      <c r="R615" s="307"/>
      <c r="S615" s="307"/>
      <c r="T615" s="307"/>
      <c r="U615" s="307"/>
      <c r="V615" s="307"/>
      <c r="W615" s="307"/>
      <c r="X615" s="307"/>
      <c r="Y615" s="307"/>
      <c r="Z615" s="307"/>
      <c r="AA615" s="307"/>
      <c r="AB615" s="307"/>
      <c r="AC615" s="307"/>
      <c r="AD615" s="307"/>
      <c r="AE615" s="307"/>
      <c r="AF615" s="307"/>
      <c r="AG615" s="307"/>
      <c r="AH615" s="307"/>
    </row>
    <row r="616" spans="1:34" ht="17.399999999999999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  <c r="M616" s="307"/>
      <c r="N616" s="307"/>
      <c r="O616" s="307"/>
      <c r="P616" s="307"/>
      <c r="Q616" s="307"/>
      <c r="R616" s="307"/>
      <c r="S616" s="307"/>
      <c r="T616" s="307"/>
      <c r="U616" s="307"/>
      <c r="V616" s="307"/>
      <c r="W616" s="307"/>
      <c r="X616" s="307"/>
      <c r="Y616" s="307"/>
      <c r="Z616" s="307"/>
      <c r="AA616" s="307"/>
      <c r="AB616" s="307"/>
      <c r="AC616" s="307"/>
      <c r="AD616" s="307"/>
      <c r="AE616" s="307"/>
      <c r="AF616" s="307"/>
      <c r="AG616" s="307"/>
      <c r="AH616" s="307"/>
    </row>
    <row r="617" spans="1:34" ht="17.399999999999999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  <c r="M617" s="307"/>
      <c r="N617" s="307"/>
      <c r="O617" s="307"/>
      <c r="P617" s="307"/>
      <c r="Q617" s="307"/>
      <c r="R617" s="307"/>
      <c r="S617" s="307"/>
      <c r="T617" s="307"/>
      <c r="U617" s="307"/>
      <c r="V617" s="307"/>
      <c r="W617" s="307"/>
      <c r="X617" s="307"/>
      <c r="Y617" s="307"/>
      <c r="Z617" s="307"/>
      <c r="AA617" s="307"/>
      <c r="AB617" s="307"/>
      <c r="AC617" s="307"/>
      <c r="AD617" s="307"/>
      <c r="AE617" s="307"/>
      <c r="AF617" s="307"/>
      <c r="AG617" s="307"/>
      <c r="AH617" s="307"/>
    </row>
    <row r="618" spans="1:34" ht="17.399999999999999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  <c r="M618" s="307"/>
      <c r="N618" s="307"/>
      <c r="O618" s="307"/>
      <c r="P618" s="307"/>
      <c r="Q618" s="307"/>
      <c r="R618" s="307"/>
      <c r="S618" s="307"/>
      <c r="T618" s="307"/>
      <c r="U618" s="307"/>
      <c r="V618" s="307"/>
      <c r="W618" s="307"/>
      <c r="X618" s="307"/>
      <c r="Y618" s="307"/>
      <c r="Z618" s="307"/>
      <c r="AA618" s="307"/>
      <c r="AB618" s="307"/>
      <c r="AC618" s="307"/>
      <c r="AD618" s="307"/>
      <c r="AE618" s="307"/>
      <c r="AF618" s="307"/>
      <c r="AG618" s="307"/>
      <c r="AH618" s="307"/>
    </row>
    <row r="619" spans="1:34" ht="17.399999999999999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  <c r="M619" s="307"/>
      <c r="N619" s="307"/>
      <c r="O619" s="307"/>
      <c r="P619" s="307"/>
      <c r="Q619" s="307"/>
      <c r="R619" s="307"/>
      <c r="S619" s="307"/>
      <c r="T619" s="307"/>
      <c r="U619" s="307"/>
      <c r="V619" s="307"/>
      <c r="W619" s="307"/>
      <c r="X619" s="307"/>
      <c r="Y619" s="307"/>
      <c r="Z619" s="307"/>
      <c r="AA619" s="307"/>
      <c r="AB619" s="307"/>
      <c r="AC619" s="307"/>
      <c r="AD619" s="307"/>
      <c r="AE619" s="307"/>
      <c r="AF619" s="307"/>
      <c r="AG619" s="307"/>
      <c r="AH619" s="307"/>
    </row>
    <row r="620" spans="1:34" ht="17.399999999999999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  <c r="M620" s="307"/>
      <c r="N620" s="307"/>
      <c r="O620" s="307"/>
      <c r="P620" s="307"/>
      <c r="Q620" s="307"/>
      <c r="R620" s="307"/>
      <c r="S620" s="307"/>
      <c r="T620" s="307"/>
      <c r="U620" s="307"/>
      <c r="V620" s="307"/>
      <c r="W620" s="307"/>
      <c r="X620" s="307"/>
      <c r="Y620" s="307"/>
      <c r="Z620" s="307"/>
      <c r="AA620" s="307"/>
      <c r="AB620" s="307"/>
      <c r="AC620" s="307"/>
      <c r="AD620" s="307"/>
      <c r="AE620" s="307"/>
      <c r="AF620" s="307"/>
      <c r="AG620" s="307"/>
      <c r="AH620" s="307"/>
    </row>
    <row r="621" spans="1:34" ht="17.399999999999999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  <c r="M621" s="307"/>
      <c r="N621" s="307"/>
      <c r="O621" s="307"/>
      <c r="P621" s="307"/>
      <c r="Q621" s="307"/>
      <c r="R621" s="307"/>
      <c r="S621" s="307"/>
      <c r="T621" s="307"/>
      <c r="U621" s="307"/>
      <c r="V621" s="307"/>
      <c r="W621" s="307"/>
      <c r="X621" s="307"/>
      <c r="Y621" s="307"/>
      <c r="Z621" s="307"/>
      <c r="AA621" s="307"/>
      <c r="AB621" s="307"/>
      <c r="AC621" s="307"/>
      <c r="AD621" s="307"/>
      <c r="AE621" s="307"/>
      <c r="AF621" s="307"/>
      <c r="AG621" s="307"/>
      <c r="AH621" s="307"/>
    </row>
    <row r="622" spans="1:34" ht="17.399999999999999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  <c r="M622" s="307"/>
      <c r="N622" s="307"/>
      <c r="O622" s="307"/>
      <c r="P622" s="307"/>
      <c r="Q622" s="307"/>
      <c r="R622" s="307"/>
      <c r="S622" s="307"/>
      <c r="T622" s="307"/>
      <c r="U622" s="307"/>
      <c r="V622" s="307"/>
      <c r="W622" s="307"/>
      <c r="X622" s="307"/>
      <c r="Y622" s="307"/>
      <c r="Z622" s="307"/>
      <c r="AA622" s="307"/>
      <c r="AB622" s="307"/>
      <c r="AC622" s="307"/>
      <c r="AD622" s="307"/>
      <c r="AE622" s="307"/>
      <c r="AF622" s="307"/>
      <c r="AG622" s="307"/>
      <c r="AH622" s="307"/>
    </row>
    <row r="623" spans="1:34" ht="17.399999999999999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  <c r="M623" s="307"/>
      <c r="N623" s="307"/>
      <c r="O623" s="307"/>
      <c r="P623" s="307"/>
      <c r="Q623" s="307"/>
      <c r="R623" s="307"/>
      <c r="S623" s="307"/>
      <c r="T623" s="307"/>
      <c r="U623" s="307"/>
      <c r="V623" s="307"/>
      <c r="W623" s="307"/>
      <c r="X623" s="307"/>
      <c r="Y623" s="307"/>
      <c r="Z623" s="307"/>
      <c r="AA623" s="307"/>
      <c r="AB623" s="307"/>
      <c r="AC623" s="307"/>
      <c r="AD623" s="307"/>
      <c r="AE623" s="307"/>
      <c r="AF623" s="307"/>
      <c r="AG623" s="307"/>
      <c r="AH623" s="307"/>
    </row>
    <row r="624" spans="1:34" ht="17.399999999999999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  <c r="M624" s="307"/>
      <c r="N624" s="307"/>
      <c r="O624" s="307"/>
      <c r="P624" s="307"/>
      <c r="Q624" s="307"/>
      <c r="R624" s="307"/>
      <c r="S624" s="307"/>
      <c r="T624" s="307"/>
      <c r="U624" s="307"/>
      <c r="V624" s="307"/>
      <c r="W624" s="307"/>
      <c r="X624" s="307"/>
      <c r="Y624" s="307"/>
      <c r="Z624" s="307"/>
      <c r="AA624" s="307"/>
      <c r="AB624" s="307"/>
      <c r="AC624" s="307"/>
      <c r="AD624" s="307"/>
      <c r="AE624" s="307"/>
      <c r="AF624" s="307"/>
      <c r="AG624" s="307"/>
      <c r="AH624" s="307"/>
    </row>
    <row r="625" spans="1:34" ht="17.399999999999999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  <c r="M625" s="307"/>
      <c r="N625" s="307"/>
      <c r="O625" s="307"/>
      <c r="P625" s="307"/>
      <c r="Q625" s="307"/>
      <c r="R625" s="307"/>
      <c r="S625" s="307"/>
      <c r="T625" s="307"/>
      <c r="U625" s="307"/>
      <c r="V625" s="307"/>
      <c r="W625" s="307"/>
      <c r="X625" s="307"/>
      <c r="Y625" s="307"/>
      <c r="Z625" s="307"/>
      <c r="AA625" s="307"/>
      <c r="AB625" s="307"/>
      <c r="AC625" s="307"/>
      <c r="AD625" s="307"/>
      <c r="AE625" s="307"/>
      <c r="AF625" s="307"/>
      <c r="AG625" s="307"/>
      <c r="AH625" s="307"/>
    </row>
    <row r="626" spans="1:34" ht="17.399999999999999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  <c r="M626" s="307"/>
      <c r="N626" s="307"/>
      <c r="O626" s="307"/>
      <c r="P626" s="307"/>
      <c r="Q626" s="307"/>
      <c r="R626" s="307"/>
      <c r="S626" s="307"/>
      <c r="T626" s="307"/>
      <c r="U626" s="307"/>
      <c r="V626" s="307"/>
      <c r="W626" s="307"/>
      <c r="X626" s="307"/>
      <c r="Y626" s="307"/>
      <c r="Z626" s="307"/>
      <c r="AA626" s="307"/>
      <c r="AB626" s="307"/>
      <c r="AC626" s="307"/>
      <c r="AD626" s="307"/>
      <c r="AE626" s="307"/>
      <c r="AF626" s="307"/>
      <c r="AG626" s="307"/>
      <c r="AH626" s="307"/>
    </row>
    <row r="627" spans="1:34" ht="17.399999999999999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  <c r="M627" s="307"/>
      <c r="N627" s="307"/>
      <c r="O627" s="307"/>
      <c r="P627" s="307"/>
      <c r="Q627" s="307"/>
      <c r="R627" s="307"/>
      <c r="S627" s="307"/>
      <c r="T627" s="307"/>
      <c r="U627" s="307"/>
      <c r="V627" s="307"/>
      <c r="W627" s="307"/>
      <c r="X627" s="307"/>
      <c r="Y627" s="307"/>
      <c r="Z627" s="307"/>
      <c r="AA627" s="307"/>
      <c r="AB627" s="307"/>
      <c r="AC627" s="307"/>
      <c r="AD627" s="307"/>
      <c r="AE627" s="307"/>
      <c r="AF627" s="307"/>
      <c r="AG627" s="307"/>
      <c r="AH627" s="307"/>
    </row>
    <row r="628" spans="1:34" ht="17.399999999999999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  <c r="M628" s="307"/>
      <c r="N628" s="307"/>
      <c r="O628" s="307"/>
      <c r="P628" s="307"/>
      <c r="Q628" s="307"/>
      <c r="R628" s="307"/>
      <c r="S628" s="307"/>
      <c r="T628" s="307"/>
      <c r="U628" s="307"/>
      <c r="V628" s="307"/>
      <c r="W628" s="307"/>
      <c r="X628" s="307"/>
      <c r="Y628" s="307"/>
      <c r="Z628" s="307"/>
      <c r="AA628" s="307"/>
      <c r="AB628" s="307"/>
      <c r="AC628" s="307"/>
      <c r="AD628" s="307"/>
      <c r="AE628" s="307"/>
      <c r="AF628" s="307"/>
      <c r="AG628" s="307"/>
      <c r="AH628" s="307"/>
    </row>
    <row r="629" spans="1:34" ht="17.399999999999999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  <c r="M629" s="307"/>
      <c r="N629" s="307"/>
      <c r="O629" s="307"/>
      <c r="P629" s="307"/>
      <c r="Q629" s="307"/>
      <c r="R629" s="307"/>
      <c r="S629" s="307"/>
      <c r="T629" s="307"/>
      <c r="U629" s="307"/>
      <c r="V629" s="307"/>
      <c r="W629" s="307"/>
      <c r="X629" s="307"/>
      <c r="Y629" s="307"/>
      <c r="Z629" s="307"/>
      <c r="AA629" s="307"/>
      <c r="AB629" s="307"/>
      <c r="AC629" s="307"/>
      <c r="AD629" s="307"/>
      <c r="AE629" s="307"/>
      <c r="AF629" s="307"/>
      <c r="AG629" s="307"/>
      <c r="AH629" s="307"/>
    </row>
    <row r="630" spans="1:34" ht="17.399999999999999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  <c r="M630" s="307"/>
      <c r="N630" s="307"/>
      <c r="O630" s="307"/>
      <c r="P630" s="307"/>
      <c r="Q630" s="307"/>
      <c r="R630" s="307"/>
      <c r="S630" s="307"/>
      <c r="T630" s="307"/>
      <c r="U630" s="307"/>
      <c r="V630" s="307"/>
      <c r="W630" s="307"/>
      <c r="X630" s="307"/>
      <c r="Y630" s="307"/>
      <c r="Z630" s="307"/>
      <c r="AA630" s="307"/>
      <c r="AB630" s="307"/>
      <c r="AC630" s="307"/>
      <c r="AD630" s="307"/>
      <c r="AE630" s="307"/>
      <c r="AF630" s="307"/>
      <c r="AG630" s="307"/>
      <c r="AH630" s="307"/>
    </row>
    <row r="631" spans="1:34" ht="17.399999999999999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  <c r="M631" s="307"/>
      <c r="N631" s="307"/>
      <c r="O631" s="307"/>
      <c r="P631" s="307"/>
      <c r="Q631" s="307"/>
      <c r="R631" s="307"/>
      <c r="S631" s="307"/>
      <c r="T631" s="307"/>
      <c r="U631" s="307"/>
      <c r="V631" s="307"/>
      <c r="W631" s="307"/>
      <c r="X631" s="307"/>
      <c r="Y631" s="307"/>
      <c r="Z631" s="307"/>
      <c r="AA631" s="307"/>
      <c r="AB631" s="307"/>
      <c r="AC631" s="307"/>
      <c r="AD631" s="307"/>
      <c r="AE631" s="307"/>
      <c r="AF631" s="307"/>
      <c r="AG631" s="307"/>
      <c r="AH631" s="307"/>
    </row>
    <row r="632" spans="1:34" ht="17.399999999999999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  <c r="M632" s="307"/>
      <c r="N632" s="307"/>
      <c r="O632" s="307"/>
      <c r="P632" s="307"/>
      <c r="Q632" s="307"/>
      <c r="R632" s="307"/>
      <c r="S632" s="307"/>
      <c r="T632" s="307"/>
      <c r="U632" s="307"/>
      <c r="V632" s="307"/>
      <c r="W632" s="307"/>
      <c r="X632" s="307"/>
      <c r="Y632" s="307"/>
      <c r="Z632" s="307"/>
      <c r="AA632" s="307"/>
      <c r="AB632" s="307"/>
      <c r="AC632" s="307"/>
      <c r="AD632" s="307"/>
      <c r="AE632" s="307"/>
      <c r="AF632" s="307"/>
      <c r="AG632" s="307"/>
      <c r="AH632" s="307"/>
    </row>
    <row r="633" spans="1:34" ht="17.399999999999999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  <c r="M633" s="307"/>
      <c r="N633" s="307"/>
      <c r="O633" s="307"/>
      <c r="P633" s="307"/>
      <c r="Q633" s="307"/>
      <c r="R633" s="307"/>
      <c r="S633" s="307"/>
      <c r="T633" s="307"/>
      <c r="U633" s="307"/>
      <c r="V633" s="307"/>
      <c r="W633" s="307"/>
      <c r="X633" s="307"/>
      <c r="Y633" s="307"/>
      <c r="Z633" s="307"/>
      <c r="AA633" s="307"/>
      <c r="AB633" s="307"/>
      <c r="AC633" s="307"/>
      <c r="AD633" s="307"/>
      <c r="AE633" s="307"/>
      <c r="AF633" s="307"/>
      <c r="AG633" s="307"/>
      <c r="AH633" s="307"/>
    </row>
    <row r="634" spans="1:34" ht="17.399999999999999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  <c r="M634" s="307"/>
      <c r="N634" s="307"/>
      <c r="O634" s="307"/>
      <c r="P634" s="307"/>
      <c r="Q634" s="307"/>
      <c r="R634" s="307"/>
      <c r="S634" s="307"/>
      <c r="T634" s="307"/>
      <c r="U634" s="307"/>
      <c r="V634" s="307"/>
      <c r="W634" s="307"/>
      <c r="X634" s="307"/>
      <c r="Y634" s="307"/>
      <c r="Z634" s="307"/>
      <c r="AA634" s="307"/>
      <c r="AB634" s="307"/>
      <c r="AC634" s="307"/>
      <c r="AD634" s="307"/>
      <c r="AE634" s="307"/>
      <c r="AF634" s="307"/>
      <c r="AG634" s="307"/>
      <c r="AH634" s="307"/>
    </row>
    <row r="635" spans="1:34" ht="17.399999999999999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  <c r="M635" s="307"/>
      <c r="N635" s="307"/>
      <c r="O635" s="307"/>
      <c r="P635" s="307"/>
      <c r="Q635" s="307"/>
      <c r="R635" s="307"/>
      <c r="S635" s="307"/>
      <c r="T635" s="307"/>
      <c r="U635" s="307"/>
      <c r="V635" s="307"/>
      <c r="W635" s="307"/>
      <c r="X635" s="307"/>
      <c r="Y635" s="307"/>
      <c r="Z635" s="307"/>
      <c r="AA635" s="307"/>
      <c r="AB635" s="307"/>
      <c r="AC635" s="307"/>
      <c r="AD635" s="307"/>
      <c r="AE635" s="307"/>
      <c r="AF635" s="307"/>
      <c r="AG635" s="307"/>
      <c r="AH635" s="307"/>
    </row>
    <row r="636" spans="1:34" ht="17.399999999999999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  <c r="M636" s="307"/>
      <c r="N636" s="307"/>
      <c r="O636" s="307"/>
      <c r="P636" s="307"/>
      <c r="Q636" s="307"/>
      <c r="R636" s="307"/>
      <c r="S636" s="307"/>
      <c r="T636" s="307"/>
      <c r="U636" s="307"/>
      <c r="V636" s="307"/>
      <c r="W636" s="307"/>
      <c r="X636" s="307"/>
      <c r="Y636" s="307"/>
      <c r="Z636" s="307"/>
      <c r="AA636" s="307"/>
      <c r="AB636" s="307"/>
      <c r="AC636" s="307"/>
      <c r="AD636" s="307"/>
      <c r="AE636" s="307"/>
      <c r="AF636" s="307"/>
      <c r="AG636" s="307"/>
      <c r="AH636" s="307"/>
    </row>
    <row r="637" spans="1:34" ht="17.399999999999999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  <c r="M637" s="307"/>
      <c r="N637" s="307"/>
      <c r="O637" s="307"/>
      <c r="P637" s="307"/>
      <c r="Q637" s="307"/>
      <c r="R637" s="307"/>
      <c r="S637" s="307"/>
      <c r="T637" s="307"/>
      <c r="U637" s="307"/>
      <c r="V637" s="307"/>
      <c r="W637" s="307"/>
      <c r="X637" s="307"/>
      <c r="Y637" s="307"/>
      <c r="Z637" s="307"/>
      <c r="AA637" s="307"/>
      <c r="AB637" s="307"/>
      <c r="AC637" s="307"/>
      <c r="AD637" s="307"/>
      <c r="AE637" s="307"/>
      <c r="AF637" s="307"/>
      <c r="AG637" s="307"/>
      <c r="AH637" s="307"/>
    </row>
    <row r="638" spans="1:34" ht="17.399999999999999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  <c r="M638" s="307"/>
      <c r="N638" s="307"/>
      <c r="O638" s="307"/>
      <c r="P638" s="307"/>
      <c r="Q638" s="307"/>
      <c r="R638" s="307"/>
      <c r="S638" s="307"/>
      <c r="T638" s="307"/>
      <c r="U638" s="307"/>
      <c r="V638" s="307"/>
      <c r="W638" s="307"/>
      <c r="X638" s="307"/>
      <c r="Y638" s="307"/>
      <c r="Z638" s="307"/>
      <c r="AA638" s="307"/>
      <c r="AB638" s="307"/>
      <c r="AC638" s="307"/>
      <c r="AD638" s="307"/>
      <c r="AE638" s="307"/>
      <c r="AF638" s="307"/>
      <c r="AG638" s="307"/>
      <c r="AH638" s="307"/>
    </row>
    <row r="639" spans="1:34" ht="17.399999999999999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  <c r="M639" s="307"/>
      <c r="N639" s="307"/>
      <c r="O639" s="307"/>
      <c r="P639" s="307"/>
      <c r="Q639" s="307"/>
      <c r="R639" s="307"/>
      <c r="S639" s="307"/>
      <c r="T639" s="307"/>
      <c r="U639" s="307"/>
      <c r="V639" s="307"/>
      <c r="W639" s="307"/>
      <c r="X639" s="307"/>
      <c r="Y639" s="307"/>
      <c r="Z639" s="307"/>
      <c r="AA639" s="307"/>
      <c r="AB639" s="307"/>
      <c r="AC639" s="307"/>
      <c r="AD639" s="307"/>
      <c r="AE639" s="307"/>
      <c r="AF639" s="307"/>
      <c r="AG639" s="307"/>
      <c r="AH639" s="307"/>
    </row>
    <row r="640" spans="1:34" ht="17.399999999999999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  <c r="M640" s="307"/>
      <c r="N640" s="307"/>
      <c r="O640" s="307"/>
      <c r="P640" s="307"/>
      <c r="Q640" s="307"/>
      <c r="R640" s="307"/>
      <c r="S640" s="307"/>
      <c r="T640" s="307"/>
      <c r="U640" s="307"/>
      <c r="V640" s="307"/>
      <c r="W640" s="307"/>
      <c r="X640" s="307"/>
      <c r="Y640" s="307"/>
      <c r="Z640" s="307"/>
      <c r="AA640" s="307"/>
      <c r="AB640" s="307"/>
      <c r="AC640" s="307"/>
      <c r="AD640" s="307"/>
      <c r="AE640" s="307"/>
      <c r="AF640" s="307"/>
      <c r="AG640" s="307"/>
      <c r="AH640" s="307"/>
    </row>
    <row r="641" spans="1:34" ht="17.399999999999999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  <c r="M641" s="307"/>
      <c r="N641" s="307"/>
      <c r="O641" s="307"/>
      <c r="P641" s="307"/>
      <c r="Q641" s="307"/>
      <c r="R641" s="307"/>
      <c r="S641" s="307"/>
      <c r="T641" s="307"/>
      <c r="U641" s="307"/>
      <c r="V641" s="307"/>
      <c r="W641" s="307"/>
      <c r="X641" s="307"/>
      <c r="Y641" s="307"/>
      <c r="Z641" s="307"/>
      <c r="AA641" s="307"/>
      <c r="AB641" s="307"/>
      <c r="AC641" s="307"/>
      <c r="AD641" s="307"/>
      <c r="AE641" s="307"/>
      <c r="AF641" s="307"/>
      <c r="AG641" s="307"/>
      <c r="AH641" s="307"/>
    </row>
    <row r="642" spans="1:34" ht="17.399999999999999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  <c r="M642" s="307"/>
      <c r="N642" s="307"/>
      <c r="O642" s="307"/>
      <c r="P642" s="307"/>
      <c r="Q642" s="307"/>
      <c r="R642" s="307"/>
      <c r="S642" s="307"/>
      <c r="T642" s="307"/>
      <c r="U642" s="307"/>
      <c r="V642" s="307"/>
      <c r="W642" s="307"/>
      <c r="X642" s="307"/>
      <c r="Y642" s="307"/>
      <c r="Z642" s="307"/>
      <c r="AA642" s="307"/>
      <c r="AB642" s="307"/>
      <c r="AC642" s="307"/>
      <c r="AD642" s="307"/>
      <c r="AE642" s="307"/>
      <c r="AF642" s="307"/>
      <c r="AG642" s="307"/>
      <c r="AH642" s="307"/>
    </row>
    <row r="643" spans="1:34" ht="17.399999999999999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  <c r="M643" s="307"/>
      <c r="N643" s="307"/>
      <c r="O643" s="307"/>
      <c r="P643" s="307"/>
      <c r="Q643" s="307"/>
      <c r="R643" s="307"/>
      <c r="S643" s="307"/>
      <c r="T643" s="307"/>
      <c r="U643" s="307"/>
      <c r="V643" s="307"/>
      <c r="W643" s="307"/>
      <c r="X643" s="307"/>
      <c r="Y643" s="307"/>
      <c r="Z643" s="307"/>
      <c r="AA643" s="307"/>
      <c r="AB643" s="307"/>
      <c r="AC643" s="307"/>
      <c r="AD643" s="307"/>
      <c r="AE643" s="307"/>
      <c r="AF643" s="307"/>
      <c r="AG643" s="307"/>
      <c r="AH643" s="307"/>
    </row>
    <row r="644" spans="1:34" ht="17.399999999999999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  <c r="M644" s="307"/>
      <c r="N644" s="307"/>
      <c r="O644" s="307"/>
      <c r="P644" s="307"/>
      <c r="Q644" s="307"/>
      <c r="R644" s="307"/>
      <c r="S644" s="307"/>
      <c r="T644" s="307"/>
      <c r="U644" s="307"/>
      <c r="V644" s="307"/>
      <c r="W644" s="307"/>
      <c r="X644" s="307"/>
      <c r="Y644" s="307"/>
      <c r="Z644" s="307"/>
      <c r="AA644" s="307"/>
      <c r="AB644" s="307"/>
      <c r="AC644" s="307"/>
      <c r="AD644" s="307"/>
      <c r="AE644" s="307"/>
      <c r="AF644" s="307"/>
      <c r="AG644" s="307"/>
      <c r="AH644" s="307"/>
    </row>
    <row r="645" spans="1:34" ht="17.399999999999999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  <c r="M645" s="307"/>
      <c r="N645" s="307"/>
      <c r="O645" s="307"/>
      <c r="P645" s="307"/>
      <c r="Q645" s="307"/>
      <c r="R645" s="307"/>
      <c r="S645" s="307"/>
      <c r="T645" s="307"/>
      <c r="U645" s="307"/>
      <c r="V645" s="307"/>
      <c r="W645" s="307"/>
      <c r="X645" s="307"/>
      <c r="Y645" s="307"/>
      <c r="Z645" s="307"/>
      <c r="AA645" s="307"/>
      <c r="AB645" s="307"/>
      <c r="AC645" s="307"/>
      <c r="AD645" s="307"/>
      <c r="AE645" s="307"/>
      <c r="AF645" s="307"/>
      <c r="AG645" s="307"/>
      <c r="AH645" s="307"/>
    </row>
    <row r="646" spans="1:34" ht="17.399999999999999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  <c r="M646" s="307"/>
      <c r="N646" s="307"/>
      <c r="O646" s="307"/>
      <c r="P646" s="307"/>
      <c r="Q646" s="307"/>
      <c r="R646" s="307"/>
      <c r="S646" s="307"/>
      <c r="T646" s="307"/>
      <c r="U646" s="307"/>
      <c r="V646" s="307"/>
      <c r="W646" s="307"/>
      <c r="X646" s="307"/>
      <c r="Y646" s="307"/>
      <c r="Z646" s="307"/>
      <c r="AA646" s="307"/>
      <c r="AB646" s="307"/>
      <c r="AC646" s="307"/>
      <c r="AD646" s="307"/>
      <c r="AE646" s="307"/>
      <c r="AF646" s="307"/>
      <c r="AG646" s="307"/>
      <c r="AH646" s="307"/>
    </row>
    <row r="647" spans="1:34" ht="17.399999999999999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  <c r="M647" s="307"/>
      <c r="N647" s="307"/>
      <c r="O647" s="307"/>
      <c r="P647" s="307"/>
      <c r="Q647" s="307"/>
      <c r="R647" s="307"/>
      <c r="S647" s="307"/>
      <c r="T647" s="307"/>
      <c r="U647" s="307"/>
      <c r="V647" s="307"/>
      <c r="W647" s="307"/>
      <c r="X647" s="307"/>
      <c r="Y647" s="307"/>
      <c r="Z647" s="307"/>
      <c r="AA647" s="307"/>
      <c r="AB647" s="307"/>
      <c r="AC647" s="307"/>
      <c r="AD647" s="307"/>
      <c r="AE647" s="307"/>
      <c r="AF647" s="307"/>
      <c r="AG647" s="307"/>
      <c r="AH647" s="307"/>
    </row>
    <row r="648" spans="1:34" ht="17.399999999999999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  <c r="M648" s="307"/>
      <c r="N648" s="307"/>
      <c r="O648" s="307"/>
      <c r="P648" s="307"/>
      <c r="Q648" s="307"/>
      <c r="R648" s="307"/>
      <c r="S648" s="307"/>
      <c r="T648" s="307"/>
      <c r="U648" s="307"/>
      <c r="V648" s="307"/>
      <c r="W648" s="307"/>
      <c r="X648" s="307"/>
      <c r="Y648" s="307"/>
      <c r="Z648" s="307"/>
      <c r="AA648" s="307"/>
      <c r="AB648" s="307"/>
      <c r="AC648" s="307"/>
      <c r="AD648" s="307"/>
      <c r="AE648" s="307"/>
      <c r="AF648" s="307"/>
      <c r="AG648" s="307"/>
      <c r="AH648" s="307"/>
    </row>
    <row r="649" spans="1:34" ht="17.399999999999999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  <c r="M649" s="307"/>
      <c r="N649" s="307"/>
      <c r="O649" s="307"/>
      <c r="P649" s="307"/>
      <c r="Q649" s="307"/>
      <c r="R649" s="307"/>
      <c r="S649" s="307"/>
      <c r="T649" s="307"/>
      <c r="U649" s="307"/>
      <c r="V649" s="307"/>
      <c r="W649" s="307"/>
      <c r="X649" s="307"/>
      <c r="Y649" s="307"/>
      <c r="Z649" s="307"/>
      <c r="AA649" s="307"/>
      <c r="AB649" s="307"/>
      <c r="AC649" s="307"/>
      <c r="AD649" s="307"/>
      <c r="AE649" s="307"/>
      <c r="AF649" s="307"/>
      <c r="AG649" s="307"/>
      <c r="AH649" s="307"/>
    </row>
    <row r="650" spans="1:34" ht="17.399999999999999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  <c r="M650" s="307"/>
      <c r="N650" s="307"/>
      <c r="O650" s="307"/>
      <c r="P650" s="307"/>
      <c r="Q650" s="307"/>
      <c r="R650" s="307"/>
      <c r="S650" s="307"/>
      <c r="T650" s="307"/>
      <c r="U650" s="307"/>
      <c r="V650" s="307"/>
      <c r="W650" s="307"/>
      <c r="X650" s="307"/>
      <c r="Y650" s="307"/>
      <c r="Z650" s="307"/>
      <c r="AA650" s="307"/>
      <c r="AB650" s="307"/>
      <c r="AC650" s="307"/>
      <c r="AD650" s="307"/>
      <c r="AE650" s="307"/>
      <c r="AF650" s="307"/>
      <c r="AG650" s="307"/>
      <c r="AH650" s="307"/>
    </row>
    <row r="651" spans="1:34" ht="17.399999999999999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  <c r="M651" s="307"/>
      <c r="N651" s="307"/>
      <c r="O651" s="307"/>
      <c r="P651" s="307"/>
      <c r="Q651" s="307"/>
      <c r="R651" s="307"/>
      <c r="S651" s="307"/>
      <c r="T651" s="307"/>
      <c r="U651" s="307"/>
      <c r="V651" s="307"/>
      <c r="W651" s="307"/>
      <c r="X651" s="307"/>
      <c r="Y651" s="307"/>
      <c r="Z651" s="307"/>
      <c r="AA651" s="307"/>
      <c r="AB651" s="307"/>
      <c r="AC651" s="307"/>
      <c r="AD651" s="307"/>
      <c r="AE651" s="307"/>
      <c r="AF651" s="307"/>
      <c r="AG651" s="307"/>
      <c r="AH651" s="307"/>
    </row>
    <row r="652" spans="1:34" ht="17.399999999999999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  <c r="M652" s="307"/>
      <c r="N652" s="307"/>
      <c r="O652" s="307"/>
      <c r="P652" s="307"/>
      <c r="Q652" s="307"/>
      <c r="R652" s="307"/>
      <c r="S652" s="307"/>
      <c r="T652" s="307"/>
      <c r="U652" s="307"/>
      <c r="V652" s="307"/>
      <c r="W652" s="307"/>
      <c r="X652" s="307"/>
      <c r="Y652" s="307"/>
      <c r="Z652" s="307"/>
      <c r="AA652" s="307"/>
      <c r="AB652" s="307"/>
      <c r="AC652" s="307"/>
      <c r="AD652" s="307"/>
      <c r="AE652" s="307"/>
      <c r="AF652" s="307"/>
      <c r="AG652" s="307"/>
      <c r="AH652" s="307"/>
    </row>
    <row r="653" spans="1:34" ht="17.399999999999999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  <c r="M653" s="307"/>
      <c r="N653" s="307"/>
      <c r="O653" s="307"/>
      <c r="P653" s="307"/>
      <c r="Q653" s="307"/>
      <c r="R653" s="307"/>
      <c r="S653" s="307"/>
      <c r="T653" s="307"/>
      <c r="U653" s="307"/>
      <c r="V653" s="307"/>
      <c r="W653" s="307"/>
      <c r="X653" s="307"/>
      <c r="Y653" s="307"/>
      <c r="Z653" s="307"/>
      <c r="AA653" s="307"/>
      <c r="AB653" s="307"/>
      <c r="AC653" s="307"/>
      <c r="AD653" s="307"/>
      <c r="AE653" s="307"/>
      <c r="AF653" s="307"/>
      <c r="AG653" s="307"/>
      <c r="AH653" s="307"/>
    </row>
    <row r="654" spans="1:34" ht="17.399999999999999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  <c r="M654" s="307"/>
      <c r="N654" s="307"/>
      <c r="O654" s="307"/>
      <c r="P654" s="307"/>
      <c r="Q654" s="307"/>
      <c r="R654" s="307"/>
      <c r="S654" s="307"/>
      <c r="T654" s="307"/>
      <c r="U654" s="307"/>
      <c r="V654" s="307"/>
      <c r="W654" s="307"/>
      <c r="X654" s="307"/>
      <c r="Y654" s="307"/>
      <c r="Z654" s="307"/>
      <c r="AA654" s="307"/>
      <c r="AB654" s="307"/>
      <c r="AC654" s="307"/>
      <c r="AD654" s="307"/>
      <c r="AE654" s="307"/>
      <c r="AF654" s="307"/>
      <c r="AG654" s="307"/>
      <c r="AH654" s="307"/>
    </row>
    <row r="655" spans="1:34" ht="17.399999999999999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  <c r="M655" s="307"/>
      <c r="N655" s="307"/>
      <c r="O655" s="307"/>
      <c r="P655" s="307"/>
      <c r="Q655" s="307"/>
      <c r="R655" s="307"/>
      <c r="S655" s="307"/>
      <c r="T655" s="307"/>
      <c r="U655" s="307"/>
      <c r="V655" s="307"/>
      <c r="W655" s="307"/>
      <c r="X655" s="307"/>
      <c r="Y655" s="307"/>
      <c r="Z655" s="307"/>
      <c r="AA655" s="307"/>
      <c r="AB655" s="307"/>
      <c r="AC655" s="307"/>
      <c r="AD655" s="307"/>
      <c r="AE655" s="307"/>
      <c r="AF655" s="307"/>
      <c r="AG655" s="307"/>
      <c r="AH655" s="307"/>
    </row>
    <row r="656" spans="1:34" ht="17.399999999999999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  <c r="M656" s="307"/>
      <c r="N656" s="307"/>
      <c r="O656" s="307"/>
      <c r="P656" s="307"/>
      <c r="Q656" s="307"/>
      <c r="R656" s="307"/>
      <c r="S656" s="307"/>
      <c r="T656" s="307"/>
      <c r="U656" s="307"/>
      <c r="V656" s="307"/>
      <c r="W656" s="307"/>
      <c r="X656" s="307"/>
      <c r="Y656" s="307"/>
      <c r="Z656" s="307"/>
      <c r="AA656" s="307"/>
      <c r="AB656" s="307"/>
      <c r="AC656" s="307"/>
      <c r="AD656" s="307"/>
      <c r="AE656" s="307"/>
      <c r="AF656" s="307"/>
      <c r="AG656" s="307"/>
      <c r="AH656" s="307"/>
    </row>
    <row r="657" spans="1:34" ht="17.399999999999999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  <c r="M657" s="307"/>
      <c r="N657" s="307"/>
      <c r="O657" s="307"/>
      <c r="P657" s="307"/>
      <c r="Q657" s="307"/>
      <c r="R657" s="307"/>
      <c r="S657" s="307"/>
      <c r="T657" s="307"/>
      <c r="U657" s="307"/>
      <c r="V657" s="307"/>
      <c r="W657" s="307"/>
      <c r="X657" s="307"/>
      <c r="Y657" s="307"/>
      <c r="Z657" s="307"/>
      <c r="AA657" s="307"/>
      <c r="AB657" s="307"/>
      <c r="AC657" s="307"/>
      <c r="AD657" s="307"/>
      <c r="AE657" s="307"/>
      <c r="AF657" s="307"/>
      <c r="AG657" s="307"/>
      <c r="AH657" s="307"/>
    </row>
    <row r="658" spans="1:34" ht="17.399999999999999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  <c r="M658" s="307"/>
      <c r="N658" s="307"/>
      <c r="O658" s="307"/>
      <c r="P658" s="307"/>
      <c r="Q658" s="307"/>
      <c r="R658" s="307"/>
      <c r="S658" s="307"/>
      <c r="T658" s="307"/>
      <c r="U658" s="307"/>
      <c r="V658" s="307"/>
      <c r="W658" s="307"/>
      <c r="X658" s="307"/>
      <c r="Y658" s="307"/>
      <c r="Z658" s="307"/>
      <c r="AA658" s="307"/>
      <c r="AB658" s="307"/>
      <c r="AC658" s="307"/>
      <c r="AD658" s="307"/>
      <c r="AE658" s="307"/>
      <c r="AF658" s="307"/>
      <c r="AG658" s="307"/>
      <c r="AH658" s="307"/>
    </row>
    <row r="659" spans="1:34" ht="17.399999999999999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  <c r="M659" s="307"/>
      <c r="N659" s="307"/>
      <c r="O659" s="307"/>
      <c r="P659" s="307"/>
      <c r="Q659" s="307"/>
      <c r="R659" s="307"/>
      <c r="S659" s="307"/>
      <c r="T659" s="307"/>
      <c r="U659" s="307"/>
      <c r="V659" s="307"/>
      <c r="W659" s="307"/>
      <c r="X659" s="307"/>
      <c r="Y659" s="307"/>
      <c r="Z659" s="307"/>
      <c r="AA659" s="307"/>
      <c r="AB659" s="307"/>
      <c r="AC659" s="307"/>
      <c r="AD659" s="307"/>
      <c r="AE659" s="307"/>
      <c r="AF659" s="307"/>
      <c r="AG659" s="307"/>
      <c r="AH659" s="307"/>
    </row>
    <row r="660" spans="1:34" ht="17.399999999999999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  <c r="M660" s="307"/>
      <c r="N660" s="307"/>
      <c r="O660" s="307"/>
      <c r="P660" s="307"/>
      <c r="Q660" s="307"/>
      <c r="R660" s="307"/>
      <c r="S660" s="307"/>
      <c r="T660" s="307"/>
      <c r="U660" s="307"/>
      <c r="V660" s="307"/>
      <c r="W660" s="307"/>
      <c r="X660" s="307"/>
      <c r="Y660" s="307"/>
      <c r="Z660" s="307"/>
      <c r="AA660" s="307"/>
      <c r="AB660" s="307"/>
      <c r="AC660" s="307"/>
      <c r="AD660" s="307"/>
      <c r="AE660" s="307"/>
      <c r="AF660" s="307"/>
      <c r="AG660" s="307"/>
      <c r="AH660" s="307"/>
    </row>
    <row r="661" spans="1:34" ht="17.399999999999999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  <c r="M661" s="307"/>
      <c r="N661" s="307"/>
      <c r="O661" s="307"/>
      <c r="P661" s="307"/>
      <c r="Q661" s="307"/>
      <c r="R661" s="307"/>
      <c r="S661" s="307"/>
      <c r="T661" s="307"/>
      <c r="U661" s="307"/>
      <c r="V661" s="307"/>
      <c r="W661" s="307"/>
      <c r="X661" s="307"/>
      <c r="Y661" s="307"/>
      <c r="Z661" s="307"/>
      <c r="AA661" s="307"/>
      <c r="AB661" s="307"/>
      <c r="AC661" s="307"/>
      <c r="AD661" s="307"/>
      <c r="AE661" s="307"/>
      <c r="AF661" s="307"/>
      <c r="AG661" s="307"/>
      <c r="AH661" s="307"/>
    </row>
    <row r="662" spans="1:34" ht="17.399999999999999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  <c r="M662" s="307"/>
      <c r="N662" s="307"/>
      <c r="O662" s="307"/>
      <c r="P662" s="307"/>
      <c r="Q662" s="307"/>
      <c r="R662" s="307"/>
      <c r="S662" s="307"/>
      <c r="T662" s="307"/>
      <c r="U662" s="307"/>
      <c r="V662" s="307"/>
      <c r="W662" s="307"/>
      <c r="X662" s="307"/>
      <c r="Y662" s="307"/>
      <c r="Z662" s="307"/>
      <c r="AA662" s="307"/>
      <c r="AB662" s="307"/>
      <c r="AC662" s="307"/>
      <c r="AD662" s="307"/>
      <c r="AE662" s="307"/>
      <c r="AF662" s="307"/>
      <c r="AG662" s="307"/>
      <c r="AH662" s="307"/>
    </row>
    <row r="663" spans="1:34" ht="17.399999999999999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  <c r="M663" s="307"/>
      <c r="N663" s="307"/>
      <c r="O663" s="307"/>
      <c r="P663" s="307"/>
      <c r="Q663" s="307"/>
      <c r="R663" s="307"/>
      <c r="S663" s="307"/>
      <c r="T663" s="307"/>
      <c r="U663" s="307"/>
      <c r="V663" s="307"/>
      <c r="W663" s="307"/>
      <c r="X663" s="307"/>
      <c r="Y663" s="307"/>
      <c r="Z663" s="307"/>
      <c r="AA663" s="307"/>
      <c r="AB663" s="307"/>
      <c r="AC663" s="307"/>
      <c r="AD663" s="307"/>
      <c r="AE663" s="307"/>
      <c r="AF663" s="307"/>
      <c r="AG663" s="307"/>
      <c r="AH663" s="307"/>
    </row>
    <row r="664" spans="1:34" ht="17.399999999999999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  <c r="M664" s="307"/>
      <c r="N664" s="307"/>
      <c r="O664" s="307"/>
      <c r="P664" s="307"/>
      <c r="Q664" s="307"/>
      <c r="R664" s="307"/>
      <c r="S664" s="307"/>
      <c r="T664" s="307"/>
      <c r="U664" s="307"/>
      <c r="V664" s="307"/>
      <c r="W664" s="307"/>
      <c r="X664" s="307"/>
      <c r="Y664" s="307"/>
      <c r="Z664" s="307"/>
      <c r="AA664" s="307"/>
      <c r="AB664" s="307"/>
      <c r="AC664" s="307"/>
      <c r="AD664" s="307"/>
      <c r="AE664" s="307"/>
      <c r="AF664" s="307"/>
      <c r="AG664" s="307"/>
      <c r="AH664" s="307"/>
    </row>
    <row r="665" spans="1:34" ht="17.399999999999999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  <c r="M665" s="307"/>
      <c r="N665" s="307"/>
      <c r="O665" s="307"/>
      <c r="P665" s="307"/>
      <c r="Q665" s="307"/>
      <c r="R665" s="307"/>
      <c r="S665" s="307"/>
      <c r="T665" s="307"/>
      <c r="U665" s="307"/>
      <c r="V665" s="307"/>
      <c r="W665" s="307"/>
      <c r="X665" s="307"/>
      <c r="Y665" s="307"/>
      <c r="Z665" s="307"/>
      <c r="AA665" s="307"/>
      <c r="AB665" s="307"/>
      <c r="AC665" s="307"/>
      <c r="AD665" s="307"/>
      <c r="AE665" s="307"/>
      <c r="AF665" s="307"/>
      <c r="AG665" s="307"/>
      <c r="AH665" s="307"/>
    </row>
    <row r="666" spans="1:34" ht="17.399999999999999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  <c r="M666" s="307"/>
      <c r="N666" s="307"/>
      <c r="O666" s="307"/>
      <c r="P666" s="307"/>
      <c r="Q666" s="307"/>
      <c r="R666" s="307"/>
      <c r="S666" s="307"/>
      <c r="T666" s="307"/>
      <c r="U666" s="307"/>
      <c r="V666" s="307"/>
      <c r="W666" s="307"/>
      <c r="X666" s="307"/>
      <c r="Y666" s="307"/>
      <c r="Z666" s="307"/>
      <c r="AA666" s="307"/>
      <c r="AB666" s="307"/>
      <c r="AC666" s="307"/>
      <c r="AD666" s="307"/>
      <c r="AE666" s="307"/>
      <c r="AF666" s="307"/>
      <c r="AG666" s="307"/>
      <c r="AH666" s="307"/>
    </row>
    <row r="667" spans="1:34" ht="17.399999999999999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  <c r="M667" s="307"/>
      <c r="N667" s="307"/>
      <c r="O667" s="307"/>
      <c r="P667" s="307"/>
      <c r="Q667" s="307"/>
      <c r="R667" s="307"/>
      <c r="S667" s="307"/>
      <c r="T667" s="307"/>
      <c r="U667" s="307"/>
      <c r="V667" s="307"/>
      <c r="W667" s="307"/>
      <c r="X667" s="307"/>
      <c r="Y667" s="307"/>
      <c r="Z667" s="307"/>
      <c r="AA667" s="307"/>
      <c r="AB667" s="307"/>
      <c r="AC667" s="307"/>
      <c r="AD667" s="307"/>
      <c r="AE667" s="307"/>
      <c r="AF667" s="307"/>
      <c r="AG667" s="307"/>
      <c r="AH667" s="307"/>
    </row>
    <row r="668" spans="1:34" ht="17.399999999999999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  <c r="M668" s="307"/>
      <c r="N668" s="307"/>
      <c r="O668" s="307"/>
      <c r="P668" s="307"/>
      <c r="Q668" s="307"/>
      <c r="R668" s="307"/>
      <c r="S668" s="307"/>
      <c r="T668" s="307"/>
      <c r="U668" s="307"/>
      <c r="V668" s="307"/>
      <c r="W668" s="307"/>
      <c r="X668" s="307"/>
      <c r="Y668" s="307"/>
      <c r="Z668" s="307"/>
      <c r="AA668" s="307"/>
      <c r="AB668" s="307"/>
      <c r="AC668" s="307"/>
      <c r="AD668" s="307"/>
      <c r="AE668" s="307"/>
      <c r="AF668" s="307"/>
      <c r="AG668" s="307"/>
      <c r="AH668" s="307"/>
    </row>
    <row r="669" spans="1:34" ht="17.399999999999999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  <c r="M669" s="307"/>
      <c r="N669" s="307"/>
      <c r="O669" s="307"/>
      <c r="P669" s="307"/>
      <c r="Q669" s="307"/>
      <c r="R669" s="307"/>
      <c r="S669" s="307"/>
      <c r="T669" s="307"/>
      <c r="U669" s="307"/>
      <c r="V669" s="307"/>
      <c r="W669" s="307"/>
      <c r="X669" s="307"/>
      <c r="Y669" s="307"/>
      <c r="Z669" s="307"/>
      <c r="AA669" s="307"/>
      <c r="AB669" s="307"/>
      <c r="AC669" s="307"/>
      <c r="AD669" s="307"/>
      <c r="AE669" s="307"/>
      <c r="AF669" s="307"/>
      <c r="AG669" s="307"/>
      <c r="AH669" s="307"/>
    </row>
    <row r="670" spans="1:34" ht="17.399999999999999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  <c r="M670" s="307"/>
      <c r="N670" s="307"/>
      <c r="O670" s="307"/>
      <c r="P670" s="307"/>
      <c r="Q670" s="307"/>
      <c r="R670" s="307"/>
      <c r="S670" s="307"/>
      <c r="T670" s="307"/>
      <c r="U670" s="307"/>
      <c r="V670" s="307"/>
      <c r="W670" s="307"/>
      <c r="X670" s="307"/>
      <c r="Y670" s="307"/>
      <c r="Z670" s="307"/>
      <c r="AA670" s="307"/>
      <c r="AB670" s="307"/>
      <c r="AC670" s="307"/>
      <c r="AD670" s="307"/>
      <c r="AE670" s="307"/>
      <c r="AF670" s="307"/>
      <c r="AG670" s="307"/>
      <c r="AH670" s="307"/>
    </row>
    <row r="671" spans="1:34" ht="17.399999999999999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  <c r="M671" s="307"/>
      <c r="N671" s="307"/>
      <c r="O671" s="307"/>
      <c r="P671" s="307"/>
      <c r="Q671" s="307"/>
      <c r="R671" s="307"/>
      <c r="S671" s="307"/>
      <c r="T671" s="307"/>
      <c r="U671" s="307"/>
      <c r="V671" s="307"/>
      <c r="W671" s="307"/>
      <c r="X671" s="307"/>
      <c r="Y671" s="307"/>
      <c r="Z671" s="307"/>
      <c r="AA671" s="307"/>
      <c r="AB671" s="307"/>
      <c r="AC671" s="307"/>
      <c r="AD671" s="307"/>
      <c r="AE671" s="307"/>
      <c r="AF671" s="307"/>
      <c r="AG671" s="307"/>
      <c r="AH671" s="307"/>
    </row>
    <row r="672" spans="1:34" ht="17.399999999999999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  <c r="M672" s="307"/>
      <c r="N672" s="307"/>
      <c r="O672" s="307"/>
      <c r="P672" s="307"/>
      <c r="Q672" s="307"/>
      <c r="R672" s="307"/>
      <c r="S672" s="307"/>
      <c r="T672" s="307"/>
      <c r="U672" s="307"/>
      <c r="V672" s="307"/>
      <c r="W672" s="307"/>
      <c r="X672" s="307"/>
      <c r="Y672" s="307"/>
      <c r="Z672" s="307"/>
      <c r="AA672" s="307"/>
      <c r="AB672" s="307"/>
      <c r="AC672" s="307"/>
      <c r="AD672" s="307"/>
      <c r="AE672" s="307"/>
      <c r="AF672" s="307"/>
      <c r="AG672" s="307"/>
      <c r="AH672" s="307"/>
    </row>
    <row r="673" spans="1:34" ht="17.399999999999999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  <c r="M673" s="307"/>
      <c r="N673" s="307"/>
      <c r="O673" s="307"/>
      <c r="P673" s="307"/>
      <c r="Q673" s="307"/>
      <c r="R673" s="307"/>
      <c r="S673" s="307"/>
      <c r="T673" s="307"/>
      <c r="U673" s="307"/>
      <c r="V673" s="307"/>
      <c r="W673" s="307"/>
      <c r="X673" s="307"/>
      <c r="Y673" s="307"/>
      <c r="Z673" s="307"/>
      <c r="AA673" s="307"/>
      <c r="AB673" s="307"/>
      <c r="AC673" s="307"/>
      <c r="AD673" s="307"/>
      <c r="AE673" s="307"/>
      <c r="AF673" s="307"/>
      <c r="AG673" s="307"/>
      <c r="AH673" s="307"/>
    </row>
    <row r="674" spans="1:34" ht="17.399999999999999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  <c r="M674" s="307"/>
      <c r="N674" s="307"/>
      <c r="O674" s="307"/>
      <c r="P674" s="307"/>
      <c r="Q674" s="307"/>
      <c r="R674" s="307"/>
      <c r="S674" s="307"/>
      <c r="T674" s="307"/>
      <c r="U674" s="307"/>
      <c r="V674" s="307"/>
      <c r="W674" s="307"/>
      <c r="X674" s="307"/>
      <c r="Y674" s="307"/>
      <c r="Z674" s="307"/>
      <c r="AA674" s="307"/>
      <c r="AB674" s="307"/>
      <c r="AC674" s="307"/>
      <c r="AD674" s="307"/>
      <c r="AE674" s="307"/>
      <c r="AF674" s="307"/>
      <c r="AG674" s="307"/>
      <c r="AH674" s="307"/>
    </row>
    <row r="675" spans="1:34" ht="17.399999999999999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  <c r="M675" s="307"/>
      <c r="N675" s="307"/>
      <c r="O675" s="307"/>
      <c r="P675" s="307"/>
      <c r="Q675" s="307"/>
      <c r="R675" s="307"/>
      <c r="S675" s="307"/>
      <c r="T675" s="307"/>
      <c r="U675" s="307"/>
      <c r="V675" s="307"/>
      <c r="W675" s="307"/>
      <c r="X675" s="307"/>
      <c r="Y675" s="307"/>
      <c r="Z675" s="307"/>
      <c r="AA675" s="307"/>
      <c r="AB675" s="307"/>
      <c r="AC675" s="307"/>
      <c r="AD675" s="307"/>
      <c r="AE675" s="307"/>
      <c r="AF675" s="307"/>
      <c r="AG675" s="307"/>
      <c r="AH675" s="307"/>
    </row>
    <row r="676" spans="1:34" ht="17.399999999999999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  <c r="M676" s="307"/>
      <c r="N676" s="307"/>
      <c r="O676" s="307"/>
      <c r="P676" s="307"/>
      <c r="Q676" s="307"/>
      <c r="R676" s="307"/>
      <c r="S676" s="307"/>
      <c r="T676" s="307"/>
      <c r="U676" s="307"/>
      <c r="V676" s="307"/>
      <c r="W676" s="307"/>
      <c r="X676" s="307"/>
      <c r="Y676" s="307"/>
      <c r="Z676" s="307"/>
      <c r="AA676" s="307"/>
      <c r="AB676" s="307"/>
      <c r="AC676" s="307"/>
      <c r="AD676" s="307"/>
      <c r="AE676" s="307"/>
      <c r="AF676" s="307"/>
      <c r="AG676" s="307"/>
      <c r="AH676" s="307"/>
    </row>
    <row r="677" spans="1:34" ht="17.399999999999999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  <c r="M677" s="307"/>
      <c r="N677" s="307"/>
      <c r="O677" s="307"/>
      <c r="P677" s="307"/>
      <c r="Q677" s="307"/>
      <c r="R677" s="307"/>
      <c r="S677" s="307"/>
      <c r="T677" s="307"/>
      <c r="U677" s="307"/>
      <c r="V677" s="307"/>
      <c r="W677" s="307"/>
      <c r="X677" s="307"/>
      <c r="Y677" s="307"/>
      <c r="Z677" s="307"/>
      <c r="AA677" s="307"/>
      <c r="AB677" s="307"/>
      <c r="AC677" s="307"/>
      <c r="AD677" s="307"/>
      <c r="AE677" s="307"/>
      <c r="AF677" s="307"/>
      <c r="AG677" s="307"/>
      <c r="AH677" s="307"/>
    </row>
    <row r="678" spans="1:34" ht="17.399999999999999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  <c r="M678" s="307"/>
      <c r="N678" s="307"/>
      <c r="O678" s="307"/>
      <c r="P678" s="307"/>
      <c r="Q678" s="307"/>
      <c r="R678" s="307"/>
      <c r="S678" s="307"/>
      <c r="T678" s="307"/>
      <c r="U678" s="307"/>
      <c r="V678" s="307"/>
      <c r="W678" s="307"/>
      <c r="X678" s="307"/>
      <c r="Y678" s="307"/>
      <c r="Z678" s="307"/>
      <c r="AA678" s="307"/>
      <c r="AB678" s="307"/>
      <c r="AC678" s="307"/>
      <c r="AD678" s="307"/>
      <c r="AE678" s="307"/>
      <c r="AF678" s="307"/>
      <c r="AG678" s="307"/>
      <c r="AH678" s="307"/>
    </row>
    <row r="679" spans="1:34" ht="17.399999999999999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  <c r="M679" s="307"/>
      <c r="N679" s="307"/>
      <c r="O679" s="307"/>
      <c r="P679" s="307"/>
      <c r="Q679" s="307"/>
      <c r="R679" s="307"/>
      <c r="S679" s="307"/>
      <c r="T679" s="307"/>
      <c r="U679" s="307"/>
      <c r="V679" s="307"/>
      <c r="W679" s="307"/>
      <c r="X679" s="307"/>
      <c r="Y679" s="307"/>
      <c r="Z679" s="307"/>
      <c r="AA679" s="307"/>
      <c r="AB679" s="307"/>
      <c r="AC679" s="307"/>
      <c r="AD679" s="307"/>
      <c r="AE679" s="307"/>
      <c r="AF679" s="307"/>
      <c r="AG679" s="307"/>
      <c r="AH679" s="307"/>
    </row>
    <row r="680" spans="1:34" ht="17.399999999999999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  <c r="M680" s="307"/>
      <c r="N680" s="307"/>
      <c r="O680" s="307"/>
      <c r="P680" s="307"/>
      <c r="Q680" s="307"/>
      <c r="R680" s="307"/>
      <c r="S680" s="307"/>
      <c r="T680" s="307"/>
      <c r="U680" s="307"/>
      <c r="V680" s="307"/>
      <c r="W680" s="307"/>
      <c r="X680" s="307"/>
      <c r="Y680" s="307"/>
      <c r="Z680" s="307"/>
      <c r="AA680" s="307"/>
      <c r="AB680" s="307"/>
      <c r="AC680" s="307"/>
      <c r="AD680" s="307"/>
      <c r="AE680" s="307"/>
      <c r="AF680" s="307"/>
      <c r="AG680" s="307"/>
      <c r="AH680" s="307"/>
    </row>
    <row r="681" spans="1:34" ht="17.399999999999999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  <c r="M681" s="307"/>
      <c r="N681" s="307"/>
      <c r="O681" s="307"/>
      <c r="P681" s="307"/>
      <c r="Q681" s="307"/>
      <c r="R681" s="307"/>
      <c r="S681" s="307"/>
      <c r="T681" s="307"/>
      <c r="U681" s="307"/>
      <c r="V681" s="307"/>
      <c r="W681" s="307"/>
      <c r="X681" s="307"/>
      <c r="Y681" s="307"/>
      <c r="Z681" s="307"/>
      <c r="AA681" s="307"/>
      <c r="AB681" s="307"/>
      <c r="AC681" s="307"/>
      <c r="AD681" s="307"/>
      <c r="AE681" s="307"/>
      <c r="AF681" s="307"/>
      <c r="AG681" s="307"/>
      <c r="AH681" s="307"/>
    </row>
    <row r="682" spans="1:34" ht="17.399999999999999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  <c r="M682" s="307"/>
      <c r="N682" s="307"/>
      <c r="O682" s="307"/>
      <c r="P682" s="307"/>
      <c r="Q682" s="307"/>
      <c r="R682" s="307"/>
      <c r="S682" s="307"/>
      <c r="T682" s="307"/>
      <c r="U682" s="307"/>
      <c r="V682" s="307"/>
      <c r="W682" s="307"/>
      <c r="X682" s="307"/>
      <c r="Y682" s="307"/>
      <c r="Z682" s="307"/>
      <c r="AA682" s="307"/>
      <c r="AB682" s="307"/>
      <c r="AC682" s="307"/>
      <c r="AD682" s="307"/>
      <c r="AE682" s="307"/>
      <c r="AF682" s="307"/>
      <c r="AG682" s="307"/>
      <c r="AH682" s="307"/>
    </row>
    <row r="683" spans="1:34" ht="17.399999999999999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  <c r="M683" s="307"/>
      <c r="N683" s="307"/>
      <c r="O683" s="307"/>
      <c r="P683" s="307"/>
      <c r="Q683" s="307"/>
      <c r="R683" s="307"/>
      <c r="S683" s="307"/>
      <c r="T683" s="307"/>
      <c r="U683" s="307"/>
      <c r="V683" s="307"/>
      <c r="W683" s="307"/>
      <c r="X683" s="307"/>
      <c r="Y683" s="307"/>
      <c r="Z683" s="307"/>
      <c r="AA683" s="307"/>
      <c r="AB683" s="307"/>
      <c r="AC683" s="307"/>
      <c r="AD683" s="307"/>
      <c r="AE683" s="307"/>
      <c r="AF683" s="307"/>
      <c r="AG683" s="307"/>
      <c r="AH683" s="307"/>
    </row>
    <row r="684" spans="1:34" ht="17.399999999999999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  <c r="M684" s="307"/>
      <c r="N684" s="307"/>
      <c r="O684" s="307"/>
      <c r="P684" s="307"/>
      <c r="Q684" s="307"/>
      <c r="R684" s="307"/>
      <c r="S684" s="307"/>
      <c r="T684" s="307"/>
      <c r="U684" s="307"/>
      <c r="V684" s="307"/>
      <c r="W684" s="307"/>
      <c r="X684" s="307"/>
      <c r="Y684" s="307"/>
      <c r="Z684" s="307"/>
      <c r="AA684" s="307"/>
      <c r="AB684" s="307"/>
      <c r="AC684" s="307"/>
      <c r="AD684" s="307"/>
      <c r="AE684" s="307"/>
      <c r="AF684" s="307"/>
      <c r="AG684" s="307"/>
      <c r="AH684" s="307"/>
    </row>
    <row r="685" spans="1:34" ht="17.399999999999999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  <c r="M685" s="307"/>
      <c r="N685" s="307"/>
      <c r="O685" s="307"/>
      <c r="P685" s="307"/>
      <c r="Q685" s="307"/>
      <c r="R685" s="307"/>
      <c r="S685" s="307"/>
      <c r="T685" s="307"/>
      <c r="U685" s="307"/>
      <c r="V685" s="307"/>
      <c r="W685" s="307"/>
      <c r="X685" s="307"/>
      <c r="Y685" s="307"/>
      <c r="Z685" s="307"/>
      <c r="AA685" s="307"/>
      <c r="AB685" s="307"/>
      <c r="AC685" s="307"/>
      <c r="AD685" s="307"/>
      <c r="AE685" s="307"/>
      <c r="AF685" s="307"/>
      <c r="AG685" s="307"/>
      <c r="AH685" s="307"/>
    </row>
    <row r="686" spans="1:34" ht="17.399999999999999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  <c r="M686" s="307"/>
      <c r="N686" s="307"/>
      <c r="O686" s="307"/>
      <c r="P686" s="307"/>
      <c r="Q686" s="307"/>
      <c r="R686" s="307"/>
      <c r="S686" s="307"/>
      <c r="T686" s="307"/>
      <c r="U686" s="307"/>
      <c r="V686" s="307"/>
      <c r="W686" s="307"/>
      <c r="X686" s="307"/>
      <c r="Y686" s="307"/>
      <c r="Z686" s="307"/>
      <c r="AA686" s="307"/>
      <c r="AB686" s="307"/>
      <c r="AC686" s="307"/>
      <c r="AD686" s="307"/>
      <c r="AE686" s="307"/>
      <c r="AF686" s="307"/>
      <c r="AG686" s="307"/>
      <c r="AH686" s="307"/>
    </row>
    <row r="687" spans="1:34" ht="17.399999999999999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  <c r="M687" s="307"/>
      <c r="N687" s="307"/>
      <c r="O687" s="307"/>
      <c r="P687" s="307"/>
      <c r="Q687" s="307"/>
      <c r="R687" s="307"/>
      <c r="S687" s="307"/>
      <c r="T687" s="307"/>
      <c r="U687" s="307"/>
      <c r="V687" s="307"/>
      <c r="W687" s="307"/>
      <c r="X687" s="307"/>
      <c r="Y687" s="307"/>
      <c r="Z687" s="307"/>
      <c r="AA687" s="307"/>
      <c r="AB687" s="307"/>
      <c r="AC687" s="307"/>
      <c r="AD687" s="307"/>
      <c r="AE687" s="307"/>
      <c r="AF687" s="307"/>
      <c r="AG687" s="307"/>
      <c r="AH687" s="307"/>
    </row>
    <row r="688" spans="1:34" ht="17.399999999999999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  <c r="M688" s="307"/>
      <c r="N688" s="307"/>
      <c r="O688" s="307"/>
      <c r="P688" s="307"/>
      <c r="Q688" s="307"/>
      <c r="R688" s="307"/>
      <c r="S688" s="307"/>
      <c r="T688" s="307"/>
      <c r="U688" s="307"/>
      <c r="V688" s="307"/>
      <c r="W688" s="307"/>
      <c r="X688" s="307"/>
      <c r="Y688" s="307"/>
      <c r="Z688" s="307"/>
      <c r="AA688" s="307"/>
      <c r="AB688" s="307"/>
      <c r="AC688" s="307"/>
      <c r="AD688" s="307"/>
      <c r="AE688" s="307"/>
      <c r="AF688" s="307"/>
      <c r="AG688" s="307"/>
      <c r="AH688" s="307"/>
    </row>
    <row r="689" spans="1:34" ht="17.399999999999999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  <c r="M689" s="307"/>
      <c r="N689" s="307"/>
      <c r="O689" s="307"/>
      <c r="P689" s="307"/>
      <c r="Q689" s="307"/>
      <c r="R689" s="307"/>
      <c r="S689" s="307"/>
      <c r="T689" s="307"/>
      <c r="U689" s="307"/>
      <c r="V689" s="307"/>
      <c r="W689" s="307"/>
      <c r="X689" s="307"/>
      <c r="Y689" s="307"/>
      <c r="Z689" s="307"/>
      <c r="AA689" s="307"/>
      <c r="AB689" s="307"/>
      <c r="AC689" s="307"/>
      <c r="AD689" s="307"/>
      <c r="AE689" s="307"/>
      <c r="AF689" s="307"/>
      <c r="AG689" s="307"/>
      <c r="AH689" s="307"/>
    </row>
    <row r="690" spans="1:34" ht="17.399999999999999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  <c r="M690" s="307"/>
      <c r="N690" s="307"/>
      <c r="O690" s="307"/>
      <c r="P690" s="307"/>
      <c r="Q690" s="307"/>
      <c r="R690" s="307"/>
      <c r="S690" s="307"/>
      <c r="T690" s="307"/>
      <c r="U690" s="307"/>
      <c r="V690" s="307"/>
      <c r="W690" s="307"/>
      <c r="X690" s="307"/>
      <c r="Y690" s="307"/>
      <c r="Z690" s="307"/>
      <c r="AA690" s="307"/>
      <c r="AB690" s="307"/>
      <c r="AC690" s="307"/>
      <c r="AD690" s="307"/>
      <c r="AE690" s="307"/>
      <c r="AF690" s="307"/>
      <c r="AG690" s="307"/>
      <c r="AH690" s="307"/>
    </row>
    <row r="691" spans="1:34" ht="17.399999999999999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  <c r="M691" s="307"/>
      <c r="N691" s="307"/>
      <c r="O691" s="307"/>
      <c r="P691" s="307"/>
      <c r="Q691" s="307"/>
      <c r="R691" s="307"/>
      <c r="S691" s="307"/>
      <c r="T691" s="307"/>
      <c r="U691" s="307"/>
      <c r="V691" s="307"/>
      <c r="W691" s="307"/>
      <c r="X691" s="307"/>
      <c r="Y691" s="307"/>
      <c r="Z691" s="307"/>
      <c r="AA691" s="307"/>
      <c r="AB691" s="307"/>
      <c r="AC691" s="307"/>
      <c r="AD691" s="307"/>
      <c r="AE691" s="307"/>
      <c r="AF691" s="307"/>
      <c r="AG691" s="307"/>
      <c r="AH691" s="307"/>
    </row>
    <row r="692" spans="1:34" ht="17.399999999999999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  <c r="M692" s="307"/>
      <c r="N692" s="307"/>
      <c r="O692" s="307"/>
      <c r="P692" s="307"/>
      <c r="Q692" s="307"/>
      <c r="R692" s="307"/>
      <c r="S692" s="307"/>
      <c r="T692" s="307"/>
      <c r="U692" s="307"/>
      <c r="V692" s="307"/>
      <c r="W692" s="307"/>
      <c r="X692" s="307"/>
      <c r="Y692" s="307"/>
      <c r="Z692" s="307"/>
      <c r="AA692" s="307"/>
      <c r="AB692" s="307"/>
      <c r="AC692" s="307"/>
      <c r="AD692" s="307"/>
      <c r="AE692" s="307"/>
      <c r="AF692" s="307"/>
      <c r="AG692" s="307"/>
      <c r="AH692" s="307"/>
    </row>
    <row r="693" spans="1:34" ht="17.399999999999999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  <c r="M693" s="307"/>
      <c r="N693" s="307"/>
      <c r="O693" s="307"/>
      <c r="P693" s="307"/>
      <c r="Q693" s="307"/>
      <c r="R693" s="307"/>
      <c r="S693" s="307"/>
      <c r="T693" s="307"/>
      <c r="U693" s="307"/>
      <c r="V693" s="307"/>
      <c r="W693" s="307"/>
      <c r="X693" s="307"/>
      <c r="Y693" s="307"/>
      <c r="Z693" s="307"/>
      <c r="AA693" s="307"/>
      <c r="AB693" s="307"/>
      <c r="AC693" s="307"/>
      <c r="AD693" s="307"/>
      <c r="AE693" s="307"/>
      <c r="AF693" s="307"/>
      <c r="AG693" s="307"/>
      <c r="AH693" s="307"/>
    </row>
    <row r="694" spans="1:34" ht="17.399999999999999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  <c r="M694" s="307"/>
      <c r="N694" s="307"/>
      <c r="O694" s="307"/>
      <c r="P694" s="307"/>
      <c r="Q694" s="307"/>
      <c r="R694" s="307"/>
      <c r="S694" s="307"/>
      <c r="T694" s="307"/>
      <c r="U694" s="307"/>
      <c r="V694" s="307"/>
      <c r="W694" s="307"/>
      <c r="X694" s="307"/>
      <c r="Y694" s="307"/>
      <c r="Z694" s="307"/>
      <c r="AA694" s="307"/>
      <c r="AB694" s="307"/>
      <c r="AC694" s="307"/>
      <c r="AD694" s="307"/>
      <c r="AE694" s="307"/>
      <c r="AF694" s="307"/>
      <c r="AG694" s="307"/>
      <c r="AH694" s="307"/>
    </row>
    <row r="695" spans="1:34" ht="17.399999999999999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  <c r="M695" s="307"/>
      <c r="N695" s="307"/>
      <c r="O695" s="307"/>
      <c r="P695" s="307"/>
      <c r="Q695" s="307"/>
      <c r="R695" s="307"/>
      <c r="S695" s="307"/>
      <c r="T695" s="307"/>
      <c r="U695" s="307"/>
      <c r="V695" s="307"/>
      <c r="W695" s="307"/>
      <c r="X695" s="307"/>
      <c r="Y695" s="307"/>
      <c r="Z695" s="307"/>
      <c r="AA695" s="307"/>
      <c r="AB695" s="307"/>
      <c r="AC695" s="307"/>
      <c r="AD695" s="307"/>
      <c r="AE695" s="307"/>
      <c r="AF695" s="307"/>
      <c r="AG695" s="307"/>
      <c r="AH695" s="307"/>
    </row>
    <row r="696" spans="1:34" ht="17.399999999999999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  <c r="M696" s="307"/>
      <c r="N696" s="307"/>
      <c r="O696" s="307"/>
      <c r="P696" s="307"/>
      <c r="Q696" s="307"/>
      <c r="R696" s="307"/>
      <c r="S696" s="307"/>
      <c r="T696" s="307"/>
      <c r="U696" s="307"/>
      <c r="V696" s="307"/>
      <c r="W696" s="307"/>
      <c r="X696" s="307"/>
      <c r="Y696" s="307"/>
      <c r="Z696" s="307"/>
      <c r="AA696" s="307"/>
      <c r="AB696" s="307"/>
      <c r="AC696" s="307"/>
      <c r="AD696" s="307"/>
      <c r="AE696" s="307"/>
      <c r="AF696" s="307"/>
      <c r="AG696" s="307"/>
      <c r="AH696" s="307"/>
    </row>
    <row r="697" spans="1:34" ht="17.399999999999999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  <c r="M697" s="307"/>
      <c r="N697" s="307"/>
      <c r="O697" s="307"/>
      <c r="P697" s="307"/>
      <c r="Q697" s="307"/>
      <c r="R697" s="307"/>
      <c r="S697" s="307"/>
      <c r="T697" s="307"/>
      <c r="U697" s="307"/>
      <c r="V697" s="307"/>
      <c r="W697" s="307"/>
      <c r="X697" s="307"/>
      <c r="Y697" s="307"/>
      <c r="Z697" s="307"/>
      <c r="AA697" s="307"/>
      <c r="AB697" s="307"/>
      <c r="AC697" s="307"/>
      <c r="AD697" s="307"/>
      <c r="AE697" s="307"/>
      <c r="AF697" s="307"/>
      <c r="AG697" s="307"/>
      <c r="AH697" s="307"/>
    </row>
    <row r="698" spans="1:34" ht="17.399999999999999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  <c r="M698" s="307"/>
      <c r="N698" s="307"/>
      <c r="O698" s="307"/>
      <c r="P698" s="307"/>
      <c r="Q698" s="307"/>
      <c r="R698" s="307"/>
      <c r="S698" s="307"/>
      <c r="T698" s="307"/>
      <c r="U698" s="307"/>
      <c r="V698" s="307"/>
      <c r="W698" s="307"/>
      <c r="X698" s="307"/>
      <c r="Y698" s="307"/>
      <c r="Z698" s="307"/>
      <c r="AA698" s="307"/>
      <c r="AB698" s="307"/>
      <c r="AC698" s="307"/>
      <c r="AD698" s="307"/>
      <c r="AE698" s="307"/>
      <c r="AF698" s="307"/>
      <c r="AG698" s="307"/>
      <c r="AH698" s="307"/>
    </row>
    <row r="699" spans="1:34" ht="17.399999999999999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  <c r="M699" s="307"/>
      <c r="N699" s="307"/>
      <c r="O699" s="307"/>
      <c r="P699" s="307"/>
      <c r="Q699" s="307"/>
      <c r="R699" s="307"/>
      <c r="S699" s="307"/>
      <c r="T699" s="307"/>
      <c r="U699" s="307"/>
      <c r="V699" s="307"/>
      <c r="W699" s="307"/>
      <c r="X699" s="307"/>
      <c r="Y699" s="307"/>
      <c r="Z699" s="307"/>
      <c r="AA699" s="307"/>
      <c r="AB699" s="307"/>
      <c r="AC699" s="307"/>
      <c r="AD699" s="307"/>
      <c r="AE699" s="307"/>
      <c r="AF699" s="307"/>
      <c r="AG699" s="307"/>
      <c r="AH699" s="307"/>
    </row>
    <row r="700" spans="1:34" ht="17.399999999999999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  <c r="M700" s="307"/>
      <c r="N700" s="307"/>
      <c r="O700" s="307"/>
      <c r="P700" s="307"/>
      <c r="Q700" s="307"/>
      <c r="R700" s="307"/>
      <c r="S700" s="307"/>
      <c r="T700" s="307"/>
      <c r="U700" s="307"/>
      <c r="V700" s="307"/>
      <c r="W700" s="307"/>
      <c r="X700" s="307"/>
      <c r="Y700" s="307"/>
      <c r="Z700" s="307"/>
      <c r="AA700" s="307"/>
      <c r="AB700" s="307"/>
      <c r="AC700" s="307"/>
      <c r="AD700" s="307"/>
      <c r="AE700" s="307"/>
      <c r="AF700" s="307"/>
      <c r="AG700" s="307"/>
      <c r="AH700" s="307"/>
    </row>
    <row r="701" spans="1:34" ht="17.399999999999999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  <c r="M701" s="307"/>
      <c r="N701" s="307"/>
      <c r="O701" s="307"/>
      <c r="P701" s="307"/>
      <c r="Q701" s="307"/>
      <c r="R701" s="307"/>
      <c r="S701" s="307"/>
      <c r="T701" s="307"/>
      <c r="U701" s="307"/>
      <c r="V701" s="307"/>
      <c r="W701" s="307"/>
      <c r="X701" s="307"/>
      <c r="Y701" s="307"/>
      <c r="Z701" s="307"/>
      <c r="AA701" s="307"/>
      <c r="AB701" s="307"/>
      <c r="AC701" s="307"/>
      <c r="AD701" s="307"/>
      <c r="AE701" s="307"/>
      <c r="AF701" s="307"/>
      <c r="AG701" s="307"/>
      <c r="AH701" s="307"/>
    </row>
    <row r="702" spans="1:34" ht="17.399999999999999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  <c r="M702" s="307"/>
      <c r="N702" s="307"/>
      <c r="O702" s="307"/>
      <c r="P702" s="307"/>
      <c r="Q702" s="307"/>
      <c r="R702" s="307"/>
      <c r="S702" s="307"/>
      <c r="T702" s="307"/>
      <c r="U702" s="307"/>
      <c r="V702" s="307"/>
      <c r="W702" s="307"/>
      <c r="X702" s="307"/>
      <c r="Y702" s="307"/>
      <c r="Z702" s="307"/>
      <c r="AA702" s="307"/>
      <c r="AB702" s="307"/>
      <c r="AC702" s="307"/>
      <c r="AD702" s="307"/>
      <c r="AE702" s="307"/>
      <c r="AF702" s="307"/>
      <c r="AG702" s="307"/>
      <c r="AH702" s="307"/>
    </row>
    <row r="703" spans="1:34" ht="17.399999999999999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  <c r="M703" s="307"/>
      <c r="N703" s="307"/>
      <c r="O703" s="307"/>
      <c r="P703" s="307"/>
      <c r="Q703" s="307"/>
      <c r="R703" s="307"/>
      <c r="S703" s="307"/>
      <c r="T703" s="307"/>
      <c r="U703" s="307"/>
      <c r="V703" s="307"/>
      <c r="W703" s="307"/>
      <c r="X703" s="307"/>
      <c r="Y703" s="307"/>
      <c r="Z703" s="307"/>
      <c r="AA703" s="307"/>
      <c r="AB703" s="307"/>
      <c r="AC703" s="307"/>
      <c r="AD703" s="307"/>
      <c r="AE703" s="307"/>
      <c r="AF703" s="307"/>
      <c r="AG703" s="307"/>
      <c r="AH703" s="307"/>
    </row>
    <row r="704" spans="1:34" ht="17.399999999999999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  <c r="M704" s="307"/>
      <c r="N704" s="307"/>
      <c r="O704" s="307"/>
      <c r="P704" s="307"/>
      <c r="Q704" s="307"/>
      <c r="R704" s="307"/>
      <c r="S704" s="307"/>
      <c r="T704" s="307"/>
      <c r="U704" s="307"/>
      <c r="V704" s="307"/>
      <c r="W704" s="307"/>
      <c r="X704" s="307"/>
      <c r="Y704" s="307"/>
      <c r="Z704" s="307"/>
      <c r="AA704" s="307"/>
      <c r="AB704" s="307"/>
      <c r="AC704" s="307"/>
      <c r="AD704" s="307"/>
      <c r="AE704" s="307"/>
      <c r="AF704" s="307"/>
      <c r="AG704" s="307"/>
      <c r="AH704" s="307"/>
    </row>
    <row r="705" spans="1:34" ht="17.399999999999999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  <c r="M705" s="307"/>
      <c r="N705" s="307"/>
      <c r="O705" s="307"/>
      <c r="P705" s="307"/>
      <c r="Q705" s="307"/>
      <c r="R705" s="307"/>
      <c r="S705" s="307"/>
      <c r="T705" s="307"/>
      <c r="U705" s="307"/>
      <c r="V705" s="307"/>
      <c r="W705" s="307"/>
      <c r="X705" s="307"/>
      <c r="Y705" s="307"/>
      <c r="Z705" s="307"/>
      <c r="AA705" s="307"/>
      <c r="AB705" s="307"/>
      <c r="AC705" s="307"/>
      <c r="AD705" s="307"/>
      <c r="AE705" s="307"/>
      <c r="AF705" s="307"/>
      <c r="AG705" s="307"/>
      <c r="AH705" s="307"/>
    </row>
    <row r="706" spans="1:34" ht="17.399999999999999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  <c r="M706" s="307"/>
      <c r="N706" s="307"/>
      <c r="O706" s="307"/>
      <c r="P706" s="307"/>
      <c r="Q706" s="307"/>
      <c r="R706" s="307"/>
      <c r="S706" s="307"/>
      <c r="T706" s="307"/>
      <c r="U706" s="307"/>
      <c r="V706" s="307"/>
      <c r="W706" s="307"/>
      <c r="X706" s="307"/>
      <c r="Y706" s="307"/>
      <c r="Z706" s="307"/>
      <c r="AA706" s="307"/>
      <c r="AB706" s="307"/>
      <c r="AC706" s="307"/>
      <c r="AD706" s="307"/>
      <c r="AE706" s="307"/>
      <c r="AF706" s="307"/>
      <c r="AG706" s="307"/>
      <c r="AH706" s="307"/>
    </row>
    <row r="707" spans="1:34" ht="17.399999999999999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  <c r="M707" s="307"/>
      <c r="N707" s="307"/>
      <c r="O707" s="307"/>
      <c r="P707" s="307"/>
      <c r="Q707" s="307"/>
      <c r="R707" s="307"/>
      <c r="S707" s="307"/>
      <c r="T707" s="307"/>
      <c r="U707" s="307"/>
      <c r="V707" s="307"/>
      <c r="W707" s="307"/>
      <c r="X707" s="307"/>
      <c r="Y707" s="307"/>
      <c r="Z707" s="307"/>
      <c r="AA707" s="307"/>
      <c r="AB707" s="307"/>
      <c r="AC707" s="307"/>
      <c r="AD707" s="307"/>
      <c r="AE707" s="307"/>
      <c r="AF707" s="307"/>
      <c r="AG707" s="307"/>
      <c r="AH707" s="307"/>
    </row>
    <row r="708" spans="1:34" ht="17.399999999999999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  <c r="M708" s="307"/>
      <c r="N708" s="307"/>
      <c r="O708" s="307"/>
      <c r="P708" s="307"/>
      <c r="Q708" s="307"/>
      <c r="R708" s="307"/>
      <c r="S708" s="307"/>
      <c r="T708" s="307"/>
      <c r="U708" s="307"/>
      <c r="V708" s="307"/>
      <c r="W708" s="307"/>
      <c r="X708" s="307"/>
      <c r="Y708" s="307"/>
      <c r="Z708" s="307"/>
      <c r="AA708" s="307"/>
      <c r="AB708" s="307"/>
      <c r="AC708" s="307"/>
      <c r="AD708" s="307"/>
      <c r="AE708" s="307"/>
      <c r="AF708" s="307"/>
      <c r="AG708" s="307"/>
      <c r="AH708" s="307"/>
    </row>
    <row r="709" spans="1:34" ht="17.399999999999999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  <c r="M709" s="307"/>
      <c r="N709" s="307"/>
      <c r="O709" s="307"/>
      <c r="P709" s="307"/>
      <c r="Q709" s="307"/>
      <c r="R709" s="307"/>
      <c r="S709" s="307"/>
      <c r="T709" s="307"/>
      <c r="U709" s="307"/>
      <c r="V709" s="307"/>
      <c r="W709" s="307"/>
      <c r="X709" s="307"/>
      <c r="Y709" s="307"/>
      <c r="Z709" s="307"/>
      <c r="AA709" s="307"/>
      <c r="AB709" s="307"/>
      <c r="AC709" s="307"/>
      <c r="AD709" s="307"/>
      <c r="AE709" s="307"/>
      <c r="AF709" s="307"/>
      <c r="AG709" s="307"/>
      <c r="AH709" s="307"/>
    </row>
    <row r="710" spans="1:34" ht="17.399999999999999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  <c r="M710" s="307"/>
      <c r="N710" s="307"/>
      <c r="O710" s="307"/>
      <c r="P710" s="307"/>
      <c r="Q710" s="307"/>
      <c r="R710" s="307"/>
      <c r="S710" s="307"/>
      <c r="T710" s="307"/>
      <c r="U710" s="307"/>
      <c r="V710" s="307"/>
      <c r="W710" s="307"/>
      <c r="X710" s="307"/>
      <c r="Y710" s="307"/>
      <c r="Z710" s="307"/>
      <c r="AA710" s="307"/>
      <c r="AB710" s="307"/>
      <c r="AC710" s="307"/>
      <c r="AD710" s="307"/>
      <c r="AE710" s="307"/>
      <c r="AF710" s="307"/>
      <c r="AG710" s="307"/>
      <c r="AH710" s="307"/>
    </row>
    <row r="711" spans="1:34" ht="17.399999999999999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  <c r="M711" s="307"/>
      <c r="N711" s="307"/>
      <c r="O711" s="307"/>
      <c r="P711" s="307"/>
      <c r="Q711" s="307"/>
      <c r="R711" s="307"/>
      <c r="S711" s="307"/>
      <c r="T711" s="307"/>
      <c r="U711" s="307"/>
      <c r="V711" s="307"/>
      <c r="W711" s="307"/>
      <c r="X711" s="307"/>
      <c r="Y711" s="307"/>
      <c r="Z711" s="307"/>
      <c r="AA711" s="307"/>
      <c r="AB711" s="307"/>
      <c r="AC711" s="307"/>
      <c r="AD711" s="307"/>
      <c r="AE711" s="307"/>
      <c r="AF711" s="307"/>
      <c r="AG711" s="307"/>
      <c r="AH711" s="307"/>
    </row>
    <row r="712" spans="1:34" ht="17.399999999999999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  <c r="M712" s="307"/>
      <c r="N712" s="307"/>
      <c r="O712" s="307"/>
      <c r="P712" s="307"/>
      <c r="Q712" s="307"/>
      <c r="R712" s="307"/>
      <c r="S712" s="307"/>
      <c r="T712" s="307"/>
      <c r="U712" s="307"/>
      <c r="V712" s="307"/>
      <c r="W712" s="307"/>
      <c r="X712" s="307"/>
      <c r="Y712" s="307"/>
      <c r="Z712" s="307"/>
      <c r="AA712" s="307"/>
      <c r="AB712" s="307"/>
      <c r="AC712" s="307"/>
      <c r="AD712" s="307"/>
      <c r="AE712" s="307"/>
      <c r="AF712" s="307"/>
      <c r="AG712" s="307"/>
      <c r="AH712" s="307"/>
    </row>
    <row r="713" spans="1:34" ht="17.399999999999999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  <c r="M713" s="307"/>
      <c r="N713" s="307"/>
      <c r="O713" s="307"/>
      <c r="P713" s="307"/>
      <c r="Q713" s="307"/>
      <c r="R713" s="307"/>
      <c r="S713" s="307"/>
      <c r="T713" s="307"/>
      <c r="U713" s="307"/>
      <c r="V713" s="307"/>
      <c r="W713" s="307"/>
      <c r="X713" s="307"/>
      <c r="Y713" s="307"/>
      <c r="Z713" s="307"/>
      <c r="AA713" s="307"/>
      <c r="AB713" s="307"/>
      <c r="AC713" s="307"/>
      <c r="AD713" s="307"/>
      <c r="AE713" s="307"/>
      <c r="AF713" s="307"/>
      <c r="AG713" s="307"/>
      <c r="AH713" s="307"/>
    </row>
    <row r="714" spans="1:34" ht="17.399999999999999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  <c r="M714" s="307"/>
      <c r="N714" s="307"/>
      <c r="O714" s="307"/>
      <c r="P714" s="307"/>
      <c r="Q714" s="307"/>
      <c r="R714" s="307"/>
      <c r="S714" s="307"/>
      <c r="T714" s="307"/>
      <c r="U714" s="307"/>
      <c r="V714" s="307"/>
      <c r="W714" s="307"/>
      <c r="X714" s="307"/>
      <c r="Y714" s="307"/>
      <c r="Z714" s="307"/>
      <c r="AA714" s="307"/>
      <c r="AB714" s="307"/>
      <c r="AC714" s="307"/>
      <c r="AD714" s="307"/>
      <c r="AE714" s="307"/>
      <c r="AF714" s="307"/>
      <c r="AG714" s="307"/>
      <c r="AH714" s="307"/>
    </row>
    <row r="715" spans="1:34" ht="17.399999999999999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  <c r="M715" s="307"/>
      <c r="N715" s="307"/>
      <c r="O715" s="307"/>
      <c r="P715" s="307"/>
      <c r="Q715" s="307"/>
      <c r="R715" s="307"/>
      <c r="S715" s="307"/>
      <c r="T715" s="307"/>
      <c r="U715" s="307"/>
      <c r="V715" s="307"/>
      <c r="W715" s="307"/>
      <c r="X715" s="307"/>
      <c r="Y715" s="307"/>
      <c r="Z715" s="307"/>
      <c r="AA715" s="307"/>
      <c r="AB715" s="307"/>
      <c r="AC715" s="307"/>
      <c r="AD715" s="307"/>
      <c r="AE715" s="307"/>
      <c r="AF715" s="307"/>
      <c r="AG715" s="307"/>
      <c r="AH715" s="307"/>
    </row>
    <row r="716" spans="1:34" ht="17.399999999999999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  <c r="M716" s="307"/>
      <c r="N716" s="307"/>
      <c r="O716" s="307"/>
      <c r="P716" s="307"/>
      <c r="Q716" s="307"/>
      <c r="R716" s="307"/>
      <c r="S716" s="307"/>
      <c r="T716" s="307"/>
      <c r="U716" s="307"/>
      <c r="V716" s="307"/>
      <c r="W716" s="307"/>
      <c r="X716" s="307"/>
      <c r="Y716" s="307"/>
      <c r="Z716" s="307"/>
      <c r="AA716" s="307"/>
      <c r="AB716" s="307"/>
      <c r="AC716" s="307"/>
      <c r="AD716" s="307"/>
      <c r="AE716" s="307"/>
      <c r="AF716" s="307"/>
      <c r="AG716" s="307"/>
      <c r="AH716" s="307"/>
    </row>
    <row r="717" spans="1:34" ht="17.399999999999999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  <c r="M717" s="307"/>
      <c r="N717" s="307"/>
      <c r="O717" s="307"/>
      <c r="P717" s="307"/>
      <c r="Q717" s="307"/>
      <c r="R717" s="307"/>
      <c r="S717" s="307"/>
      <c r="T717" s="307"/>
      <c r="U717" s="307"/>
      <c r="V717" s="307"/>
      <c r="W717" s="307"/>
      <c r="X717" s="307"/>
      <c r="Y717" s="307"/>
      <c r="Z717" s="307"/>
      <c r="AA717" s="307"/>
      <c r="AB717" s="307"/>
      <c r="AC717" s="307"/>
      <c r="AD717" s="307"/>
      <c r="AE717" s="307"/>
      <c r="AF717" s="307"/>
      <c r="AG717" s="307"/>
      <c r="AH717" s="307"/>
    </row>
    <row r="718" spans="1:34" ht="17.399999999999999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  <c r="M718" s="307"/>
      <c r="N718" s="307"/>
      <c r="O718" s="307"/>
      <c r="P718" s="307"/>
      <c r="Q718" s="307"/>
      <c r="R718" s="307"/>
      <c r="S718" s="307"/>
      <c r="T718" s="307"/>
      <c r="U718" s="307"/>
      <c r="V718" s="307"/>
      <c r="W718" s="307"/>
      <c r="X718" s="307"/>
      <c r="Y718" s="307"/>
      <c r="Z718" s="307"/>
      <c r="AA718" s="307"/>
      <c r="AB718" s="307"/>
      <c r="AC718" s="307"/>
      <c r="AD718" s="307"/>
      <c r="AE718" s="307"/>
      <c r="AF718" s="307"/>
      <c r="AG718" s="307"/>
      <c r="AH718" s="307"/>
    </row>
    <row r="719" spans="1:34" ht="17.399999999999999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  <c r="M719" s="307"/>
      <c r="N719" s="307"/>
      <c r="O719" s="307"/>
      <c r="P719" s="307"/>
      <c r="Q719" s="307"/>
      <c r="R719" s="307"/>
      <c r="S719" s="307"/>
      <c r="T719" s="307"/>
      <c r="U719" s="307"/>
      <c r="V719" s="307"/>
      <c r="W719" s="307"/>
      <c r="X719" s="307"/>
      <c r="Y719" s="307"/>
      <c r="Z719" s="307"/>
      <c r="AA719" s="307"/>
      <c r="AB719" s="307"/>
      <c r="AC719" s="307"/>
      <c r="AD719" s="307"/>
      <c r="AE719" s="307"/>
      <c r="AF719" s="307"/>
      <c r="AG719" s="307"/>
      <c r="AH719" s="307"/>
    </row>
    <row r="720" spans="1:34" ht="17.399999999999999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  <c r="M720" s="307"/>
      <c r="N720" s="307"/>
      <c r="O720" s="307"/>
      <c r="P720" s="307"/>
      <c r="Q720" s="307"/>
      <c r="R720" s="307"/>
      <c r="S720" s="307"/>
      <c r="T720" s="307"/>
      <c r="U720" s="307"/>
      <c r="V720" s="307"/>
      <c r="W720" s="307"/>
      <c r="X720" s="307"/>
      <c r="Y720" s="307"/>
      <c r="Z720" s="307"/>
      <c r="AA720" s="307"/>
      <c r="AB720" s="307"/>
      <c r="AC720" s="307"/>
      <c r="AD720" s="307"/>
      <c r="AE720" s="307"/>
      <c r="AF720" s="307"/>
      <c r="AG720" s="307"/>
      <c r="AH720" s="307"/>
    </row>
    <row r="721" spans="1:34" ht="17.399999999999999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  <c r="M721" s="307"/>
      <c r="N721" s="307"/>
      <c r="O721" s="307"/>
      <c r="P721" s="307"/>
      <c r="Q721" s="307"/>
      <c r="R721" s="307"/>
      <c r="S721" s="307"/>
      <c r="T721" s="307"/>
      <c r="U721" s="307"/>
      <c r="V721" s="307"/>
      <c r="W721" s="307"/>
      <c r="X721" s="307"/>
      <c r="Y721" s="307"/>
      <c r="Z721" s="307"/>
      <c r="AA721" s="307"/>
      <c r="AB721" s="307"/>
      <c r="AC721" s="307"/>
      <c r="AD721" s="307"/>
      <c r="AE721" s="307"/>
      <c r="AF721" s="307"/>
      <c r="AG721" s="307"/>
      <c r="AH721" s="307"/>
    </row>
    <row r="722" spans="1:34" ht="17.399999999999999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  <c r="M722" s="307"/>
      <c r="N722" s="307"/>
      <c r="O722" s="307"/>
      <c r="P722" s="307"/>
      <c r="Q722" s="307"/>
      <c r="R722" s="307"/>
      <c r="S722" s="307"/>
      <c r="T722" s="307"/>
      <c r="U722" s="307"/>
      <c r="V722" s="307"/>
      <c r="W722" s="307"/>
      <c r="X722" s="307"/>
      <c r="Y722" s="307"/>
      <c r="Z722" s="307"/>
      <c r="AA722" s="307"/>
      <c r="AB722" s="307"/>
      <c r="AC722" s="307"/>
      <c r="AD722" s="307"/>
      <c r="AE722" s="307"/>
      <c r="AF722" s="307"/>
      <c r="AG722" s="307"/>
      <c r="AH722" s="307"/>
    </row>
    <row r="723" spans="1:34" ht="17.399999999999999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  <c r="M723" s="307"/>
      <c r="N723" s="307"/>
      <c r="O723" s="307"/>
      <c r="P723" s="307"/>
      <c r="Q723" s="307"/>
      <c r="R723" s="307"/>
      <c r="S723" s="307"/>
      <c r="T723" s="307"/>
      <c r="U723" s="307"/>
      <c r="V723" s="307"/>
      <c r="W723" s="307"/>
      <c r="X723" s="307"/>
      <c r="Y723" s="307"/>
      <c r="Z723" s="307"/>
      <c r="AA723" s="307"/>
      <c r="AB723" s="307"/>
      <c r="AC723" s="307"/>
      <c r="AD723" s="307"/>
      <c r="AE723" s="307"/>
      <c r="AF723" s="307"/>
      <c r="AG723" s="307"/>
      <c r="AH723" s="307"/>
    </row>
    <row r="724" spans="1:34" ht="17.399999999999999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  <c r="M724" s="307"/>
      <c r="N724" s="307"/>
      <c r="O724" s="307"/>
      <c r="P724" s="307"/>
      <c r="Q724" s="307"/>
      <c r="R724" s="307"/>
      <c r="S724" s="307"/>
      <c r="T724" s="307"/>
      <c r="U724" s="307"/>
      <c r="V724" s="307"/>
      <c r="W724" s="307"/>
      <c r="X724" s="307"/>
      <c r="Y724" s="307"/>
      <c r="Z724" s="307"/>
      <c r="AA724" s="307"/>
      <c r="AB724" s="307"/>
      <c r="AC724" s="307"/>
      <c r="AD724" s="307"/>
      <c r="AE724" s="307"/>
      <c r="AF724" s="307"/>
      <c r="AG724" s="307"/>
      <c r="AH724" s="307"/>
    </row>
    <row r="725" spans="1:34" ht="17.399999999999999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  <c r="M725" s="307"/>
      <c r="N725" s="307"/>
      <c r="O725" s="307"/>
      <c r="P725" s="307"/>
      <c r="Q725" s="307"/>
      <c r="R725" s="307"/>
      <c r="S725" s="307"/>
      <c r="T725" s="307"/>
      <c r="U725" s="307"/>
      <c r="V725" s="307"/>
      <c r="W725" s="307"/>
      <c r="X725" s="307"/>
      <c r="Y725" s="307"/>
      <c r="Z725" s="307"/>
      <c r="AA725" s="307"/>
      <c r="AB725" s="307"/>
      <c r="AC725" s="307"/>
      <c r="AD725" s="307"/>
      <c r="AE725" s="307"/>
      <c r="AF725" s="307"/>
      <c r="AG725" s="307"/>
      <c r="AH725" s="307"/>
    </row>
    <row r="726" spans="1:34" ht="17.399999999999999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  <c r="M726" s="307"/>
      <c r="N726" s="307"/>
      <c r="O726" s="307"/>
      <c r="P726" s="307"/>
      <c r="Q726" s="307"/>
      <c r="R726" s="307"/>
      <c r="S726" s="307"/>
      <c r="T726" s="307"/>
      <c r="U726" s="307"/>
      <c r="V726" s="307"/>
      <c r="W726" s="307"/>
      <c r="X726" s="307"/>
      <c r="Y726" s="307"/>
      <c r="Z726" s="307"/>
      <c r="AA726" s="307"/>
      <c r="AB726" s="307"/>
      <c r="AC726" s="307"/>
      <c r="AD726" s="307"/>
      <c r="AE726" s="307"/>
      <c r="AF726" s="307"/>
      <c r="AG726" s="307"/>
      <c r="AH726" s="307"/>
    </row>
    <row r="727" spans="1:34" ht="17.399999999999999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  <c r="M727" s="307"/>
      <c r="N727" s="307"/>
      <c r="O727" s="307"/>
      <c r="P727" s="307"/>
      <c r="Q727" s="307"/>
      <c r="R727" s="307"/>
      <c r="S727" s="307"/>
      <c r="T727" s="307"/>
      <c r="U727" s="307"/>
      <c r="V727" s="307"/>
      <c r="W727" s="307"/>
      <c r="X727" s="307"/>
      <c r="Y727" s="307"/>
      <c r="Z727" s="307"/>
      <c r="AA727" s="307"/>
      <c r="AB727" s="307"/>
      <c r="AC727" s="307"/>
      <c r="AD727" s="307"/>
      <c r="AE727" s="307"/>
      <c r="AF727" s="307"/>
      <c r="AG727" s="307"/>
      <c r="AH727" s="307"/>
    </row>
    <row r="728" spans="1:34" ht="17.399999999999999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  <c r="M728" s="307"/>
      <c r="N728" s="307"/>
      <c r="O728" s="307"/>
      <c r="P728" s="307"/>
      <c r="Q728" s="307"/>
      <c r="R728" s="307"/>
      <c r="S728" s="307"/>
      <c r="T728" s="307"/>
      <c r="U728" s="307"/>
      <c r="V728" s="307"/>
      <c r="W728" s="307"/>
      <c r="X728" s="307"/>
      <c r="Y728" s="307"/>
      <c r="Z728" s="307"/>
      <c r="AA728" s="307"/>
      <c r="AB728" s="307"/>
      <c r="AC728" s="307"/>
      <c r="AD728" s="307"/>
      <c r="AE728" s="307"/>
      <c r="AF728" s="307"/>
      <c r="AG728" s="307"/>
      <c r="AH728" s="307"/>
    </row>
    <row r="729" spans="1:34" ht="17.399999999999999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  <c r="M729" s="307"/>
      <c r="N729" s="307"/>
      <c r="O729" s="307"/>
      <c r="P729" s="307"/>
      <c r="Q729" s="307"/>
      <c r="R729" s="307"/>
      <c r="S729" s="307"/>
      <c r="T729" s="307"/>
      <c r="U729" s="307"/>
      <c r="V729" s="307"/>
      <c r="W729" s="307"/>
      <c r="X729" s="307"/>
      <c r="Y729" s="307"/>
      <c r="Z729" s="307"/>
      <c r="AA729" s="307"/>
      <c r="AB729" s="307"/>
      <c r="AC729" s="307"/>
      <c r="AD729" s="307"/>
      <c r="AE729" s="307"/>
      <c r="AF729" s="307"/>
      <c r="AG729" s="307"/>
      <c r="AH729" s="307"/>
    </row>
    <row r="730" spans="1:34" ht="17.399999999999999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  <c r="M730" s="307"/>
      <c r="N730" s="307"/>
      <c r="O730" s="307"/>
      <c r="P730" s="307"/>
      <c r="Q730" s="307"/>
      <c r="R730" s="307"/>
      <c r="S730" s="307"/>
      <c r="T730" s="307"/>
      <c r="U730" s="307"/>
      <c r="V730" s="307"/>
      <c r="W730" s="307"/>
      <c r="X730" s="307"/>
      <c r="Y730" s="307"/>
      <c r="Z730" s="307"/>
      <c r="AA730" s="307"/>
      <c r="AB730" s="307"/>
      <c r="AC730" s="307"/>
      <c r="AD730" s="307"/>
      <c r="AE730" s="307"/>
      <c r="AF730" s="307"/>
      <c r="AG730" s="307"/>
      <c r="AH730" s="307"/>
    </row>
    <row r="731" spans="1:34" ht="17.399999999999999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  <c r="M731" s="307"/>
      <c r="N731" s="307"/>
      <c r="O731" s="307"/>
      <c r="P731" s="307"/>
      <c r="Q731" s="307"/>
      <c r="R731" s="307"/>
      <c r="S731" s="307"/>
      <c r="T731" s="307"/>
      <c r="U731" s="307"/>
      <c r="V731" s="307"/>
      <c r="W731" s="307"/>
      <c r="X731" s="307"/>
      <c r="Y731" s="307"/>
      <c r="Z731" s="307"/>
      <c r="AA731" s="307"/>
      <c r="AB731" s="307"/>
      <c r="AC731" s="307"/>
      <c r="AD731" s="307"/>
      <c r="AE731" s="307"/>
      <c r="AF731" s="307"/>
      <c r="AG731" s="307"/>
      <c r="AH731" s="307"/>
    </row>
    <row r="732" spans="1:34" ht="17.399999999999999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  <c r="M732" s="307"/>
      <c r="N732" s="307"/>
      <c r="O732" s="307"/>
      <c r="P732" s="307"/>
      <c r="Q732" s="307"/>
      <c r="R732" s="307"/>
      <c r="S732" s="307"/>
      <c r="T732" s="307"/>
      <c r="U732" s="307"/>
      <c r="V732" s="307"/>
      <c r="W732" s="307"/>
      <c r="X732" s="307"/>
      <c r="Y732" s="307"/>
      <c r="Z732" s="307"/>
      <c r="AA732" s="307"/>
      <c r="AB732" s="307"/>
      <c r="AC732" s="307"/>
      <c r="AD732" s="307"/>
      <c r="AE732" s="307"/>
      <c r="AF732" s="307"/>
      <c r="AG732" s="307"/>
      <c r="AH732" s="307"/>
    </row>
    <row r="733" spans="1:34" ht="17.399999999999999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  <c r="M733" s="307"/>
      <c r="N733" s="307"/>
      <c r="O733" s="307"/>
      <c r="P733" s="307"/>
      <c r="Q733" s="307"/>
      <c r="R733" s="307"/>
      <c r="S733" s="307"/>
      <c r="T733" s="307"/>
      <c r="U733" s="307"/>
      <c r="V733" s="307"/>
      <c r="W733" s="307"/>
      <c r="X733" s="307"/>
      <c r="Y733" s="307"/>
      <c r="Z733" s="307"/>
      <c r="AA733" s="307"/>
      <c r="AB733" s="307"/>
      <c r="AC733" s="307"/>
      <c r="AD733" s="307"/>
      <c r="AE733" s="307"/>
      <c r="AF733" s="307"/>
      <c r="AG733" s="307"/>
      <c r="AH733" s="307"/>
    </row>
    <row r="734" spans="1:34" ht="17.399999999999999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  <c r="M734" s="307"/>
      <c r="N734" s="307"/>
      <c r="O734" s="307"/>
      <c r="P734" s="307"/>
      <c r="Q734" s="307"/>
      <c r="R734" s="307"/>
      <c r="S734" s="307"/>
      <c r="T734" s="307"/>
      <c r="U734" s="307"/>
      <c r="V734" s="307"/>
      <c r="W734" s="307"/>
      <c r="X734" s="307"/>
      <c r="Y734" s="307"/>
      <c r="Z734" s="307"/>
      <c r="AA734" s="307"/>
      <c r="AB734" s="307"/>
      <c r="AC734" s="307"/>
      <c r="AD734" s="307"/>
      <c r="AE734" s="307"/>
      <c r="AF734" s="307"/>
      <c r="AG734" s="307"/>
      <c r="AH734" s="307"/>
    </row>
    <row r="735" spans="1:34" ht="17.399999999999999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  <c r="M735" s="307"/>
      <c r="N735" s="307"/>
      <c r="O735" s="307"/>
      <c r="P735" s="307"/>
      <c r="Q735" s="307"/>
      <c r="R735" s="307"/>
      <c r="S735" s="307"/>
      <c r="T735" s="307"/>
      <c r="U735" s="307"/>
      <c r="V735" s="307"/>
      <c r="W735" s="307"/>
      <c r="X735" s="307"/>
      <c r="Y735" s="307"/>
      <c r="Z735" s="307"/>
      <c r="AA735" s="307"/>
      <c r="AB735" s="307"/>
      <c r="AC735" s="307"/>
      <c r="AD735" s="307"/>
      <c r="AE735" s="307"/>
      <c r="AF735" s="307"/>
      <c r="AG735" s="307"/>
      <c r="AH735" s="307"/>
    </row>
    <row r="736" spans="1:34" ht="17.399999999999999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  <c r="M736" s="307"/>
      <c r="N736" s="307"/>
      <c r="O736" s="307"/>
      <c r="P736" s="307"/>
      <c r="Q736" s="307"/>
      <c r="R736" s="307"/>
      <c r="S736" s="307"/>
      <c r="T736" s="307"/>
      <c r="U736" s="307"/>
      <c r="V736" s="307"/>
      <c r="W736" s="307"/>
      <c r="X736" s="307"/>
      <c r="Y736" s="307"/>
      <c r="Z736" s="307"/>
      <c r="AA736" s="307"/>
      <c r="AB736" s="307"/>
      <c r="AC736" s="307"/>
      <c r="AD736" s="307"/>
      <c r="AE736" s="307"/>
      <c r="AF736" s="307"/>
      <c r="AG736" s="307"/>
      <c r="AH736" s="307"/>
    </row>
    <row r="737" spans="1:34" ht="17.399999999999999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  <c r="M737" s="307"/>
      <c r="N737" s="307"/>
      <c r="O737" s="307"/>
      <c r="P737" s="307"/>
      <c r="Q737" s="307"/>
      <c r="R737" s="307"/>
      <c r="S737" s="307"/>
      <c r="T737" s="307"/>
      <c r="U737" s="307"/>
      <c r="V737" s="307"/>
      <c r="W737" s="307"/>
      <c r="X737" s="307"/>
      <c r="Y737" s="307"/>
      <c r="Z737" s="307"/>
      <c r="AA737" s="307"/>
      <c r="AB737" s="307"/>
      <c r="AC737" s="307"/>
      <c r="AD737" s="307"/>
      <c r="AE737" s="307"/>
      <c r="AF737" s="307"/>
      <c r="AG737" s="307"/>
      <c r="AH737" s="307"/>
    </row>
    <row r="738" spans="1:34" ht="17.399999999999999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  <c r="M738" s="307"/>
      <c r="N738" s="307"/>
      <c r="O738" s="307"/>
      <c r="P738" s="307"/>
      <c r="Q738" s="307"/>
      <c r="R738" s="307"/>
      <c r="S738" s="307"/>
      <c r="T738" s="307"/>
      <c r="U738" s="307"/>
      <c r="V738" s="307"/>
      <c r="W738" s="307"/>
      <c r="X738" s="307"/>
      <c r="Y738" s="307"/>
      <c r="Z738" s="307"/>
      <c r="AA738" s="307"/>
      <c r="AB738" s="307"/>
      <c r="AC738" s="307"/>
      <c r="AD738" s="307"/>
      <c r="AE738" s="307"/>
      <c r="AF738" s="307"/>
      <c r="AG738" s="307"/>
      <c r="AH738" s="307"/>
    </row>
    <row r="739" spans="1:34" ht="17.399999999999999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  <c r="M739" s="307"/>
      <c r="N739" s="307"/>
      <c r="O739" s="307"/>
      <c r="P739" s="307"/>
      <c r="Q739" s="307"/>
      <c r="R739" s="307"/>
      <c r="S739" s="307"/>
      <c r="T739" s="307"/>
      <c r="U739" s="307"/>
      <c r="V739" s="307"/>
      <c r="W739" s="307"/>
      <c r="X739" s="307"/>
      <c r="Y739" s="307"/>
      <c r="Z739" s="307"/>
      <c r="AA739" s="307"/>
      <c r="AB739" s="307"/>
      <c r="AC739" s="307"/>
      <c r="AD739" s="307"/>
      <c r="AE739" s="307"/>
      <c r="AF739" s="307"/>
      <c r="AG739" s="307"/>
      <c r="AH739" s="307"/>
    </row>
    <row r="740" spans="1:34" ht="17.399999999999999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  <c r="M740" s="307"/>
      <c r="N740" s="307"/>
      <c r="O740" s="307"/>
      <c r="P740" s="307"/>
      <c r="Q740" s="307"/>
      <c r="R740" s="307"/>
      <c r="S740" s="307"/>
      <c r="T740" s="307"/>
      <c r="U740" s="307"/>
      <c r="V740" s="307"/>
      <c r="W740" s="307"/>
      <c r="X740" s="307"/>
      <c r="Y740" s="307"/>
      <c r="Z740" s="307"/>
      <c r="AA740" s="307"/>
      <c r="AB740" s="307"/>
      <c r="AC740" s="307"/>
      <c r="AD740" s="307"/>
      <c r="AE740" s="307"/>
      <c r="AF740" s="307"/>
      <c r="AG740" s="307"/>
      <c r="AH740" s="307"/>
    </row>
    <row r="741" spans="1:34" ht="17.399999999999999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  <c r="M741" s="307"/>
      <c r="N741" s="307"/>
      <c r="O741" s="307"/>
      <c r="P741" s="307"/>
      <c r="Q741" s="307"/>
      <c r="R741" s="307"/>
      <c r="S741" s="307"/>
      <c r="T741" s="307"/>
      <c r="U741" s="307"/>
      <c r="V741" s="307"/>
      <c r="W741" s="307"/>
      <c r="X741" s="307"/>
      <c r="Y741" s="307"/>
      <c r="Z741" s="307"/>
      <c r="AA741" s="307"/>
      <c r="AB741" s="307"/>
      <c r="AC741" s="307"/>
      <c r="AD741" s="307"/>
      <c r="AE741" s="307"/>
      <c r="AF741" s="307"/>
      <c r="AG741" s="307"/>
      <c r="AH741" s="307"/>
    </row>
    <row r="742" spans="1:34" ht="17.399999999999999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  <c r="M742" s="307"/>
      <c r="N742" s="307"/>
      <c r="O742" s="307"/>
      <c r="P742" s="307"/>
      <c r="Q742" s="307"/>
      <c r="R742" s="307"/>
      <c r="S742" s="307"/>
      <c r="T742" s="307"/>
      <c r="U742" s="307"/>
      <c r="V742" s="307"/>
      <c r="W742" s="307"/>
      <c r="X742" s="307"/>
      <c r="Y742" s="307"/>
      <c r="Z742" s="307"/>
      <c r="AA742" s="307"/>
      <c r="AB742" s="307"/>
      <c r="AC742" s="307"/>
      <c r="AD742" s="307"/>
      <c r="AE742" s="307"/>
      <c r="AF742" s="307"/>
      <c r="AG742" s="307"/>
      <c r="AH742" s="307"/>
    </row>
    <row r="743" spans="1:34" ht="17.399999999999999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  <c r="M743" s="307"/>
      <c r="N743" s="307"/>
      <c r="O743" s="307"/>
      <c r="P743" s="307"/>
      <c r="Q743" s="307"/>
      <c r="R743" s="307"/>
      <c r="S743" s="307"/>
      <c r="T743" s="307"/>
      <c r="U743" s="307"/>
      <c r="V743" s="307"/>
      <c r="W743" s="307"/>
      <c r="X743" s="307"/>
      <c r="Y743" s="307"/>
      <c r="Z743" s="307"/>
      <c r="AA743" s="307"/>
      <c r="AB743" s="307"/>
      <c r="AC743" s="307"/>
      <c r="AD743" s="307"/>
      <c r="AE743" s="307"/>
      <c r="AF743" s="307"/>
      <c r="AG743" s="307"/>
      <c r="AH743" s="307"/>
    </row>
    <row r="744" spans="1:34" ht="17.399999999999999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  <c r="M744" s="307"/>
      <c r="N744" s="307"/>
      <c r="O744" s="307"/>
      <c r="P744" s="307"/>
      <c r="Q744" s="307"/>
      <c r="R744" s="307"/>
      <c r="S744" s="307"/>
      <c r="T744" s="307"/>
      <c r="U744" s="307"/>
      <c r="V744" s="307"/>
      <c r="W744" s="307"/>
      <c r="X744" s="307"/>
      <c r="Y744" s="307"/>
      <c r="Z744" s="307"/>
      <c r="AA744" s="307"/>
      <c r="AB744" s="307"/>
      <c r="AC744" s="307"/>
      <c r="AD744" s="307"/>
      <c r="AE744" s="307"/>
      <c r="AF744" s="307"/>
      <c r="AG744" s="307"/>
      <c r="AH744" s="307"/>
    </row>
    <row r="745" spans="1:34" ht="17.399999999999999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  <c r="M745" s="307"/>
      <c r="N745" s="307"/>
      <c r="O745" s="307"/>
      <c r="P745" s="307"/>
      <c r="Q745" s="307"/>
      <c r="R745" s="307"/>
      <c r="S745" s="307"/>
      <c r="T745" s="307"/>
      <c r="U745" s="307"/>
      <c r="V745" s="307"/>
      <c r="W745" s="307"/>
      <c r="X745" s="307"/>
      <c r="Y745" s="307"/>
      <c r="Z745" s="307"/>
      <c r="AA745" s="307"/>
      <c r="AB745" s="307"/>
      <c r="AC745" s="307"/>
      <c r="AD745" s="307"/>
      <c r="AE745" s="307"/>
      <c r="AF745" s="307"/>
      <c r="AG745" s="307"/>
      <c r="AH745" s="307"/>
    </row>
    <row r="746" spans="1:34" ht="17.399999999999999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  <c r="M746" s="307"/>
      <c r="N746" s="307"/>
      <c r="O746" s="307"/>
      <c r="P746" s="307"/>
      <c r="Q746" s="307"/>
      <c r="R746" s="307"/>
      <c r="S746" s="307"/>
      <c r="T746" s="307"/>
      <c r="U746" s="307"/>
      <c r="V746" s="307"/>
      <c r="W746" s="307"/>
      <c r="X746" s="307"/>
      <c r="Y746" s="307"/>
      <c r="Z746" s="307"/>
      <c r="AA746" s="307"/>
      <c r="AB746" s="307"/>
      <c r="AC746" s="307"/>
      <c r="AD746" s="307"/>
      <c r="AE746" s="307"/>
      <c r="AF746" s="307"/>
      <c r="AG746" s="307"/>
      <c r="AH746" s="307"/>
    </row>
    <row r="747" spans="1:34" ht="17.399999999999999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  <c r="M747" s="307"/>
      <c r="N747" s="307"/>
      <c r="O747" s="307"/>
      <c r="P747" s="307"/>
      <c r="Q747" s="307"/>
      <c r="R747" s="307"/>
      <c r="S747" s="307"/>
      <c r="T747" s="307"/>
      <c r="U747" s="307"/>
      <c r="V747" s="307"/>
      <c r="W747" s="307"/>
      <c r="X747" s="307"/>
      <c r="Y747" s="307"/>
      <c r="Z747" s="307"/>
      <c r="AA747" s="307"/>
      <c r="AB747" s="307"/>
      <c r="AC747" s="307"/>
      <c r="AD747" s="307"/>
      <c r="AE747" s="307"/>
      <c r="AF747" s="307"/>
      <c r="AG747" s="307"/>
      <c r="AH747" s="307"/>
    </row>
    <row r="748" spans="1:34" ht="17.399999999999999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  <c r="M748" s="307"/>
      <c r="N748" s="307"/>
      <c r="O748" s="307"/>
      <c r="P748" s="307"/>
      <c r="Q748" s="307"/>
      <c r="R748" s="307"/>
      <c r="S748" s="307"/>
      <c r="T748" s="307"/>
      <c r="U748" s="307"/>
      <c r="V748" s="307"/>
      <c r="W748" s="307"/>
      <c r="X748" s="307"/>
      <c r="Y748" s="307"/>
      <c r="Z748" s="307"/>
      <c r="AA748" s="307"/>
      <c r="AB748" s="307"/>
      <c r="AC748" s="307"/>
      <c r="AD748" s="307"/>
      <c r="AE748" s="307"/>
      <c r="AF748" s="307"/>
      <c r="AG748" s="307"/>
      <c r="AH748" s="307"/>
    </row>
    <row r="749" spans="1:34" ht="17.399999999999999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  <c r="M749" s="307"/>
      <c r="N749" s="307"/>
      <c r="O749" s="307"/>
      <c r="P749" s="307"/>
      <c r="Q749" s="307"/>
      <c r="R749" s="307"/>
      <c r="S749" s="307"/>
      <c r="T749" s="307"/>
      <c r="U749" s="307"/>
      <c r="V749" s="307"/>
      <c r="W749" s="307"/>
      <c r="X749" s="307"/>
      <c r="Y749" s="307"/>
      <c r="Z749" s="307"/>
      <c r="AA749" s="307"/>
      <c r="AB749" s="307"/>
      <c r="AC749" s="307"/>
      <c r="AD749" s="307"/>
      <c r="AE749" s="307"/>
      <c r="AF749" s="307"/>
      <c r="AG749" s="307"/>
      <c r="AH749" s="307"/>
    </row>
    <row r="750" spans="1:34" ht="17.399999999999999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  <c r="M750" s="307"/>
      <c r="N750" s="307"/>
      <c r="O750" s="307"/>
      <c r="P750" s="307"/>
      <c r="Q750" s="307"/>
      <c r="R750" s="307"/>
      <c r="S750" s="307"/>
      <c r="T750" s="307"/>
      <c r="U750" s="307"/>
      <c r="V750" s="307"/>
      <c r="W750" s="307"/>
      <c r="X750" s="307"/>
      <c r="Y750" s="307"/>
      <c r="Z750" s="307"/>
      <c r="AA750" s="307"/>
      <c r="AB750" s="307"/>
      <c r="AC750" s="307"/>
      <c r="AD750" s="307"/>
      <c r="AE750" s="307"/>
      <c r="AF750" s="307"/>
      <c r="AG750" s="307"/>
      <c r="AH750" s="307"/>
    </row>
    <row r="751" spans="1:34" ht="17.399999999999999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  <c r="M751" s="307"/>
      <c r="N751" s="307"/>
      <c r="O751" s="307"/>
      <c r="P751" s="307"/>
      <c r="Q751" s="307"/>
      <c r="R751" s="307"/>
      <c r="S751" s="307"/>
      <c r="T751" s="307"/>
      <c r="U751" s="307"/>
      <c r="V751" s="307"/>
      <c r="W751" s="307"/>
      <c r="X751" s="307"/>
      <c r="Y751" s="307"/>
      <c r="Z751" s="307"/>
      <c r="AA751" s="307"/>
      <c r="AB751" s="307"/>
      <c r="AC751" s="307"/>
      <c r="AD751" s="307"/>
      <c r="AE751" s="307"/>
      <c r="AF751" s="307"/>
      <c r="AG751" s="307"/>
      <c r="AH751" s="307"/>
    </row>
    <row r="752" spans="1:34" ht="17.399999999999999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  <c r="M752" s="307"/>
      <c r="N752" s="307"/>
      <c r="O752" s="307"/>
      <c r="P752" s="307"/>
      <c r="Q752" s="307"/>
      <c r="R752" s="307"/>
      <c r="S752" s="307"/>
      <c r="T752" s="307"/>
      <c r="U752" s="307"/>
      <c r="V752" s="307"/>
      <c r="W752" s="307"/>
      <c r="X752" s="307"/>
      <c r="Y752" s="307"/>
      <c r="Z752" s="307"/>
      <c r="AA752" s="307"/>
      <c r="AB752" s="307"/>
      <c r="AC752" s="307"/>
      <c r="AD752" s="307"/>
      <c r="AE752" s="307"/>
      <c r="AF752" s="307"/>
      <c r="AG752" s="307"/>
      <c r="AH752" s="307"/>
    </row>
    <row r="753" spans="1:34" ht="17.399999999999999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  <c r="M753" s="307"/>
      <c r="N753" s="307"/>
      <c r="O753" s="307"/>
      <c r="P753" s="307"/>
      <c r="Q753" s="307"/>
      <c r="R753" s="307"/>
      <c r="S753" s="307"/>
      <c r="T753" s="307"/>
      <c r="U753" s="307"/>
      <c r="V753" s="307"/>
      <c r="W753" s="307"/>
      <c r="X753" s="307"/>
      <c r="Y753" s="307"/>
      <c r="Z753" s="307"/>
      <c r="AA753" s="307"/>
      <c r="AB753" s="307"/>
      <c r="AC753" s="307"/>
      <c r="AD753" s="307"/>
      <c r="AE753" s="307"/>
      <c r="AF753" s="307"/>
      <c r="AG753" s="307"/>
      <c r="AH753" s="307"/>
    </row>
    <row r="754" spans="1:34" ht="17.399999999999999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  <c r="M754" s="307"/>
      <c r="N754" s="307"/>
      <c r="O754" s="307"/>
      <c r="P754" s="307"/>
      <c r="Q754" s="307"/>
      <c r="R754" s="307"/>
      <c r="S754" s="307"/>
      <c r="T754" s="307"/>
      <c r="U754" s="307"/>
      <c r="V754" s="307"/>
      <c r="W754" s="307"/>
      <c r="X754" s="307"/>
      <c r="Y754" s="307"/>
      <c r="Z754" s="307"/>
      <c r="AA754" s="307"/>
      <c r="AB754" s="307"/>
      <c r="AC754" s="307"/>
      <c r="AD754" s="307"/>
      <c r="AE754" s="307"/>
      <c r="AF754" s="307"/>
      <c r="AG754" s="307"/>
      <c r="AH754" s="307"/>
    </row>
    <row r="755" spans="1:34" ht="17.399999999999999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  <c r="M755" s="307"/>
      <c r="N755" s="307"/>
      <c r="O755" s="307"/>
      <c r="P755" s="307"/>
      <c r="Q755" s="307"/>
      <c r="R755" s="307"/>
      <c r="S755" s="307"/>
      <c r="T755" s="307"/>
      <c r="U755" s="307"/>
      <c r="V755" s="307"/>
      <c r="W755" s="307"/>
      <c r="X755" s="307"/>
      <c r="Y755" s="307"/>
      <c r="Z755" s="307"/>
      <c r="AA755" s="307"/>
      <c r="AB755" s="307"/>
      <c r="AC755" s="307"/>
      <c r="AD755" s="307"/>
      <c r="AE755" s="307"/>
      <c r="AF755" s="307"/>
      <c r="AG755" s="307"/>
      <c r="AH755" s="307"/>
    </row>
    <row r="756" spans="1:34" ht="17.399999999999999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  <c r="M756" s="307"/>
      <c r="N756" s="307"/>
      <c r="O756" s="307"/>
      <c r="P756" s="307"/>
      <c r="Q756" s="307"/>
      <c r="R756" s="307"/>
      <c r="S756" s="307"/>
      <c r="T756" s="307"/>
      <c r="U756" s="307"/>
      <c r="V756" s="307"/>
      <c r="W756" s="307"/>
      <c r="X756" s="307"/>
      <c r="Y756" s="307"/>
      <c r="Z756" s="307"/>
      <c r="AA756" s="307"/>
      <c r="AB756" s="307"/>
      <c r="AC756" s="307"/>
      <c r="AD756" s="307"/>
      <c r="AE756" s="307"/>
      <c r="AF756" s="307"/>
      <c r="AG756" s="307"/>
      <c r="AH756" s="307"/>
    </row>
    <row r="757" spans="1:34" ht="17.399999999999999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  <c r="M757" s="307"/>
      <c r="N757" s="307"/>
      <c r="O757" s="307"/>
      <c r="P757" s="307"/>
      <c r="Q757" s="307"/>
      <c r="R757" s="307"/>
      <c r="S757" s="307"/>
      <c r="T757" s="307"/>
      <c r="U757" s="307"/>
      <c r="V757" s="307"/>
      <c r="W757" s="307"/>
      <c r="X757" s="307"/>
      <c r="Y757" s="307"/>
      <c r="Z757" s="307"/>
      <c r="AA757" s="307"/>
      <c r="AB757" s="307"/>
      <c r="AC757" s="307"/>
      <c r="AD757" s="307"/>
      <c r="AE757" s="307"/>
      <c r="AF757" s="307"/>
      <c r="AG757" s="307"/>
      <c r="AH757" s="307"/>
    </row>
    <row r="758" spans="1:34" ht="17.399999999999999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  <c r="M758" s="307"/>
      <c r="N758" s="307"/>
      <c r="O758" s="307"/>
      <c r="P758" s="307"/>
      <c r="Q758" s="307"/>
      <c r="R758" s="307"/>
      <c r="S758" s="307"/>
      <c r="T758" s="307"/>
      <c r="U758" s="307"/>
      <c r="V758" s="307"/>
      <c r="W758" s="307"/>
      <c r="X758" s="307"/>
      <c r="Y758" s="307"/>
      <c r="Z758" s="307"/>
      <c r="AA758" s="307"/>
      <c r="AB758" s="307"/>
      <c r="AC758" s="307"/>
      <c r="AD758" s="307"/>
      <c r="AE758" s="307"/>
      <c r="AF758" s="307"/>
      <c r="AG758" s="307"/>
      <c r="AH758" s="307"/>
    </row>
    <row r="759" spans="1:34" ht="17.399999999999999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  <c r="M759" s="307"/>
      <c r="N759" s="307"/>
      <c r="O759" s="307"/>
      <c r="P759" s="307"/>
      <c r="Q759" s="307"/>
      <c r="R759" s="307"/>
      <c r="S759" s="307"/>
      <c r="T759" s="307"/>
      <c r="U759" s="307"/>
      <c r="V759" s="307"/>
      <c r="W759" s="307"/>
      <c r="X759" s="307"/>
      <c r="Y759" s="307"/>
      <c r="Z759" s="307"/>
      <c r="AA759" s="307"/>
      <c r="AB759" s="307"/>
      <c r="AC759" s="307"/>
      <c r="AD759" s="307"/>
      <c r="AE759" s="307"/>
      <c r="AF759" s="307"/>
      <c r="AG759" s="307"/>
      <c r="AH759" s="307"/>
    </row>
    <row r="760" spans="1:34" ht="17.399999999999999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  <c r="M760" s="307"/>
      <c r="N760" s="307"/>
      <c r="O760" s="307"/>
      <c r="P760" s="307"/>
      <c r="Q760" s="307"/>
      <c r="R760" s="307"/>
      <c r="S760" s="307"/>
      <c r="T760" s="307"/>
      <c r="U760" s="307"/>
      <c r="V760" s="307"/>
      <c r="W760" s="307"/>
      <c r="X760" s="307"/>
      <c r="Y760" s="307"/>
      <c r="Z760" s="307"/>
      <c r="AA760" s="307"/>
      <c r="AB760" s="307"/>
      <c r="AC760" s="307"/>
      <c r="AD760" s="307"/>
      <c r="AE760" s="307"/>
      <c r="AF760" s="307"/>
      <c r="AG760" s="307"/>
      <c r="AH760" s="307"/>
    </row>
    <row r="761" spans="1:34" ht="17.399999999999999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  <c r="M761" s="307"/>
      <c r="N761" s="307"/>
      <c r="O761" s="307"/>
      <c r="P761" s="307"/>
      <c r="Q761" s="307"/>
      <c r="R761" s="307"/>
      <c r="S761" s="307"/>
      <c r="T761" s="307"/>
      <c r="U761" s="307"/>
      <c r="V761" s="307"/>
      <c r="W761" s="307"/>
      <c r="X761" s="307"/>
      <c r="Y761" s="307"/>
      <c r="Z761" s="307"/>
      <c r="AA761" s="307"/>
      <c r="AB761" s="307"/>
      <c r="AC761" s="307"/>
      <c r="AD761" s="307"/>
      <c r="AE761" s="307"/>
      <c r="AF761" s="307"/>
      <c r="AG761" s="307"/>
      <c r="AH761" s="307"/>
    </row>
    <row r="762" spans="1:34" ht="17.399999999999999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  <c r="M762" s="307"/>
      <c r="N762" s="307"/>
      <c r="O762" s="307"/>
      <c r="P762" s="307"/>
      <c r="Q762" s="307"/>
      <c r="R762" s="307"/>
      <c r="S762" s="307"/>
      <c r="T762" s="307"/>
      <c r="U762" s="307"/>
      <c r="V762" s="307"/>
      <c r="W762" s="307"/>
      <c r="X762" s="307"/>
      <c r="Y762" s="307"/>
      <c r="Z762" s="307"/>
      <c r="AA762" s="307"/>
      <c r="AB762" s="307"/>
      <c r="AC762" s="307"/>
      <c r="AD762" s="307"/>
      <c r="AE762" s="307"/>
      <c r="AF762" s="307"/>
      <c r="AG762" s="307"/>
      <c r="AH762" s="307"/>
    </row>
    <row r="763" spans="1:34" ht="17.399999999999999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  <c r="M763" s="307"/>
      <c r="N763" s="307"/>
      <c r="O763" s="307"/>
      <c r="P763" s="307"/>
      <c r="Q763" s="307"/>
      <c r="R763" s="307"/>
      <c r="S763" s="307"/>
      <c r="T763" s="307"/>
      <c r="U763" s="307"/>
      <c r="V763" s="307"/>
      <c r="W763" s="307"/>
      <c r="X763" s="307"/>
      <c r="Y763" s="307"/>
      <c r="Z763" s="307"/>
      <c r="AA763" s="307"/>
      <c r="AB763" s="307"/>
      <c r="AC763" s="307"/>
      <c r="AD763" s="307"/>
      <c r="AE763" s="307"/>
      <c r="AF763" s="307"/>
      <c r="AG763" s="307"/>
      <c r="AH763" s="307"/>
    </row>
    <row r="764" spans="1:34" ht="17.399999999999999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  <c r="M764" s="307"/>
      <c r="N764" s="307"/>
      <c r="O764" s="307"/>
      <c r="P764" s="307"/>
      <c r="Q764" s="307"/>
      <c r="R764" s="307"/>
      <c r="S764" s="307"/>
      <c r="T764" s="307"/>
      <c r="U764" s="307"/>
      <c r="V764" s="307"/>
      <c r="W764" s="307"/>
      <c r="X764" s="307"/>
      <c r="Y764" s="307"/>
      <c r="Z764" s="307"/>
      <c r="AA764" s="307"/>
      <c r="AB764" s="307"/>
      <c r="AC764" s="307"/>
      <c r="AD764" s="307"/>
      <c r="AE764" s="307"/>
      <c r="AF764" s="307"/>
      <c r="AG764" s="307"/>
      <c r="AH764" s="307"/>
    </row>
    <row r="765" spans="1:34" ht="17.399999999999999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  <c r="M765" s="307"/>
      <c r="N765" s="307"/>
      <c r="O765" s="307"/>
      <c r="P765" s="307"/>
      <c r="Q765" s="307"/>
      <c r="R765" s="307"/>
      <c r="S765" s="307"/>
      <c r="T765" s="307"/>
      <c r="U765" s="307"/>
      <c r="V765" s="307"/>
      <c r="W765" s="307"/>
      <c r="X765" s="307"/>
      <c r="Y765" s="307"/>
      <c r="Z765" s="307"/>
      <c r="AA765" s="307"/>
      <c r="AB765" s="307"/>
      <c r="AC765" s="307"/>
      <c r="AD765" s="307"/>
      <c r="AE765" s="307"/>
      <c r="AF765" s="307"/>
      <c r="AG765" s="307"/>
      <c r="AH765" s="307"/>
    </row>
    <row r="766" spans="1:34" ht="17.399999999999999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  <c r="M766" s="307"/>
      <c r="N766" s="307"/>
      <c r="O766" s="307"/>
      <c r="P766" s="307"/>
      <c r="Q766" s="307"/>
      <c r="R766" s="307"/>
      <c r="S766" s="307"/>
      <c r="T766" s="307"/>
      <c r="U766" s="307"/>
      <c r="V766" s="307"/>
      <c r="W766" s="307"/>
      <c r="X766" s="307"/>
      <c r="Y766" s="307"/>
      <c r="Z766" s="307"/>
      <c r="AA766" s="307"/>
      <c r="AB766" s="307"/>
      <c r="AC766" s="307"/>
      <c r="AD766" s="307"/>
      <c r="AE766" s="307"/>
      <c r="AF766" s="307"/>
      <c r="AG766" s="307"/>
      <c r="AH766" s="307"/>
    </row>
    <row r="767" spans="1:34" ht="17.399999999999999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  <c r="M767" s="307"/>
      <c r="N767" s="307"/>
      <c r="O767" s="307"/>
      <c r="P767" s="307"/>
      <c r="Q767" s="307"/>
      <c r="R767" s="307"/>
      <c r="S767" s="307"/>
      <c r="T767" s="307"/>
      <c r="U767" s="307"/>
      <c r="V767" s="307"/>
      <c r="W767" s="307"/>
      <c r="X767" s="307"/>
      <c r="Y767" s="307"/>
      <c r="Z767" s="307"/>
      <c r="AA767" s="307"/>
      <c r="AB767" s="307"/>
      <c r="AC767" s="307"/>
      <c r="AD767" s="307"/>
      <c r="AE767" s="307"/>
      <c r="AF767" s="307"/>
      <c r="AG767" s="307"/>
      <c r="AH767" s="307"/>
    </row>
    <row r="768" spans="1:34" ht="17.399999999999999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  <c r="M768" s="307"/>
      <c r="N768" s="307"/>
      <c r="O768" s="307"/>
      <c r="P768" s="307"/>
      <c r="Q768" s="307"/>
      <c r="R768" s="307"/>
      <c r="S768" s="307"/>
      <c r="T768" s="307"/>
      <c r="U768" s="307"/>
      <c r="V768" s="307"/>
      <c r="W768" s="307"/>
      <c r="X768" s="307"/>
      <c r="Y768" s="307"/>
      <c r="Z768" s="307"/>
      <c r="AA768" s="307"/>
      <c r="AB768" s="307"/>
      <c r="AC768" s="307"/>
      <c r="AD768" s="307"/>
      <c r="AE768" s="307"/>
      <c r="AF768" s="307"/>
      <c r="AG768" s="307"/>
      <c r="AH768" s="307"/>
    </row>
    <row r="769" spans="1:34" ht="17.399999999999999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  <c r="M769" s="307"/>
      <c r="N769" s="307"/>
      <c r="O769" s="307"/>
      <c r="P769" s="307"/>
      <c r="Q769" s="307"/>
      <c r="R769" s="307"/>
      <c r="S769" s="307"/>
      <c r="T769" s="307"/>
      <c r="U769" s="307"/>
      <c r="V769" s="307"/>
      <c r="W769" s="307"/>
      <c r="X769" s="307"/>
      <c r="Y769" s="307"/>
      <c r="Z769" s="307"/>
      <c r="AA769" s="307"/>
      <c r="AB769" s="307"/>
      <c r="AC769" s="307"/>
      <c r="AD769" s="307"/>
      <c r="AE769" s="307"/>
      <c r="AF769" s="307"/>
      <c r="AG769" s="307"/>
      <c r="AH769" s="307"/>
    </row>
    <row r="770" spans="1:34" ht="17.399999999999999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  <c r="M770" s="307"/>
      <c r="N770" s="307"/>
      <c r="O770" s="307"/>
      <c r="P770" s="307"/>
      <c r="Q770" s="307"/>
      <c r="R770" s="307"/>
      <c r="S770" s="307"/>
      <c r="T770" s="307"/>
      <c r="U770" s="307"/>
      <c r="V770" s="307"/>
      <c r="W770" s="307"/>
      <c r="X770" s="307"/>
      <c r="Y770" s="307"/>
      <c r="Z770" s="307"/>
      <c r="AA770" s="307"/>
      <c r="AB770" s="307"/>
      <c r="AC770" s="307"/>
      <c r="AD770" s="307"/>
      <c r="AE770" s="307"/>
      <c r="AF770" s="307"/>
      <c r="AG770" s="307"/>
      <c r="AH770" s="307"/>
    </row>
    <row r="771" spans="1:34" ht="17.399999999999999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  <c r="M771" s="307"/>
      <c r="N771" s="307"/>
      <c r="O771" s="307"/>
      <c r="P771" s="307"/>
      <c r="Q771" s="307"/>
      <c r="R771" s="307"/>
      <c r="S771" s="307"/>
      <c r="T771" s="307"/>
      <c r="U771" s="307"/>
      <c r="V771" s="307"/>
      <c r="W771" s="307"/>
      <c r="X771" s="307"/>
      <c r="Y771" s="307"/>
      <c r="Z771" s="307"/>
      <c r="AA771" s="307"/>
      <c r="AB771" s="307"/>
      <c r="AC771" s="307"/>
      <c r="AD771" s="307"/>
      <c r="AE771" s="307"/>
      <c r="AF771" s="307"/>
      <c r="AG771" s="307"/>
      <c r="AH771" s="307"/>
    </row>
    <row r="772" spans="1:34" ht="17.399999999999999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  <c r="M772" s="307"/>
      <c r="N772" s="307"/>
      <c r="O772" s="307"/>
      <c r="P772" s="307"/>
      <c r="Q772" s="307"/>
      <c r="R772" s="307"/>
      <c r="S772" s="307"/>
      <c r="T772" s="307"/>
      <c r="U772" s="307"/>
      <c r="V772" s="307"/>
      <c r="W772" s="307"/>
      <c r="X772" s="307"/>
      <c r="Y772" s="307"/>
      <c r="Z772" s="307"/>
      <c r="AA772" s="307"/>
      <c r="AB772" s="307"/>
      <c r="AC772" s="307"/>
      <c r="AD772" s="307"/>
      <c r="AE772" s="307"/>
      <c r="AF772" s="307"/>
      <c r="AG772" s="307"/>
      <c r="AH772" s="307"/>
    </row>
    <row r="773" spans="1:34" ht="17.399999999999999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  <c r="M773" s="307"/>
      <c r="N773" s="307"/>
      <c r="O773" s="307"/>
      <c r="P773" s="307"/>
      <c r="Q773" s="307"/>
      <c r="R773" s="307"/>
      <c r="S773" s="307"/>
      <c r="T773" s="307"/>
      <c r="U773" s="307"/>
      <c r="V773" s="307"/>
      <c r="W773" s="307"/>
      <c r="X773" s="307"/>
      <c r="Y773" s="307"/>
      <c r="Z773" s="307"/>
      <c r="AA773" s="307"/>
      <c r="AB773" s="307"/>
      <c r="AC773" s="307"/>
      <c r="AD773" s="307"/>
      <c r="AE773" s="307"/>
      <c r="AF773" s="307"/>
      <c r="AG773" s="307"/>
      <c r="AH773" s="307"/>
    </row>
    <row r="774" spans="1:34" ht="17.399999999999999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  <c r="M774" s="307"/>
      <c r="N774" s="307"/>
      <c r="O774" s="307"/>
      <c r="P774" s="307"/>
      <c r="Q774" s="307"/>
      <c r="R774" s="307"/>
      <c r="S774" s="307"/>
      <c r="T774" s="307"/>
      <c r="U774" s="307"/>
      <c r="V774" s="307"/>
      <c r="W774" s="307"/>
      <c r="X774" s="307"/>
      <c r="Y774" s="307"/>
      <c r="Z774" s="307"/>
      <c r="AA774" s="307"/>
      <c r="AB774" s="307"/>
      <c r="AC774" s="307"/>
      <c r="AD774" s="307"/>
      <c r="AE774" s="307"/>
      <c r="AF774" s="307"/>
      <c r="AG774" s="307"/>
      <c r="AH774" s="307"/>
    </row>
    <row r="775" spans="1:34" ht="17.399999999999999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  <c r="M775" s="307"/>
      <c r="N775" s="307"/>
      <c r="O775" s="307"/>
      <c r="P775" s="307"/>
      <c r="Q775" s="307"/>
      <c r="R775" s="307"/>
      <c r="S775" s="307"/>
      <c r="T775" s="307"/>
      <c r="U775" s="307"/>
      <c r="V775" s="307"/>
      <c r="W775" s="307"/>
      <c r="X775" s="307"/>
      <c r="Y775" s="307"/>
      <c r="Z775" s="307"/>
      <c r="AA775" s="307"/>
      <c r="AB775" s="307"/>
      <c r="AC775" s="307"/>
      <c r="AD775" s="307"/>
      <c r="AE775" s="307"/>
      <c r="AF775" s="307"/>
      <c r="AG775" s="307"/>
      <c r="AH775" s="307"/>
    </row>
    <row r="776" spans="1:34" ht="17.399999999999999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  <c r="M776" s="307"/>
      <c r="N776" s="307"/>
      <c r="O776" s="307"/>
      <c r="P776" s="307"/>
      <c r="Q776" s="307"/>
      <c r="R776" s="307"/>
      <c r="S776" s="307"/>
      <c r="T776" s="307"/>
      <c r="U776" s="307"/>
      <c r="V776" s="307"/>
      <c r="W776" s="307"/>
      <c r="X776" s="307"/>
      <c r="Y776" s="307"/>
      <c r="Z776" s="307"/>
      <c r="AA776" s="307"/>
      <c r="AB776" s="307"/>
      <c r="AC776" s="307"/>
      <c r="AD776" s="307"/>
      <c r="AE776" s="307"/>
      <c r="AF776" s="307"/>
      <c r="AG776" s="307"/>
      <c r="AH776" s="307"/>
    </row>
    <row r="777" spans="1:34" ht="17.399999999999999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  <c r="M777" s="307"/>
      <c r="N777" s="307"/>
      <c r="O777" s="307"/>
      <c r="P777" s="307"/>
      <c r="Q777" s="307"/>
      <c r="R777" s="307"/>
      <c r="S777" s="307"/>
      <c r="T777" s="307"/>
      <c r="U777" s="307"/>
      <c r="V777" s="307"/>
      <c r="W777" s="307"/>
      <c r="X777" s="307"/>
      <c r="Y777" s="307"/>
      <c r="Z777" s="307"/>
      <c r="AA777" s="307"/>
      <c r="AB777" s="307"/>
      <c r="AC777" s="307"/>
      <c r="AD777" s="307"/>
      <c r="AE777" s="307"/>
      <c r="AF777" s="307"/>
      <c r="AG777" s="307"/>
      <c r="AH777" s="307"/>
    </row>
    <row r="778" spans="1:34" ht="17.399999999999999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  <c r="M778" s="307"/>
      <c r="N778" s="307"/>
      <c r="O778" s="307"/>
      <c r="P778" s="307"/>
      <c r="Q778" s="307"/>
      <c r="R778" s="307"/>
      <c r="S778" s="307"/>
      <c r="T778" s="307"/>
      <c r="U778" s="307"/>
      <c r="V778" s="307"/>
      <c r="W778" s="307"/>
      <c r="X778" s="307"/>
      <c r="Y778" s="307"/>
      <c r="Z778" s="307"/>
      <c r="AA778" s="307"/>
      <c r="AB778" s="307"/>
      <c r="AC778" s="307"/>
      <c r="AD778" s="307"/>
      <c r="AE778" s="307"/>
      <c r="AF778" s="307"/>
      <c r="AG778" s="307"/>
      <c r="AH778" s="307"/>
    </row>
    <row r="779" spans="1:34" ht="17.399999999999999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  <c r="M779" s="307"/>
      <c r="N779" s="307"/>
      <c r="O779" s="307"/>
      <c r="P779" s="307"/>
      <c r="Q779" s="307"/>
      <c r="R779" s="307"/>
      <c r="S779" s="307"/>
      <c r="T779" s="307"/>
      <c r="U779" s="307"/>
      <c r="V779" s="307"/>
      <c r="W779" s="307"/>
      <c r="X779" s="307"/>
      <c r="Y779" s="307"/>
      <c r="Z779" s="307"/>
      <c r="AA779" s="307"/>
      <c r="AB779" s="307"/>
      <c r="AC779" s="307"/>
      <c r="AD779" s="307"/>
      <c r="AE779" s="307"/>
      <c r="AF779" s="307"/>
      <c r="AG779" s="307"/>
      <c r="AH779" s="307"/>
    </row>
    <row r="780" spans="1:34" ht="17.399999999999999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  <c r="M780" s="307"/>
      <c r="N780" s="307"/>
      <c r="O780" s="307"/>
      <c r="P780" s="307"/>
      <c r="Q780" s="307"/>
      <c r="R780" s="307"/>
      <c r="S780" s="307"/>
      <c r="T780" s="307"/>
      <c r="U780" s="307"/>
      <c r="V780" s="307"/>
      <c r="W780" s="307"/>
      <c r="X780" s="307"/>
      <c r="Y780" s="307"/>
      <c r="Z780" s="307"/>
      <c r="AA780" s="307"/>
      <c r="AB780" s="307"/>
      <c r="AC780" s="307"/>
      <c r="AD780" s="307"/>
      <c r="AE780" s="307"/>
      <c r="AF780" s="307"/>
      <c r="AG780" s="307"/>
      <c r="AH780" s="307"/>
    </row>
    <row r="781" spans="1:34" ht="17.399999999999999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  <c r="M781" s="307"/>
      <c r="N781" s="307"/>
      <c r="O781" s="307"/>
      <c r="P781" s="307"/>
      <c r="Q781" s="307"/>
      <c r="R781" s="307"/>
      <c r="S781" s="307"/>
      <c r="T781" s="307"/>
      <c r="U781" s="307"/>
      <c r="V781" s="307"/>
      <c r="W781" s="307"/>
      <c r="X781" s="307"/>
      <c r="Y781" s="307"/>
      <c r="Z781" s="307"/>
      <c r="AA781" s="307"/>
      <c r="AB781" s="307"/>
      <c r="AC781" s="307"/>
      <c r="AD781" s="307"/>
      <c r="AE781" s="307"/>
      <c r="AF781" s="307"/>
      <c r="AG781" s="307"/>
      <c r="AH781" s="307"/>
    </row>
    <row r="782" spans="1:34" ht="17.399999999999999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  <c r="M782" s="307"/>
      <c r="N782" s="307"/>
      <c r="O782" s="307"/>
      <c r="P782" s="307"/>
      <c r="Q782" s="307"/>
      <c r="R782" s="307"/>
      <c r="S782" s="307"/>
      <c r="T782" s="307"/>
      <c r="U782" s="307"/>
      <c r="V782" s="307"/>
      <c r="W782" s="307"/>
      <c r="X782" s="307"/>
      <c r="Y782" s="307"/>
      <c r="Z782" s="307"/>
      <c r="AA782" s="307"/>
      <c r="AB782" s="307"/>
      <c r="AC782" s="307"/>
      <c r="AD782" s="307"/>
      <c r="AE782" s="307"/>
      <c r="AF782" s="307"/>
      <c r="AG782" s="307"/>
      <c r="AH782" s="307"/>
    </row>
    <row r="783" spans="1:34" ht="17.399999999999999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  <c r="M783" s="307"/>
      <c r="N783" s="307"/>
      <c r="O783" s="307"/>
      <c r="P783" s="307"/>
      <c r="Q783" s="307"/>
      <c r="R783" s="307"/>
      <c r="S783" s="307"/>
      <c r="T783" s="307"/>
      <c r="U783" s="307"/>
      <c r="V783" s="307"/>
      <c r="W783" s="307"/>
      <c r="X783" s="307"/>
      <c r="Y783" s="307"/>
      <c r="Z783" s="307"/>
      <c r="AA783" s="307"/>
      <c r="AB783" s="307"/>
      <c r="AC783" s="307"/>
      <c r="AD783" s="307"/>
      <c r="AE783" s="307"/>
      <c r="AF783" s="307"/>
      <c r="AG783" s="307"/>
      <c r="AH783" s="307"/>
    </row>
    <row r="784" spans="1:34" ht="17.399999999999999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  <c r="M784" s="307"/>
      <c r="N784" s="307"/>
      <c r="O784" s="307"/>
      <c r="P784" s="307"/>
      <c r="Q784" s="307"/>
      <c r="R784" s="307"/>
      <c r="S784" s="307"/>
      <c r="T784" s="307"/>
      <c r="U784" s="307"/>
      <c r="V784" s="307"/>
      <c r="W784" s="307"/>
      <c r="X784" s="307"/>
      <c r="Y784" s="307"/>
      <c r="Z784" s="307"/>
      <c r="AA784" s="307"/>
      <c r="AB784" s="307"/>
      <c r="AC784" s="307"/>
      <c r="AD784" s="307"/>
      <c r="AE784" s="307"/>
      <c r="AF784" s="307"/>
      <c r="AG784" s="307"/>
      <c r="AH784" s="307"/>
    </row>
    <row r="785" spans="1:34" ht="17.399999999999999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  <c r="M785" s="307"/>
      <c r="N785" s="307"/>
      <c r="O785" s="307"/>
      <c r="P785" s="307"/>
      <c r="Q785" s="307"/>
      <c r="R785" s="307"/>
      <c r="S785" s="307"/>
      <c r="T785" s="307"/>
      <c r="U785" s="307"/>
      <c r="V785" s="307"/>
      <c r="W785" s="307"/>
      <c r="X785" s="307"/>
      <c r="Y785" s="307"/>
      <c r="Z785" s="307"/>
      <c r="AA785" s="307"/>
      <c r="AB785" s="307"/>
      <c r="AC785" s="307"/>
      <c r="AD785" s="307"/>
      <c r="AE785" s="307"/>
      <c r="AF785" s="307"/>
      <c r="AG785" s="307"/>
      <c r="AH785" s="307"/>
    </row>
    <row r="786" spans="1:34" ht="17.399999999999999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  <c r="M786" s="307"/>
      <c r="N786" s="307"/>
      <c r="O786" s="307"/>
      <c r="P786" s="307"/>
      <c r="Q786" s="307"/>
      <c r="R786" s="307"/>
      <c r="S786" s="307"/>
      <c r="T786" s="307"/>
      <c r="U786" s="307"/>
      <c r="V786" s="307"/>
      <c r="W786" s="307"/>
      <c r="X786" s="307"/>
      <c r="Y786" s="307"/>
      <c r="Z786" s="307"/>
      <c r="AA786" s="307"/>
      <c r="AB786" s="307"/>
      <c r="AC786" s="307"/>
      <c r="AD786" s="307"/>
      <c r="AE786" s="307"/>
      <c r="AF786" s="307"/>
      <c r="AG786" s="307"/>
      <c r="AH786" s="307"/>
    </row>
    <row r="787" spans="1:34" ht="17.399999999999999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  <c r="M787" s="307"/>
      <c r="N787" s="307"/>
      <c r="O787" s="307"/>
      <c r="P787" s="307"/>
      <c r="Q787" s="307"/>
      <c r="R787" s="307"/>
      <c r="S787" s="307"/>
      <c r="T787" s="307"/>
      <c r="U787" s="307"/>
      <c r="V787" s="307"/>
      <c r="W787" s="307"/>
      <c r="X787" s="307"/>
      <c r="Y787" s="307"/>
      <c r="Z787" s="307"/>
      <c r="AA787" s="307"/>
      <c r="AB787" s="307"/>
      <c r="AC787" s="307"/>
      <c r="AD787" s="307"/>
      <c r="AE787" s="307"/>
      <c r="AF787" s="307"/>
      <c r="AG787" s="307"/>
      <c r="AH787" s="307"/>
    </row>
    <row r="788" spans="1:34" ht="17.399999999999999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  <c r="M788" s="307"/>
      <c r="N788" s="307"/>
      <c r="O788" s="307"/>
      <c r="P788" s="307"/>
      <c r="Q788" s="307"/>
      <c r="R788" s="307"/>
      <c r="S788" s="307"/>
      <c r="T788" s="307"/>
      <c r="U788" s="307"/>
      <c r="V788" s="307"/>
      <c r="W788" s="307"/>
      <c r="X788" s="307"/>
      <c r="Y788" s="307"/>
      <c r="Z788" s="307"/>
      <c r="AA788" s="307"/>
      <c r="AB788" s="307"/>
      <c r="AC788" s="307"/>
      <c r="AD788" s="307"/>
      <c r="AE788" s="307"/>
      <c r="AF788" s="307"/>
      <c r="AG788" s="307"/>
      <c r="AH788" s="307"/>
    </row>
    <row r="789" spans="1:34" ht="17.399999999999999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  <c r="M789" s="307"/>
      <c r="N789" s="307"/>
      <c r="O789" s="307"/>
      <c r="P789" s="307"/>
      <c r="Q789" s="307"/>
      <c r="R789" s="307"/>
      <c r="S789" s="307"/>
      <c r="T789" s="307"/>
      <c r="U789" s="307"/>
      <c r="V789" s="307"/>
      <c r="W789" s="307"/>
      <c r="X789" s="307"/>
      <c r="Y789" s="307"/>
      <c r="Z789" s="307"/>
      <c r="AA789" s="307"/>
      <c r="AB789" s="307"/>
      <c r="AC789" s="307"/>
      <c r="AD789" s="307"/>
      <c r="AE789" s="307"/>
      <c r="AF789" s="307"/>
      <c r="AG789" s="307"/>
      <c r="AH789" s="307"/>
    </row>
    <row r="790" spans="1:34" ht="17.399999999999999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  <c r="M790" s="307"/>
      <c r="N790" s="307"/>
      <c r="O790" s="307"/>
      <c r="P790" s="307"/>
      <c r="Q790" s="307"/>
      <c r="R790" s="307"/>
      <c r="S790" s="307"/>
      <c r="T790" s="307"/>
      <c r="U790" s="307"/>
      <c r="V790" s="307"/>
      <c r="W790" s="307"/>
      <c r="X790" s="307"/>
      <c r="Y790" s="307"/>
      <c r="Z790" s="307"/>
      <c r="AA790" s="307"/>
      <c r="AB790" s="307"/>
      <c r="AC790" s="307"/>
      <c r="AD790" s="307"/>
      <c r="AE790" s="307"/>
      <c r="AF790" s="307"/>
      <c r="AG790" s="307"/>
      <c r="AH790" s="307"/>
    </row>
    <row r="791" spans="1:34" ht="17.399999999999999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  <c r="M791" s="307"/>
      <c r="N791" s="307"/>
      <c r="O791" s="307"/>
      <c r="P791" s="307"/>
      <c r="Q791" s="307"/>
      <c r="R791" s="307"/>
      <c r="S791" s="307"/>
      <c r="T791" s="307"/>
      <c r="U791" s="307"/>
      <c r="V791" s="307"/>
      <c r="W791" s="307"/>
      <c r="X791" s="307"/>
      <c r="Y791" s="307"/>
      <c r="Z791" s="307"/>
      <c r="AA791" s="307"/>
      <c r="AB791" s="307"/>
      <c r="AC791" s="307"/>
      <c r="AD791" s="307"/>
      <c r="AE791" s="307"/>
      <c r="AF791" s="307"/>
      <c r="AG791" s="307"/>
      <c r="AH791" s="307"/>
    </row>
    <row r="792" spans="1:34" ht="17.399999999999999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  <c r="M792" s="307"/>
      <c r="N792" s="307"/>
      <c r="O792" s="307"/>
      <c r="P792" s="307"/>
      <c r="Q792" s="307"/>
      <c r="R792" s="307"/>
      <c r="S792" s="307"/>
      <c r="T792" s="307"/>
      <c r="U792" s="307"/>
      <c r="V792" s="307"/>
      <c r="W792" s="307"/>
      <c r="X792" s="307"/>
      <c r="Y792" s="307"/>
      <c r="Z792" s="307"/>
      <c r="AA792" s="307"/>
      <c r="AB792" s="307"/>
      <c r="AC792" s="307"/>
      <c r="AD792" s="307"/>
      <c r="AE792" s="307"/>
      <c r="AF792" s="307"/>
      <c r="AG792" s="307"/>
      <c r="AH792" s="307"/>
    </row>
    <row r="793" spans="1:34" ht="17.399999999999999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  <c r="M793" s="307"/>
      <c r="N793" s="307"/>
      <c r="O793" s="307"/>
      <c r="P793" s="307"/>
      <c r="Q793" s="307"/>
      <c r="R793" s="307"/>
      <c r="S793" s="307"/>
      <c r="T793" s="307"/>
      <c r="U793" s="307"/>
      <c r="V793" s="307"/>
      <c r="W793" s="307"/>
      <c r="X793" s="307"/>
      <c r="Y793" s="307"/>
      <c r="Z793" s="307"/>
      <c r="AA793" s="307"/>
      <c r="AB793" s="307"/>
      <c r="AC793" s="307"/>
      <c r="AD793" s="307"/>
      <c r="AE793" s="307"/>
      <c r="AF793" s="307"/>
      <c r="AG793" s="307"/>
      <c r="AH793" s="307"/>
    </row>
    <row r="794" spans="1:34" ht="17.399999999999999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  <c r="M794" s="307"/>
      <c r="N794" s="307"/>
      <c r="O794" s="307"/>
      <c r="P794" s="307"/>
      <c r="Q794" s="307"/>
      <c r="R794" s="307"/>
      <c r="S794" s="307"/>
      <c r="T794" s="307"/>
      <c r="U794" s="307"/>
      <c r="V794" s="307"/>
      <c r="W794" s="307"/>
      <c r="X794" s="307"/>
      <c r="Y794" s="307"/>
      <c r="Z794" s="307"/>
      <c r="AA794" s="307"/>
      <c r="AB794" s="307"/>
      <c r="AC794" s="307"/>
      <c r="AD794" s="307"/>
      <c r="AE794" s="307"/>
      <c r="AF794" s="307"/>
      <c r="AG794" s="307"/>
      <c r="AH794" s="307"/>
    </row>
    <row r="795" spans="1:34" ht="17.399999999999999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  <c r="M795" s="307"/>
      <c r="N795" s="307"/>
      <c r="O795" s="307"/>
      <c r="P795" s="307"/>
      <c r="Q795" s="307"/>
      <c r="R795" s="307"/>
      <c r="S795" s="307"/>
      <c r="T795" s="307"/>
      <c r="U795" s="307"/>
      <c r="V795" s="307"/>
      <c r="W795" s="307"/>
      <c r="X795" s="307"/>
      <c r="Y795" s="307"/>
      <c r="Z795" s="307"/>
      <c r="AA795" s="307"/>
      <c r="AB795" s="307"/>
      <c r="AC795" s="307"/>
      <c r="AD795" s="307"/>
      <c r="AE795" s="307"/>
      <c r="AF795" s="307"/>
      <c r="AG795" s="307"/>
      <c r="AH795" s="307"/>
    </row>
    <row r="796" spans="1:34" ht="17.399999999999999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  <c r="M796" s="307"/>
      <c r="N796" s="307"/>
      <c r="O796" s="307"/>
      <c r="P796" s="307"/>
      <c r="Q796" s="307"/>
      <c r="R796" s="307"/>
      <c r="S796" s="307"/>
      <c r="T796" s="307"/>
      <c r="U796" s="307"/>
      <c r="V796" s="307"/>
      <c r="W796" s="307"/>
      <c r="X796" s="307"/>
      <c r="Y796" s="307"/>
      <c r="Z796" s="307"/>
      <c r="AA796" s="307"/>
      <c r="AB796" s="307"/>
      <c r="AC796" s="307"/>
      <c r="AD796" s="307"/>
      <c r="AE796" s="307"/>
      <c r="AF796" s="307"/>
      <c r="AG796" s="307"/>
      <c r="AH796" s="307"/>
    </row>
    <row r="797" spans="1:34" ht="17.399999999999999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  <c r="M797" s="307"/>
      <c r="N797" s="307"/>
      <c r="O797" s="307"/>
      <c r="P797" s="307"/>
      <c r="Q797" s="307"/>
      <c r="R797" s="307"/>
      <c r="S797" s="307"/>
      <c r="T797" s="307"/>
      <c r="U797" s="307"/>
      <c r="V797" s="307"/>
      <c r="W797" s="307"/>
      <c r="X797" s="307"/>
      <c r="Y797" s="307"/>
      <c r="Z797" s="307"/>
      <c r="AA797" s="307"/>
      <c r="AB797" s="307"/>
      <c r="AC797" s="307"/>
      <c r="AD797" s="307"/>
      <c r="AE797" s="307"/>
      <c r="AF797" s="307"/>
      <c r="AG797" s="307"/>
      <c r="AH797" s="307"/>
    </row>
    <row r="798" spans="1:34" ht="17.399999999999999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  <c r="M798" s="307"/>
      <c r="N798" s="307"/>
      <c r="O798" s="307"/>
      <c r="P798" s="307"/>
      <c r="Q798" s="307"/>
      <c r="R798" s="307"/>
      <c r="S798" s="307"/>
      <c r="T798" s="307"/>
      <c r="U798" s="307"/>
      <c r="V798" s="307"/>
      <c r="W798" s="307"/>
      <c r="X798" s="307"/>
      <c r="Y798" s="307"/>
      <c r="Z798" s="307"/>
      <c r="AA798" s="307"/>
      <c r="AB798" s="307"/>
      <c r="AC798" s="307"/>
      <c r="AD798" s="307"/>
      <c r="AE798" s="307"/>
      <c r="AF798" s="307"/>
      <c r="AG798" s="307"/>
      <c r="AH798" s="307"/>
    </row>
    <row r="799" spans="1:34" ht="17.399999999999999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  <c r="M799" s="307"/>
      <c r="N799" s="307"/>
      <c r="O799" s="307"/>
      <c r="P799" s="307"/>
      <c r="Q799" s="307"/>
      <c r="R799" s="307"/>
      <c r="S799" s="307"/>
      <c r="T799" s="307"/>
      <c r="U799" s="307"/>
      <c r="V799" s="307"/>
      <c r="W799" s="307"/>
      <c r="X799" s="307"/>
      <c r="Y799" s="307"/>
      <c r="Z799" s="307"/>
      <c r="AA799" s="307"/>
      <c r="AB799" s="307"/>
      <c r="AC799" s="307"/>
      <c r="AD799" s="307"/>
      <c r="AE799" s="307"/>
      <c r="AF799" s="307"/>
      <c r="AG799" s="307"/>
      <c r="AH799" s="307"/>
    </row>
    <row r="800" spans="1:34" ht="17.399999999999999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  <c r="M800" s="307"/>
      <c r="N800" s="307"/>
      <c r="O800" s="307"/>
      <c r="P800" s="307"/>
      <c r="Q800" s="307"/>
      <c r="R800" s="307"/>
      <c r="S800" s="307"/>
      <c r="T800" s="307"/>
      <c r="U800" s="307"/>
      <c r="V800" s="307"/>
      <c r="W800" s="307"/>
      <c r="X800" s="307"/>
      <c r="Y800" s="307"/>
      <c r="Z800" s="307"/>
      <c r="AA800" s="307"/>
      <c r="AB800" s="307"/>
      <c r="AC800" s="307"/>
      <c r="AD800" s="307"/>
      <c r="AE800" s="307"/>
      <c r="AF800" s="307"/>
      <c r="AG800" s="307"/>
      <c r="AH800" s="307"/>
    </row>
    <row r="801" spans="1:34" ht="17.399999999999999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  <c r="M801" s="307"/>
      <c r="N801" s="307"/>
      <c r="O801" s="307"/>
      <c r="P801" s="307"/>
      <c r="Q801" s="307"/>
      <c r="R801" s="307"/>
      <c r="S801" s="307"/>
      <c r="T801" s="307"/>
      <c r="U801" s="307"/>
      <c r="V801" s="307"/>
      <c r="W801" s="307"/>
      <c r="X801" s="307"/>
      <c r="Y801" s="307"/>
      <c r="Z801" s="307"/>
      <c r="AA801" s="307"/>
      <c r="AB801" s="307"/>
      <c r="AC801" s="307"/>
      <c r="AD801" s="307"/>
      <c r="AE801" s="307"/>
      <c r="AF801" s="307"/>
      <c r="AG801" s="307"/>
      <c r="AH801" s="307"/>
    </row>
    <row r="802" spans="1:34" ht="17.399999999999999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  <c r="M802" s="307"/>
      <c r="N802" s="307"/>
      <c r="O802" s="307"/>
      <c r="P802" s="307"/>
      <c r="Q802" s="307"/>
      <c r="R802" s="307"/>
      <c r="S802" s="307"/>
      <c r="T802" s="307"/>
      <c r="U802" s="307"/>
      <c r="V802" s="307"/>
      <c r="W802" s="307"/>
      <c r="X802" s="307"/>
      <c r="Y802" s="307"/>
      <c r="Z802" s="307"/>
      <c r="AA802" s="307"/>
      <c r="AB802" s="307"/>
      <c r="AC802" s="307"/>
      <c r="AD802" s="307"/>
      <c r="AE802" s="307"/>
      <c r="AF802" s="307"/>
      <c r="AG802" s="307"/>
      <c r="AH802" s="307"/>
    </row>
    <row r="803" spans="1:34" ht="17.399999999999999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  <c r="M803" s="307"/>
      <c r="N803" s="307"/>
      <c r="O803" s="307"/>
      <c r="P803" s="307"/>
      <c r="Q803" s="307"/>
      <c r="R803" s="307"/>
      <c r="S803" s="307"/>
      <c r="T803" s="307"/>
      <c r="U803" s="307"/>
      <c r="V803" s="307"/>
      <c r="W803" s="307"/>
      <c r="X803" s="307"/>
      <c r="Y803" s="307"/>
      <c r="Z803" s="307"/>
      <c r="AA803" s="307"/>
      <c r="AB803" s="307"/>
      <c r="AC803" s="307"/>
      <c r="AD803" s="307"/>
      <c r="AE803" s="307"/>
      <c r="AF803" s="307"/>
      <c r="AG803" s="307"/>
      <c r="AH803" s="307"/>
    </row>
    <row r="804" spans="1:34" ht="17.399999999999999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  <c r="M804" s="307"/>
      <c r="N804" s="307"/>
      <c r="O804" s="307"/>
      <c r="P804" s="307"/>
      <c r="Q804" s="307"/>
      <c r="R804" s="307"/>
      <c r="S804" s="307"/>
      <c r="T804" s="307"/>
      <c r="U804" s="307"/>
      <c r="V804" s="307"/>
      <c r="W804" s="307"/>
      <c r="X804" s="307"/>
      <c r="Y804" s="307"/>
      <c r="Z804" s="307"/>
      <c r="AA804" s="307"/>
      <c r="AB804" s="307"/>
      <c r="AC804" s="307"/>
      <c r="AD804" s="307"/>
      <c r="AE804" s="307"/>
      <c r="AF804" s="307"/>
      <c r="AG804" s="307"/>
      <c r="AH804" s="307"/>
    </row>
    <row r="805" spans="1:34" ht="17.399999999999999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  <c r="M805" s="307"/>
      <c r="N805" s="307"/>
      <c r="O805" s="307"/>
      <c r="P805" s="307"/>
      <c r="Q805" s="307"/>
      <c r="R805" s="307"/>
      <c r="S805" s="307"/>
      <c r="T805" s="307"/>
      <c r="U805" s="307"/>
      <c r="V805" s="307"/>
      <c r="W805" s="307"/>
      <c r="X805" s="307"/>
      <c r="Y805" s="307"/>
      <c r="Z805" s="307"/>
      <c r="AA805" s="307"/>
      <c r="AB805" s="307"/>
      <c r="AC805" s="307"/>
      <c r="AD805" s="307"/>
      <c r="AE805" s="307"/>
      <c r="AF805" s="307"/>
      <c r="AG805" s="307"/>
      <c r="AH805" s="307"/>
    </row>
    <row r="806" spans="1:34" ht="17.399999999999999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  <c r="M806" s="307"/>
      <c r="N806" s="307"/>
      <c r="O806" s="307"/>
      <c r="P806" s="307"/>
      <c r="Q806" s="307"/>
      <c r="R806" s="307"/>
      <c r="S806" s="307"/>
      <c r="T806" s="307"/>
      <c r="U806" s="307"/>
      <c r="V806" s="307"/>
      <c r="W806" s="307"/>
      <c r="X806" s="307"/>
      <c r="Y806" s="307"/>
      <c r="Z806" s="307"/>
      <c r="AA806" s="307"/>
      <c r="AB806" s="307"/>
      <c r="AC806" s="307"/>
      <c r="AD806" s="307"/>
      <c r="AE806" s="307"/>
      <c r="AF806" s="307"/>
      <c r="AG806" s="307"/>
      <c r="AH806" s="307"/>
    </row>
    <row r="807" spans="1:34" ht="17.399999999999999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  <c r="M807" s="307"/>
      <c r="N807" s="307"/>
      <c r="O807" s="307"/>
      <c r="P807" s="307"/>
      <c r="Q807" s="307"/>
      <c r="R807" s="307"/>
      <c r="S807" s="307"/>
      <c r="T807" s="307"/>
      <c r="U807" s="307"/>
      <c r="V807" s="307"/>
      <c r="W807" s="307"/>
      <c r="X807" s="307"/>
      <c r="Y807" s="307"/>
      <c r="Z807" s="307"/>
      <c r="AA807" s="307"/>
      <c r="AB807" s="307"/>
      <c r="AC807" s="307"/>
      <c r="AD807" s="307"/>
      <c r="AE807" s="307"/>
      <c r="AF807" s="307"/>
      <c r="AG807" s="307"/>
      <c r="AH807" s="307"/>
    </row>
    <row r="808" spans="1:34" ht="17.399999999999999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  <c r="M808" s="307"/>
      <c r="N808" s="307"/>
      <c r="O808" s="307"/>
      <c r="P808" s="307"/>
      <c r="Q808" s="307"/>
      <c r="R808" s="307"/>
      <c r="S808" s="307"/>
      <c r="T808" s="307"/>
      <c r="U808" s="307"/>
      <c r="V808" s="307"/>
      <c r="W808" s="307"/>
      <c r="X808" s="307"/>
      <c r="Y808" s="307"/>
      <c r="Z808" s="307"/>
      <c r="AA808" s="307"/>
      <c r="AB808" s="307"/>
      <c r="AC808" s="307"/>
      <c r="AD808" s="307"/>
      <c r="AE808" s="307"/>
      <c r="AF808" s="307"/>
      <c r="AG808" s="307"/>
      <c r="AH808" s="307"/>
    </row>
    <row r="809" spans="1:34" ht="17.399999999999999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  <c r="M809" s="307"/>
      <c r="N809" s="307"/>
      <c r="O809" s="307"/>
      <c r="P809" s="307"/>
      <c r="Q809" s="307"/>
      <c r="R809" s="307"/>
      <c r="S809" s="307"/>
      <c r="T809" s="307"/>
      <c r="U809" s="307"/>
      <c r="V809" s="307"/>
      <c r="W809" s="307"/>
      <c r="X809" s="307"/>
      <c r="Y809" s="307"/>
      <c r="Z809" s="307"/>
      <c r="AA809" s="307"/>
      <c r="AB809" s="307"/>
      <c r="AC809" s="307"/>
      <c r="AD809" s="307"/>
      <c r="AE809" s="307"/>
      <c r="AF809" s="307"/>
      <c r="AG809" s="307"/>
      <c r="AH809" s="307"/>
    </row>
    <row r="810" spans="1:34" ht="17.399999999999999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  <c r="M810" s="307"/>
      <c r="N810" s="307"/>
      <c r="O810" s="307"/>
      <c r="P810" s="307"/>
      <c r="Q810" s="307"/>
      <c r="R810" s="307"/>
      <c r="S810" s="307"/>
      <c r="T810" s="307"/>
      <c r="U810" s="307"/>
      <c r="V810" s="307"/>
      <c r="W810" s="307"/>
      <c r="X810" s="307"/>
      <c r="Y810" s="307"/>
      <c r="Z810" s="307"/>
      <c r="AA810" s="307"/>
      <c r="AB810" s="307"/>
      <c r="AC810" s="307"/>
      <c r="AD810" s="307"/>
      <c r="AE810" s="307"/>
      <c r="AF810" s="307"/>
      <c r="AG810" s="307"/>
      <c r="AH810" s="307"/>
    </row>
    <row r="811" spans="1:34" ht="17.399999999999999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  <c r="M811" s="307"/>
      <c r="N811" s="307"/>
      <c r="O811" s="307"/>
      <c r="P811" s="307"/>
      <c r="Q811" s="307"/>
      <c r="R811" s="307"/>
      <c r="S811" s="307"/>
      <c r="T811" s="307"/>
      <c r="U811" s="307"/>
      <c r="V811" s="307"/>
      <c r="W811" s="307"/>
      <c r="X811" s="307"/>
      <c r="Y811" s="307"/>
      <c r="Z811" s="307"/>
      <c r="AA811" s="307"/>
      <c r="AB811" s="307"/>
      <c r="AC811" s="307"/>
      <c r="AD811" s="307"/>
      <c r="AE811" s="307"/>
      <c r="AF811" s="307"/>
      <c r="AG811" s="307"/>
      <c r="AH811" s="307"/>
    </row>
    <row r="812" spans="1:34" ht="17.399999999999999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  <c r="M812" s="307"/>
      <c r="N812" s="307"/>
      <c r="O812" s="307"/>
      <c r="P812" s="307"/>
      <c r="Q812" s="307"/>
      <c r="R812" s="307"/>
      <c r="S812" s="307"/>
      <c r="T812" s="307"/>
      <c r="U812" s="307"/>
      <c r="V812" s="307"/>
      <c r="W812" s="307"/>
      <c r="X812" s="307"/>
      <c r="Y812" s="307"/>
      <c r="Z812" s="307"/>
      <c r="AA812" s="307"/>
      <c r="AB812" s="307"/>
      <c r="AC812" s="307"/>
      <c r="AD812" s="307"/>
      <c r="AE812" s="307"/>
      <c r="AF812" s="307"/>
      <c r="AG812" s="307"/>
      <c r="AH812" s="307"/>
    </row>
    <row r="813" spans="1:34" ht="17.399999999999999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  <c r="M813" s="307"/>
      <c r="N813" s="307"/>
      <c r="O813" s="307"/>
      <c r="P813" s="307"/>
      <c r="Q813" s="307"/>
      <c r="R813" s="307"/>
      <c r="S813" s="307"/>
      <c r="T813" s="307"/>
      <c r="U813" s="307"/>
      <c r="V813" s="307"/>
      <c r="W813" s="307"/>
      <c r="X813" s="307"/>
      <c r="Y813" s="307"/>
      <c r="Z813" s="307"/>
      <c r="AA813" s="307"/>
      <c r="AB813" s="307"/>
      <c r="AC813" s="307"/>
      <c r="AD813" s="307"/>
      <c r="AE813" s="307"/>
      <c r="AF813" s="307"/>
      <c r="AG813" s="307"/>
      <c r="AH813" s="307"/>
    </row>
    <row r="814" spans="1:34" ht="17.399999999999999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  <c r="M814" s="307"/>
      <c r="N814" s="307"/>
      <c r="O814" s="307"/>
      <c r="P814" s="307"/>
      <c r="Q814" s="307"/>
      <c r="R814" s="307"/>
      <c r="S814" s="307"/>
      <c r="T814" s="307"/>
      <c r="U814" s="307"/>
      <c r="V814" s="307"/>
      <c r="W814" s="307"/>
      <c r="X814" s="307"/>
      <c r="Y814" s="307"/>
      <c r="Z814" s="307"/>
      <c r="AA814" s="307"/>
      <c r="AB814" s="307"/>
      <c r="AC814" s="307"/>
      <c r="AD814" s="307"/>
      <c r="AE814" s="307"/>
      <c r="AF814" s="307"/>
      <c r="AG814" s="307"/>
      <c r="AH814" s="307"/>
    </row>
    <row r="815" spans="1:34" ht="17.399999999999999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  <c r="M815" s="307"/>
      <c r="N815" s="307"/>
      <c r="O815" s="307"/>
      <c r="P815" s="307"/>
      <c r="Q815" s="307"/>
      <c r="R815" s="307"/>
      <c r="S815" s="307"/>
      <c r="T815" s="307"/>
      <c r="U815" s="307"/>
      <c r="V815" s="307"/>
      <c r="W815" s="307"/>
      <c r="X815" s="307"/>
      <c r="Y815" s="307"/>
      <c r="Z815" s="307"/>
      <c r="AA815" s="307"/>
      <c r="AB815" s="307"/>
      <c r="AC815" s="307"/>
      <c r="AD815" s="307"/>
      <c r="AE815" s="307"/>
      <c r="AF815" s="307"/>
      <c r="AG815" s="307"/>
      <c r="AH815" s="307"/>
    </row>
    <row r="816" spans="1:34" ht="17.399999999999999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</row>
    <row r="817" spans="1:34" ht="17.399999999999999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  <c r="M817" s="307"/>
      <c r="N817" s="307"/>
      <c r="O817" s="307"/>
      <c r="P817" s="307"/>
      <c r="Q817" s="307"/>
      <c r="R817" s="307"/>
      <c r="S817" s="307"/>
      <c r="T817" s="307"/>
      <c r="U817" s="307"/>
      <c r="V817" s="307"/>
      <c r="W817" s="307"/>
      <c r="X817" s="307"/>
      <c r="Y817" s="307"/>
      <c r="Z817" s="307"/>
      <c r="AA817" s="307"/>
      <c r="AB817" s="307"/>
      <c r="AC817" s="307"/>
      <c r="AD817" s="307"/>
      <c r="AE817" s="307"/>
      <c r="AF817" s="307"/>
      <c r="AG817" s="307"/>
      <c r="AH817" s="307"/>
    </row>
    <row r="818" spans="1:34" ht="17.399999999999999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  <c r="M818" s="307"/>
      <c r="N818" s="307"/>
      <c r="O818" s="307"/>
      <c r="P818" s="307"/>
      <c r="Q818" s="307"/>
      <c r="R818" s="307"/>
      <c r="S818" s="307"/>
      <c r="T818" s="307"/>
      <c r="U818" s="307"/>
      <c r="V818" s="307"/>
      <c r="W818" s="307"/>
      <c r="X818" s="307"/>
      <c r="Y818" s="307"/>
      <c r="Z818" s="307"/>
      <c r="AA818" s="307"/>
      <c r="AB818" s="307"/>
      <c r="AC818" s="307"/>
      <c r="AD818" s="307"/>
      <c r="AE818" s="307"/>
      <c r="AF818" s="307"/>
      <c r="AG818" s="307"/>
      <c r="AH818" s="307"/>
    </row>
    <row r="819" spans="1:34" ht="17.399999999999999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  <c r="M819" s="307"/>
      <c r="N819" s="307"/>
      <c r="O819" s="307"/>
      <c r="P819" s="307"/>
      <c r="Q819" s="307"/>
      <c r="R819" s="307"/>
      <c r="S819" s="307"/>
      <c r="T819" s="307"/>
      <c r="U819" s="307"/>
      <c r="V819" s="307"/>
      <c r="W819" s="307"/>
      <c r="X819" s="307"/>
      <c r="Y819" s="307"/>
      <c r="Z819" s="307"/>
      <c r="AA819" s="307"/>
      <c r="AB819" s="307"/>
      <c r="AC819" s="307"/>
      <c r="AD819" s="307"/>
      <c r="AE819" s="307"/>
      <c r="AF819" s="307"/>
      <c r="AG819" s="307"/>
      <c r="AH819" s="307"/>
    </row>
    <row r="820" spans="1:34" ht="17.399999999999999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  <c r="M820" s="307"/>
      <c r="N820" s="307"/>
      <c r="O820" s="307"/>
      <c r="P820" s="307"/>
      <c r="Q820" s="307"/>
      <c r="R820" s="307"/>
      <c r="S820" s="307"/>
      <c r="T820" s="307"/>
      <c r="U820" s="307"/>
      <c r="V820" s="307"/>
      <c r="W820" s="307"/>
      <c r="X820" s="307"/>
      <c r="Y820" s="307"/>
      <c r="Z820" s="307"/>
      <c r="AA820" s="307"/>
      <c r="AB820" s="307"/>
      <c r="AC820" s="307"/>
      <c r="AD820" s="307"/>
      <c r="AE820" s="307"/>
      <c r="AF820" s="307"/>
      <c r="AG820" s="307"/>
      <c r="AH820" s="307"/>
    </row>
    <row r="821" spans="1:34" ht="17.399999999999999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  <c r="M821" s="307"/>
      <c r="N821" s="307"/>
      <c r="O821" s="307"/>
      <c r="P821" s="307"/>
      <c r="Q821" s="307"/>
      <c r="R821" s="307"/>
      <c r="S821" s="307"/>
      <c r="T821" s="307"/>
      <c r="U821" s="307"/>
      <c r="V821" s="307"/>
      <c r="W821" s="307"/>
      <c r="X821" s="307"/>
      <c r="Y821" s="307"/>
      <c r="Z821" s="307"/>
      <c r="AA821" s="307"/>
      <c r="AB821" s="307"/>
      <c r="AC821" s="307"/>
      <c r="AD821" s="307"/>
      <c r="AE821" s="307"/>
      <c r="AF821" s="307"/>
      <c r="AG821" s="307"/>
      <c r="AH821" s="307"/>
    </row>
    <row r="822" spans="1:34" ht="17.399999999999999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  <c r="M822" s="307"/>
      <c r="N822" s="307"/>
      <c r="O822" s="307"/>
      <c r="P822" s="307"/>
      <c r="Q822" s="307"/>
      <c r="R822" s="307"/>
      <c r="S822" s="307"/>
      <c r="T822" s="307"/>
      <c r="U822" s="307"/>
      <c r="V822" s="307"/>
      <c r="W822" s="307"/>
      <c r="X822" s="307"/>
      <c r="Y822" s="307"/>
      <c r="Z822" s="307"/>
      <c r="AA822" s="307"/>
      <c r="AB822" s="307"/>
      <c r="AC822" s="307"/>
      <c r="AD822" s="307"/>
      <c r="AE822" s="307"/>
      <c r="AF822" s="307"/>
      <c r="AG822" s="307"/>
      <c r="AH822" s="307"/>
    </row>
    <row r="823" spans="1:34" ht="17.399999999999999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  <c r="M823" s="307"/>
      <c r="N823" s="307"/>
      <c r="O823" s="307"/>
      <c r="P823" s="307"/>
      <c r="Q823" s="307"/>
      <c r="R823" s="307"/>
      <c r="S823" s="307"/>
      <c r="T823" s="307"/>
      <c r="U823" s="307"/>
      <c r="V823" s="307"/>
      <c r="W823" s="307"/>
      <c r="X823" s="307"/>
      <c r="Y823" s="307"/>
      <c r="Z823" s="307"/>
      <c r="AA823" s="307"/>
      <c r="AB823" s="307"/>
      <c r="AC823" s="307"/>
      <c r="AD823" s="307"/>
      <c r="AE823" s="307"/>
      <c r="AF823" s="307"/>
      <c r="AG823" s="307"/>
      <c r="AH823" s="307"/>
    </row>
    <row r="824" spans="1:34" ht="17.399999999999999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  <c r="M824" s="307"/>
      <c r="N824" s="307"/>
      <c r="O824" s="307"/>
      <c r="P824" s="307"/>
      <c r="Q824" s="307"/>
      <c r="R824" s="307"/>
      <c r="S824" s="307"/>
      <c r="T824" s="307"/>
      <c r="U824" s="307"/>
      <c r="V824" s="307"/>
      <c r="W824" s="307"/>
      <c r="X824" s="307"/>
      <c r="Y824" s="307"/>
      <c r="Z824" s="307"/>
      <c r="AA824" s="307"/>
      <c r="AB824" s="307"/>
      <c r="AC824" s="307"/>
      <c r="AD824" s="307"/>
      <c r="AE824" s="307"/>
      <c r="AF824" s="307"/>
      <c r="AG824" s="307"/>
      <c r="AH824" s="307"/>
    </row>
    <row r="825" spans="1:34" ht="17.399999999999999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  <c r="M825" s="307"/>
      <c r="N825" s="307"/>
      <c r="O825" s="307"/>
      <c r="P825" s="307"/>
      <c r="Q825" s="307"/>
      <c r="R825" s="307"/>
      <c r="S825" s="307"/>
      <c r="T825" s="307"/>
      <c r="U825" s="307"/>
      <c r="V825" s="307"/>
      <c r="W825" s="307"/>
      <c r="X825" s="307"/>
      <c r="Y825" s="307"/>
      <c r="Z825" s="307"/>
      <c r="AA825" s="307"/>
      <c r="AB825" s="307"/>
      <c r="AC825" s="307"/>
      <c r="AD825" s="307"/>
      <c r="AE825" s="307"/>
      <c r="AF825" s="307"/>
      <c r="AG825" s="307"/>
      <c r="AH825" s="307"/>
    </row>
    <row r="826" spans="1:34" ht="17.399999999999999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  <c r="M826" s="307"/>
      <c r="N826" s="307"/>
      <c r="O826" s="307"/>
      <c r="P826" s="307"/>
      <c r="Q826" s="307"/>
      <c r="R826" s="307"/>
      <c r="S826" s="307"/>
      <c r="T826" s="307"/>
      <c r="U826" s="307"/>
      <c r="V826" s="307"/>
      <c r="W826" s="307"/>
      <c r="X826" s="307"/>
      <c r="Y826" s="307"/>
      <c r="Z826" s="307"/>
      <c r="AA826" s="307"/>
      <c r="AB826" s="307"/>
      <c r="AC826" s="307"/>
      <c r="AD826" s="307"/>
      <c r="AE826" s="307"/>
      <c r="AF826" s="307"/>
      <c r="AG826" s="307"/>
      <c r="AH826" s="307"/>
    </row>
    <row r="827" spans="1:34" ht="17.399999999999999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  <c r="M827" s="307"/>
      <c r="N827" s="307"/>
      <c r="O827" s="307"/>
      <c r="P827" s="307"/>
      <c r="Q827" s="307"/>
      <c r="R827" s="307"/>
      <c r="S827" s="307"/>
      <c r="T827" s="307"/>
      <c r="U827" s="307"/>
      <c r="V827" s="307"/>
      <c r="W827" s="307"/>
      <c r="X827" s="307"/>
      <c r="Y827" s="307"/>
      <c r="Z827" s="307"/>
      <c r="AA827" s="307"/>
      <c r="AB827" s="307"/>
      <c r="AC827" s="307"/>
      <c r="AD827" s="307"/>
      <c r="AE827" s="307"/>
      <c r="AF827" s="307"/>
      <c r="AG827" s="307"/>
      <c r="AH827" s="307"/>
    </row>
    <row r="828" spans="1:34" ht="17.399999999999999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  <c r="M828" s="307"/>
      <c r="N828" s="307"/>
      <c r="O828" s="307"/>
      <c r="P828" s="307"/>
      <c r="Q828" s="307"/>
      <c r="R828" s="307"/>
      <c r="S828" s="307"/>
      <c r="T828" s="307"/>
      <c r="U828" s="307"/>
      <c r="V828" s="307"/>
      <c r="W828" s="307"/>
      <c r="X828" s="307"/>
      <c r="Y828" s="307"/>
      <c r="Z828" s="307"/>
      <c r="AA828" s="307"/>
      <c r="AB828" s="307"/>
      <c r="AC828" s="307"/>
      <c r="AD828" s="307"/>
      <c r="AE828" s="307"/>
      <c r="AF828" s="307"/>
      <c r="AG828" s="307"/>
      <c r="AH828" s="307"/>
    </row>
    <row r="829" spans="1:34" ht="17.399999999999999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  <c r="M829" s="307"/>
      <c r="N829" s="307"/>
      <c r="O829" s="307"/>
      <c r="P829" s="307"/>
      <c r="Q829" s="307"/>
      <c r="R829" s="307"/>
      <c r="S829" s="307"/>
      <c r="T829" s="307"/>
      <c r="U829" s="307"/>
      <c r="V829" s="307"/>
      <c r="W829" s="307"/>
      <c r="X829" s="307"/>
      <c r="Y829" s="307"/>
      <c r="Z829" s="307"/>
      <c r="AA829" s="307"/>
      <c r="AB829" s="307"/>
      <c r="AC829" s="307"/>
      <c r="AD829" s="307"/>
      <c r="AE829" s="307"/>
      <c r="AF829" s="307"/>
      <c r="AG829" s="307"/>
      <c r="AH829" s="307"/>
    </row>
    <row r="830" spans="1:34" ht="17.399999999999999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  <c r="M830" s="307"/>
      <c r="N830" s="307"/>
      <c r="O830" s="307"/>
      <c r="P830" s="307"/>
      <c r="Q830" s="307"/>
      <c r="R830" s="307"/>
      <c r="S830" s="307"/>
      <c r="T830" s="307"/>
      <c r="U830" s="307"/>
      <c r="V830" s="307"/>
      <c r="W830" s="307"/>
      <c r="X830" s="307"/>
      <c r="Y830" s="307"/>
      <c r="Z830" s="307"/>
      <c r="AA830" s="307"/>
      <c r="AB830" s="307"/>
      <c r="AC830" s="307"/>
      <c r="AD830" s="307"/>
      <c r="AE830" s="307"/>
      <c r="AF830" s="307"/>
      <c r="AG830" s="307"/>
      <c r="AH830" s="307"/>
    </row>
    <row r="831" spans="1:34" ht="17.399999999999999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  <c r="M831" s="307"/>
      <c r="N831" s="307"/>
      <c r="O831" s="307"/>
      <c r="P831" s="307"/>
      <c r="Q831" s="307"/>
      <c r="R831" s="307"/>
      <c r="S831" s="307"/>
      <c r="T831" s="307"/>
      <c r="U831" s="307"/>
      <c r="V831" s="307"/>
      <c r="W831" s="307"/>
      <c r="X831" s="307"/>
      <c r="Y831" s="307"/>
      <c r="Z831" s="307"/>
      <c r="AA831" s="307"/>
      <c r="AB831" s="307"/>
      <c r="AC831" s="307"/>
      <c r="AD831" s="307"/>
      <c r="AE831" s="307"/>
      <c r="AF831" s="307"/>
      <c r="AG831" s="307"/>
      <c r="AH831" s="307"/>
    </row>
    <row r="832" spans="1:34" ht="17.399999999999999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  <c r="M832" s="307"/>
      <c r="N832" s="307"/>
      <c r="O832" s="307"/>
      <c r="P832" s="307"/>
      <c r="Q832" s="307"/>
      <c r="R832" s="307"/>
      <c r="S832" s="307"/>
      <c r="T832" s="307"/>
      <c r="U832" s="307"/>
      <c r="V832" s="307"/>
      <c r="W832" s="307"/>
      <c r="X832" s="307"/>
      <c r="Y832" s="307"/>
      <c r="Z832" s="307"/>
      <c r="AA832" s="307"/>
      <c r="AB832" s="307"/>
      <c r="AC832" s="307"/>
      <c r="AD832" s="307"/>
      <c r="AE832" s="307"/>
      <c r="AF832" s="307"/>
      <c r="AG832" s="307"/>
      <c r="AH832" s="307"/>
    </row>
    <row r="833" spans="1:34" ht="17.399999999999999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  <c r="M833" s="307"/>
      <c r="N833" s="307"/>
      <c r="O833" s="307"/>
      <c r="P833" s="307"/>
      <c r="Q833" s="307"/>
      <c r="R833" s="307"/>
      <c r="S833" s="307"/>
      <c r="T833" s="307"/>
      <c r="U833" s="307"/>
      <c r="V833" s="307"/>
      <c r="W833" s="307"/>
      <c r="X833" s="307"/>
      <c r="Y833" s="307"/>
      <c r="Z833" s="307"/>
      <c r="AA833" s="307"/>
      <c r="AB833" s="307"/>
      <c r="AC833" s="307"/>
      <c r="AD833" s="307"/>
      <c r="AE833" s="307"/>
      <c r="AF833" s="307"/>
      <c r="AG833" s="307"/>
      <c r="AH833" s="307"/>
    </row>
    <row r="834" spans="1:34" ht="17.399999999999999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  <c r="M834" s="307"/>
      <c r="N834" s="307"/>
      <c r="O834" s="307"/>
      <c r="P834" s="307"/>
      <c r="Q834" s="307"/>
      <c r="R834" s="307"/>
      <c r="S834" s="307"/>
      <c r="T834" s="307"/>
      <c r="U834" s="307"/>
      <c r="V834" s="307"/>
      <c r="W834" s="307"/>
      <c r="X834" s="307"/>
      <c r="Y834" s="307"/>
      <c r="Z834" s="307"/>
      <c r="AA834" s="307"/>
      <c r="AB834" s="307"/>
      <c r="AC834" s="307"/>
      <c r="AD834" s="307"/>
      <c r="AE834" s="307"/>
      <c r="AF834" s="307"/>
      <c r="AG834" s="307"/>
      <c r="AH834" s="307"/>
    </row>
    <row r="835" spans="1:34" ht="17.399999999999999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  <c r="M835" s="307"/>
      <c r="N835" s="307"/>
      <c r="O835" s="307"/>
      <c r="P835" s="307"/>
      <c r="Q835" s="307"/>
      <c r="R835" s="307"/>
      <c r="S835" s="307"/>
      <c r="T835" s="307"/>
      <c r="U835" s="307"/>
      <c r="V835" s="307"/>
      <c r="W835" s="307"/>
      <c r="X835" s="307"/>
      <c r="Y835" s="307"/>
      <c r="Z835" s="307"/>
      <c r="AA835" s="307"/>
      <c r="AB835" s="307"/>
      <c r="AC835" s="307"/>
      <c r="AD835" s="307"/>
      <c r="AE835" s="307"/>
      <c r="AF835" s="307"/>
      <c r="AG835" s="307"/>
      <c r="AH835" s="307"/>
    </row>
    <row r="836" spans="1:34" ht="17.399999999999999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  <c r="M836" s="307"/>
      <c r="N836" s="307"/>
      <c r="O836" s="307"/>
      <c r="P836" s="307"/>
      <c r="Q836" s="307"/>
      <c r="R836" s="307"/>
      <c r="S836" s="307"/>
      <c r="T836" s="307"/>
      <c r="U836" s="307"/>
      <c r="V836" s="307"/>
      <c r="W836" s="307"/>
      <c r="X836" s="307"/>
      <c r="Y836" s="307"/>
      <c r="Z836" s="307"/>
      <c r="AA836" s="307"/>
      <c r="AB836" s="307"/>
      <c r="AC836" s="307"/>
      <c r="AD836" s="307"/>
      <c r="AE836" s="307"/>
      <c r="AF836" s="307"/>
      <c r="AG836" s="307"/>
      <c r="AH836" s="307"/>
    </row>
    <row r="837" spans="1:34" ht="17.399999999999999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  <c r="M837" s="307"/>
      <c r="N837" s="307"/>
      <c r="O837" s="307"/>
      <c r="P837" s="307"/>
      <c r="Q837" s="307"/>
      <c r="R837" s="307"/>
      <c r="S837" s="307"/>
      <c r="T837" s="307"/>
      <c r="U837" s="307"/>
      <c r="V837" s="307"/>
      <c r="W837" s="307"/>
      <c r="X837" s="307"/>
      <c r="Y837" s="307"/>
      <c r="Z837" s="307"/>
      <c r="AA837" s="307"/>
      <c r="AB837" s="307"/>
      <c r="AC837" s="307"/>
      <c r="AD837" s="307"/>
      <c r="AE837" s="307"/>
      <c r="AF837" s="307"/>
      <c r="AG837" s="307"/>
      <c r="AH837" s="307"/>
    </row>
    <row r="838" spans="1:34" ht="17.399999999999999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  <c r="M838" s="307"/>
      <c r="N838" s="307"/>
      <c r="O838" s="307"/>
      <c r="P838" s="307"/>
      <c r="Q838" s="307"/>
      <c r="R838" s="307"/>
      <c r="S838" s="307"/>
      <c r="T838" s="307"/>
      <c r="U838" s="307"/>
      <c r="V838" s="307"/>
      <c r="W838" s="307"/>
      <c r="X838" s="307"/>
      <c r="Y838" s="307"/>
      <c r="Z838" s="307"/>
      <c r="AA838" s="307"/>
      <c r="AB838" s="307"/>
      <c r="AC838" s="307"/>
      <c r="AD838" s="307"/>
      <c r="AE838" s="307"/>
      <c r="AF838" s="307"/>
      <c r="AG838" s="307"/>
      <c r="AH838" s="307"/>
    </row>
    <row r="839" spans="1:34" ht="17.399999999999999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  <c r="M839" s="307"/>
      <c r="N839" s="307"/>
      <c r="O839" s="307"/>
      <c r="P839" s="307"/>
      <c r="Q839" s="307"/>
      <c r="R839" s="307"/>
      <c r="S839" s="307"/>
      <c r="T839" s="307"/>
      <c r="U839" s="307"/>
      <c r="V839" s="307"/>
      <c r="W839" s="307"/>
      <c r="X839" s="307"/>
      <c r="Y839" s="307"/>
      <c r="Z839" s="307"/>
      <c r="AA839" s="307"/>
      <c r="AB839" s="307"/>
      <c r="AC839" s="307"/>
      <c r="AD839" s="307"/>
      <c r="AE839" s="307"/>
      <c r="AF839" s="307"/>
      <c r="AG839" s="307"/>
      <c r="AH839" s="307"/>
    </row>
    <row r="840" spans="1:34" ht="17.399999999999999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  <c r="M840" s="307"/>
      <c r="N840" s="307"/>
      <c r="O840" s="307"/>
      <c r="P840" s="307"/>
      <c r="Q840" s="307"/>
      <c r="R840" s="307"/>
      <c r="S840" s="307"/>
      <c r="T840" s="307"/>
      <c r="U840" s="307"/>
      <c r="V840" s="307"/>
      <c r="W840" s="307"/>
      <c r="X840" s="307"/>
      <c r="Y840" s="307"/>
      <c r="Z840" s="307"/>
      <c r="AA840" s="307"/>
      <c r="AB840" s="307"/>
      <c r="AC840" s="307"/>
      <c r="AD840" s="307"/>
      <c r="AE840" s="307"/>
      <c r="AF840" s="307"/>
      <c r="AG840" s="307"/>
      <c r="AH840" s="307"/>
    </row>
    <row r="841" spans="1:34" ht="17.399999999999999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  <c r="M841" s="307"/>
      <c r="N841" s="307"/>
      <c r="O841" s="307"/>
      <c r="P841" s="307"/>
      <c r="Q841" s="307"/>
      <c r="R841" s="307"/>
      <c r="S841" s="307"/>
      <c r="T841" s="307"/>
      <c r="U841" s="307"/>
      <c r="V841" s="307"/>
      <c r="W841" s="307"/>
      <c r="X841" s="307"/>
      <c r="Y841" s="307"/>
      <c r="Z841" s="307"/>
      <c r="AA841" s="307"/>
      <c r="AB841" s="307"/>
      <c r="AC841" s="307"/>
      <c r="AD841" s="307"/>
      <c r="AE841" s="307"/>
      <c r="AF841" s="307"/>
      <c r="AG841" s="307"/>
      <c r="AH841" s="307"/>
    </row>
    <row r="842" spans="1:34" ht="17.399999999999999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  <c r="M842" s="307"/>
      <c r="N842" s="307"/>
      <c r="O842" s="307"/>
      <c r="P842" s="307"/>
      <c r="Q842" s="307"/>
      <c r="R842" s="307"/>
      <c r="S842" s="307"/>
      <c r="T842" s="307"/>
      <c r="U842" s="307"/>
      <c r="V842" s="307"/>
      <c r="W842" s="307"/>
      <c r="X842" s="307"/>
      <c r="Y842" s="307"/>
      <c r="Z842" s="307"/>
      <c r="AA842" s="307"/>
      <c r="AB842" s="307"/>
      <c r="AC842" s="307"/>
      <c r="AD842" s="307"/>
      <c r="AE842" s="307"/>
      <c r="AF842" s="307"/>
      <c r="AG842" s="307"/>
      <c r="AH842" s="307"/>
    </row>
    <row r="843" spans="1:34" ht="17.399999999999999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  <c r="M843" s="307"/>
      <c r="N843" s="307"/>
      <c r="O843" s="307"/>
      <c r="P843" s="307"/>
      <c r="Q843" s="307"/>
      <c r="R843" s="307"/>
      <c r="S843" s="307"/>
      <c r="T843" s="307"/>
      <c r="U843" s="307"/>
      <c r="V843" s="307"/>
      <c r="W843" s="307"/>
      <c r="X843" s="307"/>
      <c r="Y843" s="307"/>
      <c r="Z843" s="307"/>
      <c r="AA843" s="307"/>
      <c r="AB843" s="307"/>
      <c r="AC843" s="307"/>
      <c r="AD843" s="307"/>
      <c r="AE843" s="307"/>
      <c r="AF843" s="307"/>
      <c r="AG843" s="307"/>
      <c r="AH843" s="307"/>
    </row>
    <row r="844" spans="1:34" ht="17.399999999999999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  <c r="M844" s="307"/>
      <c r="N844" s="307"/>
      <c r="O844" s="307"/>
      <c r="P844" s="307"/>
      <c r="Q844" s="307"/>
      <c r="R844" s="307"/>
      <c r="S844" s="307"/>
      <c r="T844" s="307"/>
      <c r="U844" s="307"/>
      <c r="V844" s="307"/>
      <c r="W844" s="307"/>
      <c r="X844" s="307"/>
      <c r="Y844" s="307"/>
      <c r="Z844" s="307"/>
      <c r="AA844" s="307"/>
      <c r="AB844" s="307"/>
      <c r="AC844" s="307"/>
      <c r="AD844" s="307"/>
      <c r="AE844" s="307"/>
      <c r="AF844" s="307"/>
      <c r="AG844" s="307"/>
      <c r="AH844" s="307"/>
    </row>
    <row r="845" spans="1:34" ht="17.399999999999999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  <c r="M845" s="307"/>
      <c r="N845" s="307"/>
      <c r="O845" s="307"/>
      <c r="P845" s="307"/>
      <c r="Q845" s="307"/>
      <c r="R845" s="307"/>
      <c r="S845" s="307"/>
      <c r="T845" s="307"/>
      <c r="U845" s="307"/>
      <c r="V845" s="307"/>
      <c r="W845" s="307"/>
      <c r="X845" s="307"/>
      <c r="Y845" s="307"/>
      <c r="Z845" s="307"/>
      <c r="AA845" s="307"/>
      <c r="AB845" s="307"/>
      <c r="AC845" s="307"/>
      <c r="AD845" s="307"/>
      <c r="AE845" s="307"/>
      <c r="AF845" s="307"/>
      <c r="AG845" s="307"/>
      <c r="AH845" s="307"/>
    </row>
    <row r="846" spans="1:34" ht="17.399999999999999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  <c r="M846" s="307"/>
      <c r="N846" s="307"/>
      <c r="O846" s="307"/>
      <c r="P846" s="307"/>
      <c r="Q846" s="307"/>
      <c r="R846" s="307"/>
      <c r="S846" s="307"/>
      <c r="T846" s="307"/>
      <c r="U846" s="307"/>
      <c r="V846" s="307"/>
      <c r="W846" s="307"/>
      <c r="X846" s="307"/>
      <c r="Y846" s="307"/>
      <c r="Z846" s="307"/>
      <c r="AA846" s="307"/>
      <c r="AB846" s="307"/>
      <c r="AC846" s="307"/>
      <c r="AD846" s="307"/>
      <c r="AE846" s="307"/>
      <c r="AF846" s="307"/>
      <c r="AG846" s="307"/>
      <c r="AH846" s="307"/>
    </row>
    <row r="847" spans="1:34" ht="17.399999999999999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  <c r="M847" s="307"/>
      <c r="N847" s="307"/>
      <c r="O847" s="307"/>
      <c r="P847" s="307"/>
      <c r="Q847" s="307"/>
      <c r="R847" s="307"/>
      <c r="S847" s="307"/>
      <c r="T847" s="307"/>
      <c r="U847" s="307"/>
      <c r="V847" s="307"/>
      <c r="W847" s="307"/>
      <c r="X847" s="307"/>
      <c r="Y847" s="307"/>
      <c r="Z847" s="307"/>
      <c r="AA847" s="307"/>
      <c r="AB847" s="307"/>
      <c r="AC847" s="307"/>
      <c r="AD847" s="307"/>
      <c r="AE847" s="307"/>
      <c r="AF847" s="307"/>
      <c r="AG847" s="307"/>
      <c r="AH847" s="307"/>
    </row>
    <row r="848" spans="1:34" ht="17.399999999999999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  <c r="M848" s="307"/>
      <c r="N848" s="307"/>
      <c r="O848" s="307"/>
      <c r="P848" s="307"/>
      <c r="Q848" s="307"/>
      <c r="R848" s="307"/>
      <c r="S848" s="307"/>
      <c r="T848" s="307"/>
      <c r="U848" s="307"/>
      <c r="V848" s="307"/>
      <c r="W848" s="307"/>
      <c r="X848" s="307"/>
      <c r="Y848" s="307"/>
      <c r="Z848" s="307"/>
      <c r="AA848" s="307"/>
      <c r="AB848" s="307"/>
      <c r="AC848" s="307"/>
      <c r="AD848" s="307"/>
      <c r="AE848" s="307"/>
      <c r="AF848" s="307"/>
      <c r="AG848" s="307"/>
      <c r="AH848" s="307"/>
    </row>
    <row r="849" spans="1:34" ht="17.399999999999999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  <c r="M849" s="307"/>
      <c r="N849" s="307"/>
      <c r="O849" s="307"/>
      <c r="P849" s="307"/>
      <c r="Q849" s="307"/>
      <c r="R849" s="307"/>
      <c r="S849" s="307"/>
      <c r="T849" s="307"/>
      <c r="U849" s="307"/>
      <c r="V849" s="307"/>
      <c r="W849" s="307"/>
      <c r="X849" s="307"/>
      <c r="Y849" s="307"/>
      <c r="Z849" s="307"/>
      <c r="AA849" s="307"/>
      <c r="AB849" s="307"/>
      <c r="AC849" s="307"/>
      <c r="AD849" s="307"/>
      <c r="AE849" s="307"/>
      <c r="AF849" s="307"/>
      <c r="AG849" s="307"/>
      <c r="AH849" s="307"/>
    </row>
    <row r="850" spans="1:34" ht="17.399999999999999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  <c r="M850" s="307"/>
      <c r="N850" s="307"/>
      <c r="O850" s="307"/>
      <c r="P850" s="307"/>
      <c r="Q850" s="307"/>
      <c r="R850" s="307"/>
      <c r="S850" s="307"/>
      <c r="T850" s="307"/>
      <c r="U850" s="307"/>
      <c r="V850" s="307"/>
      <c r="W850" s="307"/>
      <c r="X850" s="307"/>
      <c r="Y850" s="307"/>
      <c r="Z850" s="307"/>
      <c r="AA850" s="307"/>
      <c r="AB850" s="307"/>
      <c r="AC850" s="307"/>
      <c r="AD850" s="307"/>
      <c r="AE850" s="307"/>
      <c r="AF850" s="307"/>
      <c r="AG850" s="307"/>
      <c r="AH850" s="307"/>
    </row>
    <row r="851" spans="1:34" ht="17.399999999999999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  <c r="M851" s="307"/>
      <c r="N851" s="307"/>
      <c r="O851" s="307"/>
      <c r="P851" s="307"/>
      <c r="Q851" s="307"/>
      <c r="R851" s="307"/>
      <c r="S851" s="307"/>
      <c r="T851" s="307"/>
      <c r="U851" s="307"/>
      <c r="V851" s="307"/>
      <c r="W851" s="307"/>
      <c r="X851" s="307"/>
      <c r="Y851" s="307"/>
      <c r="Z851" s="307"/>
      <c r="AA851" s="307"/>
      <c r="AB851" s="307"/>
      <c r="AC851" s="307"/>
      <c r="AD851" s="307"/>
      <c r="AE851" s="307"/>
      <c r="AF851" s="307"/>
      <c r="AG851" s="307"/>
      <c r="AH851" s="307"/>
    </row>
    <row r="852" spans="1:34" ht="17.399999999999999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  <c r="M852" s="307"/>
      <c r="N852" s="307"/>
      <c r="O852" s="307"/>
      <c r="P852" s="307"/>
      <c r="Q852" s="307"/>
      <c r="R852" s="307"/>
      <c r="S852" s="307"/>
      <c r="T852" s="307"/>
      <c r="U852" s="307"/>
      <c r="V852" s="307"/>
      <c r="W852" s="307"/>
      <c r="X852" s="307"/>
      <c r="Y852" s="307"/>
      <c r="Z852" s="307"/>
      <c r="AA852" s="307"/>
      <c r="AB852" s="307"/>
      <c r="AC852" s="307"/>
      <c r="AD852" s="307"/>
      <c r="AE852" s="307"/>
      <c r="AF852" s="307"/>
      <c r="AG852" s="307"/>
      <c r="AH852" s="307"/>
    </row>
    <row r="853" spans="1:34" ht="17.399999999999999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  <c r="M853" s="307"/>
      <c r="N853" s="307"/>
      <c r="O853" s="307"/>
      <c r="P853" s="307"/>
      <c r="Q853" s="307"/>
      <c r="R853" s="307"/>
      <c r="S853" s="307"/>
      <c r="T853" s="307"/>
      <c r="U853" s="307"/>
      <c r="V853" s="307"/>
      <c r="W853" s="307"/>
      <c r="X853" s="307"/>
      <c r="Y853" s="307"/>
      <c r="Z853" s="307"/>
      <c r="AA853" s="307"/>
      <c r="AB853" s="307"/>
      <c r="AC853" s="307"/>
      <c r="AD853" s="307"/>
      <c r="AE853" s="307"/>
      <c r="AF853" s="307"/>
      <c r="AG853" s="307"/>
      <c r="AH853" s="307"/>
    </row>
    <row r="854" spans="1:34" ht="17.399999999999999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  <c r="M854" s="307"/>
      <c r="N854" s="307"/>
      <c r="O854" s="307"/>
      <c r="P854" s="307"/>
      <c r="Q854" s="307"/>
      <c r="R854" s="307"/>
      <c r="S854" s="307"/>
      <c r="T854" s="307"/>
      <c r="U854" s="307"/>
      <c r="V854" s="307"/>
      <c r="W854" s="307"/>
      <c r="X854" s="307"/>
      <c r="Y854" s="307"/>
      <c r="Z854" s="307"/>
      <c r="AA854" s="307"/>
      <c r="AB854" s="307"/>
      <c r="AC854" s="307"/>
      <c r="AD854" s="307"/>
      <c r="AE854" s="307"/>
      <c r="AF854" s="307"/>
      <c r="AG854" s="307"/>
      <c r="AH854" s="307"/>
    </row>
    <row r="855" spans="1:34" ht="17.399999999999999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  <c r="M855" s="307"/>
      <c r="N855" s="307"/>
      <c r="O855" s="307"/>
      <c r="P855" s="307"/>
      <c r="Q855" s="307"/>
      <c r="R855" s="307"/>
      <c r="S855" s="307"/>
      <c r="T855" s="307"/>
      <c r="U855" s="307"/>
      <c r="V855" s="307"/>
      <c r="W855" s="307"/>
      <c r="X855" s="307"/>
      <c r="Y855" s="307"/>
      <c r="Z855" s="307"/>
      <c r="AA855" s="307"/>
      <c r="AB855" s="307"/>
      <c r="AC855" s="307"/>
      <c r="AD855" s="307"/>
      <c r="AE855" s="307"/>
      <c r="AF855" s="307"/>
      <c r="AG855" s="307"/>
      <c r="AH855" s="307"/>
    </row>
    <row r="856" spans="1:34" ht="17.399999999999999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</row>
    <row r="857" spans="1:34" ht="17.399999999999999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  <c r="M857" s="307"/>
      <c r="N857" s="307"/>
      <c r="O857" s="307"/>
      <c r="P857" s="307"/>
      <c r="Q857" s="307"/>
      <c r="R857" s="307"/>
      <c r="S857" s="307"/>
      <c r="T857" s="307"/>
      <c r="U857" s="307"/>
      <c r="V857" s="307"/>
      <c r="W857" s="307"/>
      <c r="X857" s="307"/>
      <c r="Y857" s="307"/>
      <c r="Z857" s="307"/>
      <c r="AA857" s="307"/>
      <c r="AB857" s="307"/>
      <c r="AC857" s="307"/>
      <c r="AD857" s="307"/>
      <c r="AE857" s="307"/>
      <c r="AF857" s="307"/>
      <c r="AG857" s="307"/>
      <c r="AH857" s="307"/>
    </row>
    <row r="858" spans="1:34" ht="17.399999999999999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  <c r="M858" s="307"/>
      <c r="N858" s="307"/>
      <c r="O858" s="307"/>
      <c r="P858" s="307"/>
      <c r="Q858" s="307"/>
      <c r="R858" s="307"/>
      <c r="S858" s="307"/>
      <c r="T858" s="307"/>
      <c r="U858" s="307"/>
      <c r="V858" s="307"/>
      <c r="W858" s="307"/>
      <c r="X858" s="307"/>
      <c r="Y858" s="307"/>
      <c r="Z858" s="307"/>
      <c r="AA858" s="307"/>
      <c r="AB858" s="307"/>
      <c r="AC858" s="307"/>
      <c r="AD858" s="307"/>
      <c r="AE858" s="307"/>
      <c r="AF858" s="307"/>
      <c r="AG858" s="307"/>
      <c r="AH858" s="307"/>
    </row>
    <row r="859" spans="1:34" ht="17.399999999999999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  <c r="M859" s="307"/>
      <c r="N859" s="307"/>
      <c r="O859" s="307"/>
      <c r="P859" s="307"/>
      <c r="Q859" s="307"/>
      <c r="R859" s="307"/>
      <c r="S859" s="307"/>
      <c r="T859" s="307"/>
      <c r="U859" s="307"/>
      <c r="V859" s="307"/>
      <c r="W859" s="307"/>
      <c r="X859" s="307"/>
      <c r="Y859" s="307"/>
      <c r="Z859" s="307"/>
      <c r="AA859" s="307"/>
      <c r="AB859" s="307"/>
      <c r="AC859" s="307"/>
      <c r="AD859" s="307"/>
      <c r="AE859" s="307"/>
      <c r="AF859" s="307"/>
      <c r="AG859" s="307"/>
      <c r="AH859" s="307"/>
    </row>
    <row r="860" spans="1:34" ht="17.399999999999999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  <c r="M860" s="307"/>
      <c r="N860" s="307"/>
      <c r="O860" s="307"/>
      <c r="P860" s="307"/>
      <c r="Q860" s="307"/>
      <c r="R860" s="307"/>
      <c r="S860" s="307"/>
      <c r="T860" s="307"/>
      <c r="U860" s="307"/>
      <c r="V860" s="307"/>
      <c r="W860" s="307"/>
      <c r="X860" s="307"/>
      <c r="Y860" s="307"/>
      <c r="Z860" s="307"/>
      <c r="AA860" s="307"/>
      <c r="AB860" s="307"/>
      <c r="AC860" s="307"/>
      <c r="AD860" s="307"/>
      <c r="AE860" s="307"/>
      <c r="AF860" s="307"/>
      <c r="AG860" s="307"/>
      <c r="AH860" s="307"/>
    </row>
    <row r="861" spans="1:34" ht="17.399999999999999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  <c r="M861" s="307"/>
      <c r="N861" s="307"/>
      <c r="O861" s="307"/>
      <c r="P861" s="307"/>
      <c r="Q861" s="307"/>
      <c r="R861" s="307"/>
      <c r="S861" s="307"/>
      <c r="T861" s="307"/>
      <c r="U861" s="307"/>
      <c r="V861" s="307"/>
      <c r="W861" s="307"/>
      <c r="X861" s="307"/>
      <c r="Y861" s="307"/>
      <c r="Z861" s="307"/>
      <c r="AA861" s="307"/>
      <c r="AB861" s="307"/>
      <c r="AC861" s="307"/>
      <c r="AD861" s="307"/>
      <c r="AE861" s="307"/>
      <c r="AF861" s="307"/>
      <c r="AG861" s="307"/>
      <c r="AH861" s="307"/>
    </row>
    <row r="862" spans="1:34" ht="17.399999999999999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  <c r="M862" s="307"/>
      <c r="N862" s="307"/>
      <c r="O862" s="307"/>
      <c r="P862" s="307"/>
      <c r="Q862" s="307"/>
      <c r="R862" s="307"/>
      <c r="S862" s="307"/>
      <c r="T862" s="307"/>
      <c r="U862" s="307"/>
      <c r="V862" s="307"/>
      <c r="W862" s="307"/>
      <c r="X862" s="307"/>
      <c r="Y862" s="307"/>
      <c r="Z862" s="307"/>
      <c r="AA862" s="307"/>
      <c r="AB862" s="307"/>
      <c r="AC862" s="307"/>
      <c r="AD862" s="307"/>
      <c r="AE862" s="307"/>
      <c r="AF862" s="307"/>
      <c r="AG862" s="307"/>
      <c r="AH862" s="307"/>
    </row>
    <row r="863" spans="1:34" ht="17.399999999999999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  <c r="M863" s="307"/>
      <c r="N863" s="307"/>
      <c r="O863" s="307"/>
      <c r="P863" s="307"/>
      <c r="Q863" s="307"/>
      <c r="R863" s="307"/>
      <c r="S863" s="307"/>
      <c r="T863" s="307"/>
      <c r="U863" s="307"/>
      <c r="V863" s="307"/>
      <c r="W863" s="307"/>
      <c r="X863" s="307"/>
      <c r="Y863" s="307"/>
      <c r="Z863" s="307"/>
      <c r="AA863" s="307"/>
      <c r="AB863" s="307"/>
      <c r="AC863" s="307"/>
      <c r="AD863" s="307"/>
      <c r="AE863" s="307"/>
      <c r="AF863" s="307"/>
      <c r="AG863" s="307"/>
      <c r="AH863" s="307"/>
    </row>
    <row r="864" spans="1:34" ht="17.399999999999999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  <c r="M864" s="307"/>
      <c r="N864" s="307"/>
      <c r="O864" s="307"/>
      <c r="P864" s="307"/>
      <c r="Q864" s="307"/>
      <c r="R864" s="307"/>
      <c r="S864" s="307"/>
      <c r="T864" s="307"/>
      <c r="U864" s="307"/>
      <c r="V864" s="307"/>
      <c r="W864" s="307"/>
      <c r="X864" s="307"/>
      <c r="Y864" s="307"/>
      <c r="Z864" s="307"/>
      <c r="AA864" s="307"/>
      <c r="AB864" s="307"/>
      <c r="AC864" s="307"/>
      <c r="AD864" s="307"/>
      <c r="AE864" s="307"/>
      <c r="AF864" s="307"/>
      <c r="AG864" s="307"/>
      <c r="AH864" s="307"/>
    </row>
    <row r="865" spans="1:34" ht="17.399999999999999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  <c r="M865" s="307"/>
      <c r="N865" s="307"/>
      <c r="O865" s="307"/>
      <c r="P865" s="307"/>
      <c r="Q865" s="307"/>
      <c r="R865" s="307"/>
      <c r="S865" s="307"/>
      <c r="T865" s="307"/>
      <c r="U865" s="307"/>
      <c r="V865" s="307"/>
      <c r="W865" s="307"/>
      <c r="X865" s="307"/>
      <c r="Y865" s="307"/>
      <c r="Z865" s="307"/>
      <c r="AA865" s="307"/>
      <c r="AB865" s="307"/>
      <c r="AC865" s="307"/>
      <c r="AD865" s="307"/>
      <c r="AE865" s="307"/>
      <c r="AF865" s="307"/>
      <c r="AG865" s="307"/>
      <c r="AH865" s="307"/>
    </row>
    <row r="866" spans="1:34" ht="17.399999999999999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  <c r="M866" s="307"/>
      <c r="N866" s="307"/>
      <c r="O866" s="307"/>
      <c r="P866" s="307"/>
      <c r="Q866" s="307"/>
      <c r="R866" s="307"/>
      <c r="S866" s="307"/>
      <c r="T866" s="307"/>
      <c r="U866" s="307"/>
      <c r="V866" s="307"/>
      <c r="W866" s="307"/>
      <c r="X866" s="307"/>
      <c r="Y866" s="307"/>
      <c r="Z866" s="307"/>
      <c r="AA866" s="307"/>
      <c r="AB866" s="307"/>
      <c r="AC866" s="307"/>
      <c r="AD866" s="307"/>
      <c r="AE866" s="307"/>
      <c r="AF866" s="307"/>
      <c r="AG866" s="307"/>
      <c r="AH866" s="307"/>
    </row>
    <row r="867" spans="1:34" ht="17.399999999999999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  <c r="M867" s="307"/>
      <c r="N867" s="307"/>
      <c r="O867" s="307"/>
      <c r="P867" s="307"/>
      <c r="Q867" s="307"/>
      <c r="R867" s="307"/>
      <c r="S867" s="307"/>
      <c r="T867" s="307"/>
      <c r="U867" s="307"/>
      <c r="V867" s="307"/>
      <c r="W867" s="307"/>
      <c r="X867" s="307"/>
      <c r="Y867" s="307"/>
      <c r="Z867" s="307"/>
      <c r="AA867" s="307"/>
      <c r="AB867" s="307"/>
      <c r="AC867" s="307"/>
      <c r="AD867" s="307"/>
      <c r="AE867" s="307"/>
      <c r="AF867" s="307"/>
      <c r="AG867" s="307"/>
      <c r="AH867" s="307"/>
    </row>
    <row r="868" spans="1:34" ht="17.399999999999999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  <c r="M868" s="307"/>
      <c r="N868" s="307"/>
      <c r="O868" s="307"/>
      <c r="P868" s="307"/>
      <c r="Q868" s="307"/>
      <c r="R868" s="307"/>
      <c r="S868" s="307"/>
      <c r="T868" s="307"/>
      <c r="U868" s="307"/>
      <c r="V868" s="307"/>
      <c r="W868" s="307"/>
      <c r="X868" s="307"/>
      <c r="Y868" s="307"/>
      <c r="Z868" s="307"/>
      <c r="AA868" s="307"/>
      <c r="AB868" s="307"/>
      <c r="AC868" s="307"/>
      <c r="AD868" s="307"/>
      <c r="AE868" s="307"/>
      <c r="AF868" s="307"/>
      <c r="AG868" s="307"/>
      <c r="AH868" s="307"/>
    </row>
    <row r="869" spans="1:34" ht="17.399999999999999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  <c r="M869" s="307"/>
      <c r="N869" s="307"/>
      <c r="O869" s="307"/>
      <c r="P869" s="307"/>
      <c r="Q869" s="307"/>
      <c r="R869" s="307"/>
      <c r="S869" s="307"/>
      <c r="T869" s="307"/>
      <c r="U869" s="307"/>
      <c r="V869" s="307"/>
      <c r="W869" s="307"/>
      <c r="X869" s="307"/>
      <c r="Y869" s="307"/>
      <c r="Z869" s="307"/>
      <c r="AA869" s="307"/>
      <c r="AB869" s="307"/>
      <c r="AC869" s="307"/>
      <c r="AD869" s="307"/>
      <c r="AE869" s="307"/>
      <c r="AF869" s="307"/>
      <c r="AG869" s="307"/>
      <c r="AH869" s="307"/>
    </row>
    <row r="870" spans="1:34" ht="17.399999999999999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  <c r="M870" s="307"/>
      <c r="N870" s="307"/>
      <c r="O870" s="307"/>
      <c r="P870" s="307"/>
      <c r="Q870" s="307"/>
      <c r="R870" s="307"/>
      <c r="S870" s="307"/>
      <c r="T870" s="307"/>
      <c r="U870" s="307"/>
      <c r="V870" s="307"/>
      <c r="W870" s="307"/>
      <c r="X870" s="307"/>
      <c r="Y870" s="307"/>
      <c r="Z870" s="307"/>
      <c r="AA870" s="307"/>
      <c r="AB870" s="307"/>
      <c r="AC870" s="307"/>
      <c r="AD870" s="307"/>
      <c r="AE870" s="307"/>
      <c r="AF870" s="307"/>
      <c r="AG870" s="307"/>
      <c r="AH870" s="307"/>
    </row>
    <row r="871" spans="1:34" ht="17.399999999999999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  <c r="M871" s="307"/>
      <c r="N871" s="307"/>
      <c r="O871" s="307"/>
      <c r="P871" s="307"/>
      <c r="Q871" s="307"/>
      <c r="R871" s="307"/>
      <c r="S871" s="307"/>
      <c r="T871" s="307"/>
      <c r="U871" s="307"/>
      <c r="V871" s="307"/>
      <c r="W871" s="307"/>
      <c r="X871" s="307"/>
      <c r="Y871" s="307"/>
      <c r="Z871" s="307"/>
      <c r="AA871" s="307"/>
      <c r="AB871" s="307"/>
      <c r="AC871" s="307"/>
      <c r="AD871" s="307"/>
      <c r="AE871" s="307"/>
      <c r="AF871" s="307"/>
      <c r="AG871" s="307"/>
      <c r="AH871" s="307"/>
    </row>
    <row r="872" spans="1:34" ht="17.399999999999999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  <c r="M872" s="307"/>
      <c r="N872" s="307"/>
      <c r="O872" s="307"/>
      <c r="P872" s="307"/>
      <c r="Q872" s="307"/>
      <c r="R872" s="307"/>
      <c r="S872" s="307"/>
      <c r="T872" s="307"/>
      <c r="U872" s="307"/>
      <c r="V872" s="307"/>
      <c r="W872" s="307"/>
      <c r="X872" s="307"/>
      <c r="Y872" s="307"/>
      <c r="Z872" s="307"/>
      <c r="AA872" s="307"/>
      <c r="AB872" s="307"/>
      <c r="AC872" s="307"/>
      <c r="AD872" s="307"/>
      <c r="AE872" s="307"/>
      <c r="AF872" s="307"/>
      <c r="AG872" s="307"/>
      <c r="AH872" s="307"/>
    </row>
    <row r="873" spans="1:34" ht="17.399999999999999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  <c r="M873" s="307"/>
      <c r="N873" s="307"/>
      <c r="O873" s="307"/>
      <c r="P873" s="307"/>
      <c r="Q873" s="307"/>
      <c r="R873" s="307"/>
      <c r="S873" s="307"/>
      <c r="T873" s="307"/>
      <c r="U873" s="307"/>
      <c r="V873" s="307"/>
      <c r="W873" s="307"/>
      <c r="X873" s="307"/>
      <c r="Y873" s="307"/>
      <c r="Z873" s="307"/>
      <c r="AA873" s="307"/>
      <c r="AB873" s="307"/>
      <c r="AC873" s="307"/>
      <c r="AD873" s="307"/>
      <c r="AE873" s="307"/>
      <c r="AF873" s="307"/>
      <c r="AG873" s="307"/>
      <c r="AH873" s="307"/>
    </row>
    <row r="874" spans="1:34" ht="17.399999999999999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  <c r="M874" s="307"/>
      <c r="N874" s="307"/>
      <c r="O874" s="307"/>
      <c r="P874" s="307"/>
      <c r="Q874" s="307"/>
      <c r="R874" s="307"/>
      <c r="S874" s="307"/>
      <c r="T874" s="307"/>
      <c r="U874" s="307"/>
      <c r="V874" s="307"/>
      <c r="W874" s="307"/>
      <c r="X874" s="307"/>
      <c r="Y874" s="307"/>
      <c r="Z874" s="307"/>
      <c r="AA874" s="307"/>
      <c r="AB874" s="307"/>
      <c r="AC874" s="307"/>
      <c r="AD874" s="307"/>
      <c r="AE874" s="307"/>
      <c r="AF874" s="307"/>
      <c r="AG874" s="307"/>
      <c r="AH874" s="307"/>
    </row>
    <row r="875" spans="1:34" ht="17.399999999999999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  <c r="M875" s="307"/>
      <c r="N875" s="307"/>
      <c r="O875" s="307"/>
      <c r="P875" s="307"/>
      <c r="Q875" s="307"/>
      <c r="R875" s="307"/>
      <c r="S875" s="307"/>
      <c r="T875" s="307"/>
      <c r="U875" s="307"/>
      <c r="V875" s="307"/>
      <c r="W875" s="307"/>
      <c r="X875" s="307"/>
      <c r="Y875" s="307"/>
      <c r="Z875" s="307"/>
      <c r="AA875" s="307"/>
      <c r="AB875" s="307"/>
      <c r="AC875" s="307"/>
      <c r="AD875" s="307"/>
      <c r="AE875" s="307"/>
      <c r="AF875" s="307"/>
      <c r="AG875" s="307"/>
      <c r="AH875" s="307"/>
    </row>
    <row r="876" spans="1:34" ht="17.399999999999999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  <c r="M876" s="307"/>
      <c r="N876" s="307"/>
      <c r="O876" s="307"/>
      <c r="P876" s="307"/>
      <c r="Q876" s="307"/>
      <c r="R876" s="307"/>
      <c r="S876" s="307"/>
      <c r="T876" s="307"/>
      <c r="U876" s="307"/>
      <c r="V876" s="307"/>
      <c r="W876" s="307"/>
      <c r="X876" s="307"/>
      <c r="Y876" s="307"/>
      <c r="Z876" s="307"/>
      <c r="AA876" s="307"/>
      <c r="AB876" s="307"/>
      <c r="AC876" s="307"/>
      <c r="AD876" s="307"/>
      <c r="AE876" s="307"/>
      <c r="AF876" s="307"/>
      <c r="AG876" s="307"/>
      <c r="AH876" s="307"/>
    </row>
    <row r="877" spans="1:34" ht="17.399999999999999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  <c r="M877" s="307"/>
      <c r="N877" s="307"/>
      <c r="O877" s="307"/>
      <c r="P877" s="307"/>
      <c r="Q877" s="307"/>
      <c r="R877" s="307"/>
      <c r="S877" s="307"/>
      <c r="T877" s="307"/>
      <c r="U877" s="307"/>
      <c r="V877" s="307"/>
      <c r="W877" s="307"/>
      <c r="X877" s="307"/>
      <c r="Y877" s="307"/>
      <c r="Z877" s="307"/>
      <c r="AA877" s="307"/>
      <c r="AB877" s="307"/>
      <c r="AC877" s="307"/>
      <c r="AD877" s="307"/>
      <c r="AE877" s="307"/>
      <c r="AF877" s="307"/>
      <c r="AG877" s="307"/>
      <c r="AH877" s="307"/>
    </row>
    <row r="878" spans="1:34" ht="17.399999999999999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  <c r="M878" s="307"/>
      <c r="N878" s="307"/>
      <c r="O878" s="307"/>
      <c r="P878" s="307"/>
      <c r="Q878" s="307"/>
      <c r="R878" s="307"/>
      <c r="S878" s="307"/>
      <c r="T878" s="307"/>
      <c r="U878" s="307"/>
      <c r="V878" s="307"/>
      <c r="W878" s="307"/>
      <c r="X878" s="307"/>
      <c r="Y878" s="307"/>
      <c r="Z878" s="307"/>
      <c r="AA878" s="307"/>
      <c r="AB878" s="307"/>
      <c r="AC878" s="307"/>
      <c r="AD878" s="307"/>
      <c r="AE878" s="307"/>
      <c r="AF878" s="307"/>
      <c r="AG878" s="307"/>
      <c r="AH878" s="307"/>
    </row>
    <row r="879" spans="1:34" ht="17.399999999999999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  <c r="M879" s="307"/>
      <c r="N879" s="307"/>
      <c r="O879" s="307"/>
      <c r="P879" s="307"/>
      <c r="Q879" s="307"/>
      <c r="R879" s="307"/>
      <c r="S879" s="307"/>
      <c r="T879" s="307"/>
      <c r="U879" s="307"/>
      <c r="V879" s="307"/>
      <c r="W879" s="307"/>
      <c r="X879" s="307"/>
      <c r="Y879" s="307"/>
      <c r="Z879" s="307"/>
      <c r="AA879" s="307"/>
      <c r="AB879" s="307"/>
      <c r="AC879" s="307"/>
      <c r="AD879" s="307"/>
      <c r="AE879" s="307"/>
      <c r="AF879" s="307"/>
      <c r="AG879" s="307"/>
      <c r="AH879" s="307"/>
    </row>
    <row r="880" spans="1:34" ht="17.399999999999999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  <c r="M880" s="307"/>
      <c r="N880" s="307"/>
      <c r="O880" s="307"/>
      <c r="P880" s="307"/>
      <c r="Q880" s="307"/>
      <c r="R880" s="307"/>
      <c r="S880" s="307"/>
      <c r="T880" s="307"/>
      <c r="U880" s="307"/>
      <c r="V880" s="307"/>
      <c r="W880" s="307"/>
      <c r="X880" s="307"/>
      <c r="Y880" s="307"/>
      <c r="Z880" s="307"/>
      <c r="AA880" s="307"/>
      <c r="AB880" s="307"/>
      <c r="AC880" s="307"/>
      <c r="AD880" s="307"/>
      <c r="AE880" s="307"/>
      <c r="AF880" s="307"/>
      <c r="AG880" s="307"/>
      <c r="AH880" s="307"/>
    </row>
    <row r="881" spans="1:34" ht="17.399999999999999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  <c r="M881" s="307"/>
      <c r="N881" s="307"/>
      <c r="O881" s="307"/>
      <c r="P881" s="307"/>
      <c r="Q881" s="307"/>
      <c r="R881" s="307"/>
      <c r="S881" s="307"/>
      <c r="T881" s="307"/>
      <c r="U881" s="307"/>
      <c r="V881" s="307"/>
      <c r="W881" s="307"/>
      <c r="X881" s="307"/>
      <c r="Y881" s="307"/>
      <c r="Z881" s="307"/>
      <c r="AA881" s="307"/>
      <c r="AB881" s="307"/>
      <c r="AC881" s="307"/>
      <c r="AD881" s="307"/>
      <c r="AE881" s="307"/>
      <c r="AF881" s="307"/>
      <c r="AG881" s="307"/>
      <c r="AH881" s="307"/>
    </row>
    <row r="882" spans="1:34" ht="17.399999999999999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  <c r="M882" s="307"/>
      <c r="N882" s="307"/>
      <c r="O882" s="307"/>
      <c r="P882" s="307"/>
      <c r="Q882" s="307"/>
      <c r="R882" s="307"/>
      <c r="S882" s="307"/>
      <c r="T882" s="307"/>
      <c r="U882" s="307"/>
      <c r="V882" s="307"/>
      <c r="W882" s="307"/>
      <c r="X882" s="307"/>
      <c r="Y882" s="307"/>
      <c r="Z882" s="307"/>
      <c r="AA882" s="307"/>
      <c r="AB882" s="307"/>
      <c r="AC882" s="307"/>
      <c r="AD882" s="307"/>
      <c r="AE882" s="307"/>
      <c r="AF882" s="307"/>
      <c r="AG882" s="307"/>
      <c r="AH882" s="307"/>
    </row>
    <row r="883" spans="1:34" ht="17.399999999999999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  <c r="M883" s="307"/>
      <c r="N883" s="307"/>
      <c r="O883" s="307"/>
      <c r="P883" s="307"/>
      <c r="Q883" s="307"/>
      <c r="R883" s="307"/>
      <c r="S883" s="307"/>
      <c r="T883" s="307"/>
      <c r="U883" s="307"/>
      <c r="V883" s="307"/>
      <c r="W883" s="307"/>
      <c r="X883" s="307"/>
      <c r="Y883" s="307"/>
      <c r="Z883" s="307"/>
      <c r="AA883" s="307"/>
      <c r="AB883" s="307"/>
      <c r="AC883" s="307"/>
      <c r="AD883" s="307"/>
      <c r="AE883" s="307"/>
      <c r="AF883" s="307"/>
      <c r="AG883" s="307"/>
      <c r="AH883" s="307"/>
    </row>
    <row r="884" spans="1:34" ht="17.399999999999999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  <c r="M884" s="307"/>
      <c r="N884" s="307"/>
      <c r="O884" s="307"/>
      <c r="P884" s="307"/>
      <c r="Q884" s="307"/>
      <c r="R884" s="307"/>
      <c r="S884" s="307"/>
      <c r="T884" s="307"/>
      <c r="U884" s="307"/>
      <c r="V884" s="307"/>
      <c r="W884" s="307"/>
      <c r="X884" s="307"/>
      <c r="Y884" s="307"/>
      <c r="Z884" s="307"/>
      <c r="AA884" s="307"/>
      <c r="AB884" s="307"/>
      <c r="AC884" s="307"/>
      <c r="AD884" s="307"/>
      <c r="AE884" s="307"/>
      <c r="AF884" s="307"/>
      <c r="AG884" s="307"/>
      <c r="AH884" s="307"/>
    </row>
    <row r="885" spans="1:34" ht="17.399999999999999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  <c r="M885" s="307"/>
      <c r="N885" s="307"/>
      <c r="O885" s="307"/>
      <c r="P885" s="307"/>
      <c r="Q885" s="307"/>
      <c r="R885" s="307"/>
      <c r="S885" s="307"/>
      <c r="T885" s="307"/>
      <c r="U885" s="307"/>
      <c r="V885" s="307"/>
      <c r="W885" s="307"/>
      <c r="X885" s="307"/>
      <c r="Y885" s="307"/>
      <c r="Z885" s="307"/>
      <c r="AA885" s="307"/>
      <c r="AB885" s="307"/>
      <c r="AC885" s="307"/>
      <c r="AD885" s="307"/>
      <c r="AE885" s="307"/>
      <c r="AF885" s="307"/>
      <c r="AG885" s="307"/>
      <c r="AH885" s="307"/>
    </row>
    <row r="886" spans="1:34" ht="17.399999999999999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  <c r="M886" s="307"/>
      <c r="N886" s="307"/>
      <c r="O886" s="307"/>
      <c r="P886" s="307"/>
      <c r="Q886" s="307"/>
      <c r="R886" s="307"/>
      <c r="S886" s="307"/>
      <c r="T886" s="307"/>
      <c r="U886" s="307"/>
      <c r="V886" s="307"/>
      <c r="W886" s="307"/>
      <c r="X886" s="307"/>
      <c r="Y886" s="307"/>
      <c r="Z886" s="307"/>
      <c r="AA886" s="307"/>
      <c r="AB886" s="307"/>
      <c r="AC886" s="307"/>
      <c r="AD886" s="307"/>
      <c r="AE886" s="307"/>
      <c r="AF886" s="307"/>
      <c r="AG886" s="307"/>
      <c r="AH886" s="307"/>
    </row>
    <row r="887" spans="1:34" ht="17.399999999999999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  <c r="M887" s="307"/>
      <c r="N887" s="307"/>
      <c r="O887" s="307"/>
      <c r="P887" s="307"/>
      <c r="Q887" s="307"/>
      <c r="R887" s="307"/>
      <c r="S887" s="307"/>
      <c r="T887" s="307"/>
      <c r="U887" s="307"/>
      <c r="V887" s="307"/>
      <c r="W887" s="307"/>
      <c r="X887" s="307"/>
      <c r="Y887" s="307"/>
      <c r="Z887" s="307"/>
      <c r="AA887" s="307"/>
      <c r="AB887" s="307"/>
      <c r="AC887" s="307"/>
      <c r="AD887" s="307"/>
      <c r="AE887" s="307"/>
      <c r="AF887" s="307"/>
      <c r="AG887" s="307"/>
      <c r="AH887" s="307"/>
    </row>
    <row r="888" spans="1:34" ht="17.399999999999999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  <c r="M888" s="307"/>
      <c r="N888" s="307"/>
      <c r="O888" s="307"/>
      <c r="P888" s="307"/>
      <c r="Q888" s="307"/>
      <c r="R888" s="307"/>
      <c r="S888" s="307"/>
      <c r="T888" s="307"/>
      <c r="U888" s="307"/>
      <c r="V888" s="307"/>
      <c r="W888" s="307"/>
      <c r="X888" s="307"/>
      <c r="Y888" s="307"/>
      <c r="Z888" s="307"/>
      <c r="AA888" s="307"/>
      <c r="AB888" s="307"/>
      <c r="AC888" s="307"/>
      <c r="AD888" s="307"/>
      <c r="AE888" s="307"/>
      <c r="AF888" s="307"/>
      <c r="AG888" s="307"/>
      <c r="AH888" s="307"/>
    </row>
    <row r="889" spans="1:34" ht="17.399999999999999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  <c r="M889" s="307"/>
      <c r="N889" s="307"/>
      <c r="O889" s="307"/>
      <c r="P889" s="307"/>
      <c r="Q889" s="307"/>
      <c r="R889" s="307"/>
      <c r="S889" s="307"/>
      <c r="T889" s="307"/>
      <c r="U889" s="307"/>
      <c r="V889" s="307"/>
      <c r="W889" s="307"/>
      <c r="X889" s="307"/>
      <c r="Y889" s="307"/>
      <c r="Z889" s="307"/>
      <c r="AA889" s="307"/>
      <c r="AB889" s="307"/>
      <c r="AC889" s="307"/>
      <c r="AD889" s="307"/>
      <c r="AE889" s="307"/>
      <c r="AF889" s="307"/>
      <c r="AG889" s="307"/>
      <c r="AH889" s="307"/>
    </row>
    <row r="890" spans="1:34" ht="17.399999999999999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  <c r="M890" s="307"/>
      <c r="N890" s="307"/>
      <c r="O890" s="307"/>
      <c r="P890" s="307"/>
      <c r="Q890" s="307"/>
      <c r="R890" s="307"/>
      <c r="S890" s="307"/>
      <c r="T890" s="307"/>
      <c r="U890" s="307"/>
      <c r="V890" s="307"/>
      <c r="W890" s="307"/>
      <c r="X890" s="307"/>
      <c r="Y890" s="307"/>
      <c r="Z890" s="307"/>
      <c r="AA890" s="307"/>
      <c r="AB890" s="307"/>
      <c r="AC890" s="307"/>
      <c r="AD890" s="307"/>
      <c r="AE890" s="307"/>
      <c r="AF890" s="307"/>
      <c r="AG890" s="307"/>
      <c r="AH890" s="307"/>
    </row>
    <row r="891" spans="1:34" ht="17.399999999999999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  <c r="M891" s="307"/>
      <c r="N891" s="307"/>
      <c r="O891" s="307"/>
      <c r="P891" s="307"/>
      <c r="Q891" s="307"/>
      <c r="R891" s="307"/>
      <c r="S891" s="307"/>
      <c r="T891" s="307"/>
      <c r="U891" s="307"/>
      <c r="V891" s="307"/>
      <c r="W891" s="307"/>
      <c r="X891" s="307"/>
      <c r="Y891" s="307"/>
      <c r="Z891" s="307"/>
      <c r="AA891" s="307"/>
      <c r="AB891" s="307"/>
      <c r="AC891" s="307"/>
      <c r="AD891" s="307"/>
      <c r="AE891" s="307"/>
      <c r="AF891" s="307"/>
      <c r="AG891" s="307"/>
      <c r="AH891" s="307"/>
    </row>
    <row r="892" spans="1:34" ht="17.399999999999999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  <c r="M892" s="307"/>
      <c r="N892" s="307"/>
      <c r="O892" s="307"/>
      <c r="P892" s="307"/>
      <c r="Q892" s="307"/>
      <c r="R892" s="307"/>
      <c r="S892" s="307"/>
      <c r="T892" s="307"/>
      <c r="U892" s="307"/>
      <c r="V892" s="307"/>
      <c r="W892" s="307"/>
      <c r="X892" s="307"/>
      <c r="Y892" s="307"/>
      <c r="Z892" s="307"/>
      <c r="AA892" s="307"/>
      <c r="AB892" s="307"/>
      <c r="AC892" s="307"/>
      <c r="AD892" s="307"/>
      <c r="AE892" s="307"/>
      <c r="AF892" s="307"/>
      <c r="AG892" s="307"/>
      <c r="AH892" s="307"/>
    </row>
    <row r="893" spans="1:34" ht="17.399999999999999">
      <c r="A893" s="307"/>
      <c r="B893" s="307"/>
      <c r="C893" s="307"/>
      <c r="D893" s="307"/>
      <c r="E893" s="307"/>
      <c r="F893" s="307"/>
      <c r="G893" s="307"/>
      <c r="H893" s="307"/>
      <c r="I893" s="307"/>
      <c r="J893" s="307"/>
      <c r="K893" s="307"/>
      <c r="L893" s="307"/>
      <c r="M893" s="307"/>
      <c r="N893" s="307"/>
      <c r="O893" s="307"/>
      <c r="P893" s="307"/>
      <c r="Q893" s="307"/>
      <c r="R893" s="307"/>
      <c r="S893" s="307"/>
      <c r="T893" s="307"/>
      <c r="U893" s="307"/>
      <c r="V893" s="307"/>
      <c r="W893" s="307"/>
      <c r="X893" s="307"/>
      <c r="Y893" s="307"/>
      <c r="Z893" s="307"/>
      <c r="AA893" s="307"/>
      <c r="AB893" s="307"/>
      <c r="AC893" s="307"/>
      <c r="AD893" s="307"/>
      <c r="AE893" s="307"/>
      <c r="AF893" s="307"/>
      <c r="AG893" s="307"/>
      <c r="AH893" s="307"/>
    </row>
    <row r="894" spans="1:34" ht="17.399999999999999">
      <c r="A894" s="307"/>
      <c r="B894" s="307"/>
      <c r="C894" s="307"/>
      <c r="D894" s="307"/>
      <c r="E894" s="307"/>
      <c r="F894" s="307"/>
      <c r="G894" s="307"/>
      <c r="H894" s="307"/>
      <c r="I894" s="307"/>
      <c r="J894" s="307"/>
      <c r="K894" s="307"/>
      <c r="L894" s="307"/>
      <c r="M894" s="307"/>
      <c r="N894" s="307"/>
      <c r="O894" s="307"/>
      <c r="P894" s="307"/>
      <c r="Q894" s="307"/>
      <c r="R894" s="307"/>
      <c r="S894" s="307"/>
      <c r="T894" s="307"/>
      <c r="U894" s="307"/>
      <c r="V894" s="307"/>
      <c r="W894" s="307"/>
      <c r="X894" s="307"/>
      <c r="Y894" s="307"/>
      <c r="Z894" s="307"/>
      <c r="AA894" s="307"/>
      <c r="AB894" s="307"/>
      <c r="AC894" s="307"/>
      <c r="AD894" s="307"/>
      <c r="AE894" s="307"/>
      <c r="AF894" s="307"/>
      <c r="AG894" s="307"/>
      <c r="AH894" s="307"/>
    </row>
    <row r="895" spans="1:34" ht="17.399999999999999">
      <c r="A895" s="307"/>
      <c r="B895" s="307"/>
      <c r="C895" s="307"/>
      <c r="D895" s="307"/>
      <c r="E895" s="307"/>
      <c r="F895" s="307"/>
      <c r="G895" s="307"/>
      <c r="H895" s="307"/>
      <c r="I895" s="307"/>
      <c r="J895" s="307"/>
      <c r="K895" s="307"/>
      <c r="L895" s="307"/>
      <c r="M895" s="307"/>
      <c r="N895" s="307"/>
      <c r="O895" s="307"/>
      <c r="P895" s="307"/>
      <c r="Q895" s="307"/>
      <c r="R895" s="307"/>
      <c r="S895" s="307"/>
      <c r="T895" s="307"/>
      <c r="U895" s="307"/>
      <c r="V895" s="307"/>
      <c r="W895" s="307"/>
      <c r="X895" s="307"/>
      <c r="Y895" s="307"/>
      <c r="Z895" s="307"/>
      <c r="AA895" s="307"/>
      <c r="AB895" s="307"/>
      <c r="AC895" s="307"/>
      <c r="AD895" s="307"/>
      <c r="AE895" s="307"/>
      <c r="AF895" s="307"/>
      <c r="AG895" s="307"/>
      <c r="AH895" s="307"/>
    </row>
    <row r="896" spans="1:34" ht="17.399999999999999">
      <c r="A896" s="307"/>
      <c r="B896" s="307"/>
      <c r="C896" s="307"/>
      <c r="D896" s="307"/>
      <c r="E896" s="307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</row>
    <row r="897" spans="1:34" ht="17.399999999999999">
      <c r="A897" s="307"/>
      <c r="B897" s="307"/>
      <c r="C897" s="307"/>
      <c r="D897" s="307"/>
      <c r="E897" s="307"/>
      <c r="F897" s="307"/>
      <c r="G897" s="307"/>
      <c r="H897" s="307"/>
      <c r="I897" s="307"/>
      <c r="J897" s="307"/>
      <c r="K897" s="307"/>
      <c r="L897" s="307"/>
      <c r="M897" s="307"/>
      <c r="N897" s="307"/>
      <c r="O897" s="307"/>
      <c r="P897" s="307"/>
      <c r="Q897" s="307"/>
      <c r="R897" s="307"/>
      <c r="S897" s="307"/>
      <c r="T897" s="307"/>
      <c r="U897" s="307"/>
      <c r="V897" s="307"/>
      <c r="W897" s="307"/>
      <c r="X897" s="307"/>
      <c r="Y897" s="307"/>
      <c r="Z897" s="307"/>
      <c r="AA897" s="307"/>
      <c r="AB897" s="307"/>
      <c r="AC897" s="307"/>
      <c r="AD897" s="307"/>
      <c r="AE897" s="307"/>
      <c r="AF897" s="307"/>
      <c r="AG897" s="307"/>
      <c r="AH897" s="307"/>
    </row>
    <row r="898" spans="1:34" ht="17.399999999999999">
      <c r="A898" s="307"/>
      <c r="B898" s="307"/>
      <c r="C898" s="307"/>
      <c r="D898" s="307"/>
      <c r="E898" s="307"/>
      <c r="F898" s="307"/>
      <c r="G898" s="307"/>
      <c r="H898" s="307"/>
      <c r="I898" s="307"/>
      <c r="J898" s="307"/>
      <c r="K898" s="307"/>
      <c r="L898" s="307"/>
      <c r="M898" s="307"/>
      <c r="N898" s="307"/>
      <c r="O898" s="307"/>
      <c r="P898" s="307"/>
      <c r="Q898" s="307"/>
      <c r="R898" s="307"/>
      <c r="S898" s="307"/>
      <c r="T898" s="307"/>
      <c r="U898" s="307"/>
      <c r="V898" s="307"/>
      <c r="W898" s="307"/>
      <c r="X898" s="307"/>
      <c r="Y898" s="307"/>
      <c r="Z898" s="307"/>
      <c r="AA898" s="307"/>
      <c r="AB898" s="307"/>
      <c r="AC898" s="307"/>
      <c r="AD898" s="307"/>
      <c r="AE898" s="307"/>
      <c r="AF898" s="307"/>
      <c r="AG898" s="307"/>
      <c r="AH898" s="307"/>
    </row>
    <row r="899" spans="1:34" ht="17.399999999999999">
      <c r="A899" s="307"/>
      <c r="B899" s="307"/>
      <c r="C899" s="307"/>
      <c r="D899" s="307"/>
      <c r="E899" s="307"/>
      <c r="F899" s="307"/>
      <c r="G899" s="307"/>
      <c r="H899" s="307"/>
      <c r="I899" s="307"/>
      <c r="J899" s="307"/>
      <c r="K899" s="307"/>
      <c r="L899" s="307"/>
      <c r="M899" s="307"/>
      <c r="N899" s="307"/>
      <c r="O899" s="307"/>
      <c r="P899" s="307"/>
      <c r="Q899" s="307"/>
      <c r="R899" s="307"/>
      <c r="S899" s="307"/>
      <c r="T899" s="307"/>
      <c r="U899" s="307"/>
      <c r="V899" s="307"/>
      <c r="W899" s="307"/>
      <c r="X899" s="307"/>
      <c r="Y899" s="307"/>
      <c r="Z899" s="307"/>
      <c r="AA899" s="307"/>
      <c r="AB899" s="307"/>
      <c r="AC899" s="307"/>
      <c r="AD899" s="307"/>
      <c r="AE899" s="307"/>
      <c r="AF899" s="307"/>
      <c r="AG899" s="307"/>
      <c r="AH899" s="307"/>
    </row>
    <row r="900" spans="1:34" ht="17.399999999999999">
      <c r="A900" s="307"/>
      <c r="B900" s="307"/>
      <c r="C900" s="307"/>
      <c r="D900" s="307"/>
      <c r="E900" s="307"/>
      <c r="F900" s="307"/>
      <c r="G900" s="307"/>
      <c r="H900" s="307"/>
      <c r="I900" s="307"/>
      <c r="J900" s="307"/>
      <c r="K900" s="307"/>
      <c r="L900" s="307"/>
      <c r="M900" s="307"/>
      <c r="N900" s="307"/>
      <c r="O900" s="307"/>
      <c r="P900" s="307"/>
      <c r="Q900" s="307"/>
      <c r="R900" s="307"/>
      <c r="S900" s="307"/>
      <c r="T900" s="307"/>
      <c r="U900" s="307"/>
      <c r="V900" s="307"/>
      <c r="W900" s="307"/>
      <c r="X900" s="307"/>
      <c r="Y900" s="307"/>
      <c r="Z900" s="307"/>
      <c r="AA900" s="307"/>
      <c r="AB900" s="307"/>
      <c r="AC900" s="307"/>
      <c r="AD900" s="307"/>
      <c r="AE900" s="307"/>
      <c r="AF900" s="307"/>
      <c r="AG900" s="307"/>
      <c r="AH900" s="307"/>
    </row>
    <row r="901" spans="1:34" ht="17.399999999999999">
      <c r="A901" s="307"/>
      <c r="B901" s="307"/>
      <c r="C901" s="307"/>
      <c r="D901" s="307"/>
      <c r="E901" s="307"/>
      <c r="F901" s="307"/>
      <c r="G901" s="307"/>
      <c r="H901" s="307"/>
      <c r="I901" s="307"/>
      <c r="J901" s="307"/>
      <c r="K901" s="307"/>
      <c r="L901" s="307"/>
      <c r="M901" s="307"/>
      <c r="N901" s="307"/>
      <c r="O901" s="307"/>
      <c r="P901" s="307"/>
      <c r="Q901" s="307"/>
      <c r="R901" s="307"/>
      <c r="S901" s="307"/>
      <c r="T901" s="307"/>
      <c r="U901" s="307"/>
      <c r="V901" s="307"/>
      <c r="W901" s="307"/>
      <c r="X901" s="307"/>
      <c r="Y901" s="307"/>
      <c r="Z901" s="307"/>
      <c r="AA901" s="307"/>
      <c r="AB901" s="307"/>
      <c r="AC901" s="307"/>
      <c r="AD901" s="307"/>
      <c r="AE901" s="307"/>
      <c r="AF901" s="307"/>
      <c r="AG901" s="307"/>
      <c r="AH901" s="307"/>
    </row>
    <row r="902" spans="1:34" ht="17.399999999999999">
      <c r="A902" s="307"/>
      <c r="B902" s="307"/>
      <c r="C902" s="307"/>
      <c r="D902" s="307"/>
      <c r="E902" s="307"/>
      <c r="F902" s="307"/>
      <c r="G902" s="307"/>
      <c r="H902" s="307"/>
      <c r="I902" s="307"/>
      <c r="J902" s="307"/>
      <c r="K902" s="307"/>
      <c r="L902" s="307"/>
      <c r="M902" s="307"/>
      <c r="N902" s="307"/>
      <c r="O902" s="307"/>
      <c r="P902" s="307"/>
      <c r="Q902" s="307"/>
      <c r="R902" s="307"/>
      <c r="S902" s="307"/>
      <c r="T902" s="307"/>
      <c r="U902" s="307"/>
      <c r="V902" s="307"/>
      <c r="W902" s="307"/>
      <c r="X902" s="307"/>
      <c r="Y902" s="307"/>
      <c r="Z902" s="307"/>
      <c r="AA902" s="307"/>
      <c r="AB902" s="307"/>
      <c r="AC902" s="307"/>
      <c r="AD902" s="307"/>
      <c r="AE902" s="307"/>
      <c r="AF902" s="307"/>
      <c r="AG902" s="307"/>
      <c r="AH902" s="307"/>
    </row>
    <row r="903" spans="1:34" ht="17.399999999999999">
      <c r="A903" s="307"/>
      <c r="B903" s="307"/>
      <c r="C903" s="307"/>
      <c r="D903" s="307"/>
      <c r="E903" s="307"/>
      <c r="F903" s="307"/>
      <c r="G903" s="307"/>
      <c r="H903" s="307"/>
      <c r="I903" s="307"/>
      <c r="J903" s="307"/>
      <c r="K903" s="307"/>
      <c r="L903" s="307"/>
      <c r="M903" s="307"/>
      <c r="N903" s="307"/>
      <c r="O903" s="307"/>
      <c r="P903" s="307"/>
      <c r="Q903" s="307"/>
      <c r="R903" s="307"/>
      <c r="S903" s="307"/>
      <c r="T903" s="307"/>
      <c r="U903" s="307"/>
      <c r="V903" s="307"/>
      <c r="W903" s="307"/>
      <c r="X903" s="307"/>
      <c r="Y903" s="307"/>
      <c r="Z903" s="307"/>
      <c r="AA903" s="307"/>
      <c r="AB903" s="307"/>
      <c r="AC903" s="307"/>
      <c r="AD903" s="307"/>
      <c r="AE903" s="307"/>
      <c r="AF903" s="307"/>
      <c r="AG903" s="307"/>
      <c r="AH903" s="307"/>
    </row>
    <row r="904" spans="1:34" ht="17.399999999999999">
      <c r="A904" s="307"/>
      <c r="B904" s="307"/>
      <c r="C904" s="307"/>
      <c r="D904" s="307"/>
      <c r="E904" s="307"/>
      <c r="F904" s="307"/>
      <c r="G904" s="307"/>
      <c r="H904" s="307"/>
      <c r="I904" s="307"/>
      <c r="J904" s="307"/>
      <c r="K904" s="307"/>
      <c r="L904" s="307"/>
      <c r="M904" s="307"/>
      <c r="N904" s="307"/>
      <c r="O904" s="307"/>
      <c r="P904" s="307"/>
      <c r="Q904" s="307"/>
      <c r="R904" s="307"/>
      <c r="S904" s="307"/>
      <c r="T904" s="307"/>
      <c r="U904" s="307"/>
      <c r="V904" s="307"/>
      <c r="W904" s="307"/>
      <c r="X904" s="307"/>
      <c r="Y904" s="307"/>
      <c r="Z904" s="307"/>
      <c r="AA904" s="307"/>
      <c r="AB904" s="307"/>
      <c r="AC904" s="307"/>
      <c r="AD904" s="307"/>
      <c r="AE904" s="307"/>
      <c r="AF904" s="307"/>
      <c r="AG904" s="307"/>
      <c r="AH904" s="307"/>
    </row>
    <row r="905" spans="1:34" ht="17.399999999999999">
      <c r="A905" s="307"/>
      <c r="B905" s="307"/>
      <c r="C905" s="307"/>
      <c r="D905" s="307"/>
      <c r="E905" s="307"/>
      <c r="F905" s="307"/>
      <c r="G905" s="307"/>
      <c r="H905" s="307"/>
      <c r="I905" s="307"/>
      <c r="J905" s="307"/>
      <c r="K905" s="307"/>
      <c r="L905" s="307"/>
      <c r="M905" s="307"/>
      <c r="N905" s="307"/>
      <c r="O905" s="307"/>
      <c r="P905" s="307"/>
      <c r="Q905" s="307"/>
      <c r="R905" s="307"/>
      <c r="S905" s="307"/>
      <c r="T905" s="307"/>
      <c r="U905" s="307"/>
      <c r="V905" s="307"/>
      <c r="W905" s="307"/>
      <c r="X905" s="307"/>
      <c r="Y905" s="307"/>
      <c r="Z905" s="307"/>
      <c r="AA905" s="307"/>
      <c r="AB905" s="307"/>
      <c r="AC905" s="307"/>
      <c r="AD905" s="307"/>
      <c r="AE905" s="307"/>
      <c r="AF905" s="307"/>
      <c r="AG905" s="307"/>
      <c r="AH905" s="307"/>
    </row>
    <row r="906" spans="1:34" ht="17.399999999999999">
      <c r="A906" s="307"/>
      <c r="B906" s="307"/>
      <c r="C906" s="307"/>
      <c r="D906" s="307"/>
      <c r="E906" s="307"/>
      <c r="F906" s="307"/>
      <c r="G906" s="307"/>
      <c r="H906" s="307"/>
      <c r="I906" s="307"/>
      <c r="J906" s="307"/>
      <c r="K906" s="307"/>
      <c r="L906" s="307"/>
      <c r="M906" s="307"/>
      <c r="N906" s="307"/>
      <c r="O906" s="307"/>
      <c r="P906" s="307"/>
      <c r="Q906" s="307"/>
      <c r="R906" s="307"/>
      <c r="S906" s="307"/>
      <c r="T906" s="307"/>
      <c r="U906" s="307"/>
      <c r="V906" s="307"/>
      <c r="W906" s="307"/>
      <c r="X906" s="307"/>
      <c r="Y906" s="307"/>
      <c r="Z906" s="307"/>
      <c r="AA906" s="307"/>
      <c r="AB906" s="307"/>
      <c r="AC906" s="307"/>
      <c r="AD906" s="307"/>
      <c r="AE906" s="307"/>
      <c r="AF906" s="307"/>
      <c r="AG906" s="307"/>
      <c r="AH906" s="307"/>
    </row>
    <row r="907" spans="1:34" ht="17.399999999999999">
      <c r="A907" s="307"/>
      <c r="B907" s="307"/>
      <c r="C907" s="307"/>
      <c r="D907" s="307"/>
      <c r="E907" s="307"/>
      <c r="F907" s="307"/>
      <c r="G907" s="307"/>
      <c r="H907" s="307"/>
      <c r="I907" s="307"/>
      <c r="J907" s="307"/>
      <c r="K907" s="307"/>
      <c r="L907" s="307"/>
      <c r="M907" s="307"/>
      <c r="N907" s="307"/>
      <c r="O907" s="307"/>
      <c r="P907" s="307"/>
      <c r="Q907" s="307"/>
      <c r="R907" s="307"/>
      <c r="S907" s="307"/>
      <c r="T907" s="307"/>
      <c r="U907" s="307"/>
      <c r="V907" s="307"/>
      <c r="W907" s="307"/>
      <c r="X907" s="307"/>
      <c r="Y907" s="307"/>
      <c r="Z907" s="307"/>
      <c r="AA907" s="307"/>
      <c r="AB907" s="307"/>
      <c r="AC907" s="307"/>
      <c r="AD907" s="307"/>
      <c r="AE907" s="307"/>
      <c r="AF907" s="307"/>
      <c r="AG907" s="307"/>
      <c r="AH907" s="307"/>
    </row>
    <row r="908" spans="1:34" ht="17.399999999999999">
      <c r="A908" s="307"/>
      <c r="B908" s="307"/>
      <c r="C908" s="307"/>
      <c r="D908" s="307"/>
      <c r="E908" s="307"/>
      <c r="F908" s="307"/>
      <c r="G908" s="307"/>
      <c r="H908" s="307"/>
      <c r="I908" s="307"/>
      <c r="J908" s="307"/>
      <c r="K908" s="307"/>
      <c r="L908" s="307"/>
      <c r="M908" s="307"/>
      <c r="N908" s="307"/>
      <c r="O908" s="307"/>
      <c r="P908" s="307"/>
      <c r="Q908" s="307"/>
      <c r="R908" s="307"/>
      <c r="S908" s="307"/>
      <c r="T908" s="307"/>
      <c r="U908" s="307"/>
      <c r="V908" s="307"/>
      <c r="W908" s="307"/>
      <c r="X908" s="307"/>
      <c r="Y908" s="307"/>
      <c r="Z908" s="307"/>
      <c r="AA908" s="307"/>
      <c r="AB908" s="307"/>
      <c r="AC908" s="307"/>
      <c r="AD908" s="307"/>
      <c r="AE908" s="307"/>
      <c r="AF908" s="307"/>
      <c r="AG908" s="307"/>
      <c r="AH908" s="307"/>
    </row>
    <row r="909" spans="1:34" ht="17.399999999999999">
      <c r="A909" s="307"/>
      <c r="B909" s="307"/>
      <c r="C909" s="307"/>
      <c r="D909" s="307"/>
      <c r="E909" s="307"/>
      <c r="F909" s="307"/>
      <c r="G909" s="307"/>
      <c r="H909" s="307"/>
      <c r="I909" s="307"/>
      <c r="J909" s="307"/>
      <c r="K909" s="307"/>
      <c r="L909" s="307"/>
      <c r="M909" s="307"/>
      <c r="N909" s="307"/>
      <c r="O909" s="307"/>
      <c r="P909" s="307"/>
      <c r="Q909" s="307"/>
      <c r="R909" s="307"/>
      <c r="S909" s="307"/>
      <c r="T909" s="307"/>
      <c r="U909" s="307"/>
      <c r="V909" s="307"/>
      <c r="W909" s="307"/>
      <c r="X909" s="307"/>
      <c r="Y909" s="307"/>
      <c r="Z909" s="307"/>
      <c r="AA909" s="307"/>
      <c r="AB909" s="307"/>
      <c r="AC909" s="307"/>
      <c r="AD909" s="307"/>
      <c r="AE909" s="307"/>
      <c r="AF909" s="307"/>
      <c r="AG909" s="307"/>
      <c r="AH909" s="307"/>
    </row>
    <row r="910" spans="1:34" ht="17.399999999999999">
      <c r="A910" s="307"/>
      <c r="B910" s="307"/>
      <c r="C910" s="307"/>
      <c r="D910" s="307"/>
      <c r="E910" s="307"/>
      <c r="F910" s="307"/>
      <c r="G910" s="307"/>
      <c r="H910" s="307"/>
      <c r="I910" s="307"/>
      <c r="J910" s="307"/>
      <c r="K910" s="307"/>
      <c r="L910" s="307"/>
      <c r="M910" s="307"/>
      <c r="N910" s="307"/>
      <c r="O910" s="307"/>
      <c r="P910" s="307"/>
      <c r="Q910" s="307"/>
      <c r="R910" s="307"/>
      <c r="S910" s="307"/>
      <c r="T910" s="307"/>
      <c r="U910" s="307"/>
      <c r="V910" s="307"/>
      <c r="W910" s="307"/>
      <c r="X910" s="307"/>
      <c r="Y910" s="307"/>
      <c r="Z910" s="307"/>
      <c r="AA910" s="307"/>
      <c r="AB910" s="307"/>
      <c r="AC910" s="307"/>
      <c r="AD910" s="307"/>
      <c r="AE910" s="307"/>
      <c r="AF910" s="307"/>
      <c r="AG910" s="307"/>
      <c r="AH910" s="307"/>
    </row>
    <row r="911" spans="1:34" ht="17.399999999999999">
      <c r="A911" s="307"/>
      <c r="B911" s="307"/>
      <c r="C911" s="307"/>
      <c r="D911" s="307"/>
      <c r="E911" s="307"/>
      <c r="F911" s="307"/>
      <c r="G911" s="307"/>
      <c r="H911" s="307"/>
      <c r="I911" s="307"/>
      <c r="J911" s="307"/>
      <c r="K911" s="307"/>
      <c r="L911" s="307"/>
      <c r="M911" s="307"/>
      <c r="N911" s="307"/>
      <c r="O911" s="307"/>
      <c r="P911" s="307"/>
      <c r="Q911" s="307"/>
      <c r="R911" s="307"/>
      <c r="S911" s="307"/>
      <c r="T911" s="307"/>
      <c r="U911" s="307"/>
      <c r="V911" s="307"/>
      <c r="W911" s="307"/>
      <c r="X911" s="307"/>
      <c r="Y911" s="307"/>
      <c r="Z911" s="307"/>
      <c r="AA911" s="307"/>
      <c r="AB911" s="307"/>
      <c r="AC911" s="307"/>
      <c r="AD911" s="307"/>
      <c r="AE911" s="307"/>
      <c r="AF911" s="307"/>
      <c r="AG911" s="307"/>
      <c r="AH911" s="307"/>
    </row>
    <row r="912" spans="1:34" ht="17.399999999999999">
      <c r="A912" s="307"/>
      <c r="B912" s="307"/>
      <c r="C912" s="307"/>
      <c r="D912" s="307"/>
      <c r="E912" s="307"/>
      <c r="F912" s="307"/>
      <c r="G912" s="307"/>
      <c r="H912" s="307"/>
      <c r="I912" s="307"/>
      <c r="J912" s="307"/>
      <c r="K912" s="307"/>
      <c r="L912" s="307"/>
      <c r="M912" s="307"/>
      <c r="N912" s="307"/>
      <c r="O912" s="307"/>
      <c r="P912" s="307"/>
      <c r="Q912" s="307"/>
      <c r="R912" s="307"/>
      <c r="S912" s="307"/>
      <c r="T912" s="307"/>
      <c r="U912" s="307"/>
      <c r="V912" s="307"/>
      <c r="W912" s="307"/>
      <c r="X912" s="307"/>
      <c r="Y912" s="307"/>
      <c r="Z912" s="307"/>
      <c r="AA912" s="307"/>
      <c r="AB912" s="307"/>
      <c r="AC912" s="307"/>
      <c r="AD912" s="307"/>
      <c r="AE912" s="307"/>
      <c r="AF912" s="307"/>
      <c r="AG912" s="307"/>
      <c r="AH912" s="307"/>
    </row>
    <row r="913" spans="1:34" ht="17.399999999999999">
      <c r="A913" s="307"/>
      <c r="B913" s="307"/>
      <c r="C913" s="307"/>
      <c r="D913" s="307"/>
      <c r="E913" s="307"/>
      <c r="F913" s="307"/>
      <c r="G913" s="307"/>
      <c r="H913" s="307"/>
      <c r="I913" s="307"/>
      <c r="J913" s="307"/>
      <c r="K913" s="307"/>
      <c r="L913" s="307"/>
      <c r="M913" s="307"/>
      <c r="N913" s="307"/>
      <c r="O913" s="307"/>
      <c r="P913" s="307"/>
      <c r="Q913" s="307"/>
      <c r="R913" s="307"/>
      <c r="S913" s="307"/>
      <c r="T913" s="307"/>
      <c r="U913" s="307"/>
      <c r="V913" s="307"/>
      <c r="W913" s="307"/>
      <c r="X913" s="307"/>
      <c r="Y913" s="307"/>
      <c r="Z913" s="307"/>
      <c r="AA913" s="307"/>
      <c r="AB913" s="307"/>
      <c r="AC913" s="307"/>
      <c r="AD913" s="307"/>
      <c r="AE913" s="307"/>
      <c r="AF913" s="307"/>
      <c r="AG913" s="307"/>
      <c r="AH913" s="307"/>
    </row>
    <row r="914" spans="1:34" ht="17.399999999999999">
      <c r="A914" s="307"/>
      <c r="B914" s="307"/>
      <c r="C914" s="307"/>
      <c r="D914" s="307"/>
      <c r="E914" s="307"/>
      <c r="F914" s="307"/>
      <c r="G914" s="307"/>
      <c r="H914" s="307"/>
      <c r="I914" s="307"/>
      <c r="J914" s="307"/>
      <c r="K914" s="307"/>
      <c r="L914" s="307"/>
      <c r="M914" s="307"/>
      <c r="N914" s="307"/>
      <c r="O914" s="307"/>
      <c r="P914" s="307"/>
      <c r="Q914" s="307"/>
      <c r="R914" s="307"/>
      <c r="S914" s="307"/>
      <c r="T914" s="307"/>
      <c r="U914" s="307"/>
      <c r="V914" s="307"/>
      <c r="W914" s="307"/>
      <c r="X914" s="307"/>
      <c r="Y914" s="307"/>
      <c r="Z914" s="307"/>
      <c r="AA914" s="307"/>
      <c r="AB914" s="307"/>
      <c r="AC914" s="307"/>
      <c r="AD914" s="307"/>
      <c r="AE914" s="307"/>
      <c r="AF914" s="307"/>
      <c r="AG914" s="307"/>
      <c r="AH914" s="307"/>
    </row>
    <row r="915" spans="1:34" ht="17.399999999999999">
      <c r="A915" s="307"/>
      <c r="B915" s="307"/>
      <c r="C915" s="307"/>
      <c r="D915" s="307"/>
      <c r="E915" s="307"/>
      <c r="F915" s="307"/>
      <c r="G915" s="307"/>
      <c r="H915" s="307"/>
      <c r="I915" s="307"/>
      <c r="J915" s="307"/>
      <c r="K915" s="307"/>
      <c r="L915" s="307"/>
      <c r="M915" s="307"/>
      <c r="N915" s="307"/>
      <c r="O915" s="307"/>
      <c r="P915" s="307"/>
      <c r="Q915" s="307"/>
      <c r="R915" s="307"/>
      <c r="S915" s="307"/>
      <c r="T915" s="307"/>
      <c r="U915" s="307"/>
      <c r="V915" s="307"/>
      <c r="W915" s="307"/>
      <c r="X915" s="307"/>
      <c r="Y915" s="307"/>
      <c r="Z915" s="307"/>
      <c r="AA915" s="307"/>
      <c r="AB915" s="307"/>
      <c r="AC915" s="307"/>
      <c r="AD915" s="307"/>
      <c r="AE915" s="307"/>
      <c r="AF915" s="307"/>
      <c r="AG915" s="307"/>
      <c r="AH915" s="307"/>
    </row>
    <row r="916" spans="1:34" ht="17.399999999999999">
      <c r="A916" s="307"/>
      <c r="B916" s="307"/>
      <c r="C916" s="307"/>
      <c r="D916" s="307"/>
      <c r="E916" s="307"/>
      <c r="F916" s="307"/>
      <c r="G916" s="307"/>
      <c r="H916" s="307"/>
      <c r="I916" s="307"/>
      <c r="J916" s="307"/>
      <c r="K916" s="307"/>
      <c r="L916" s="307"/>
      <c r="M916" s="307"/>
      <c r="N916" s="307"/>
      <c r="O916" s="307"/>
      <c r="P916" s="307"/>
      <c r="Q916" s="307"/>
      <c r="R916" s="307"/>
      <c r="S916" s="307"/>
      <c r="T916" s="307"/>
      <c r="U916" s="307"/>
      <c r="V916" s="307"/>
      <c r="W916" s="307"/>
      <c r="X916" s="307"/>
      <c r="Y916" s="307"/>
      <c r="Z916" s="307"/>
      <c r="AA916" s="307"/>
      <c r="AB916" s="307"/>
      <c r="AC916" s="307"/>
      <c r="AD916" s="307"/>
      <c r="AE916" s="307"/>
      <c r="AF916" s="307"/>
      <c r="AG916" s="307"/>
      <c r="AH916" s="307"/>
    </row>
    <row r="917" spans="1:34" ht="17.399999999999999">
      <c r="A917" s="307"/>
      <c r="B917" s="307"/>
      <c r="C917" s="307"/>
      <c r="D917" s="307"/>
      <c r="E917" s="307"/>
      <c r="F917" s="307"/>
      <c r="G917" s="307"/>
      <c r="H917" s="307"/>
      <c r="I917" s="307"/>
      <c r="J917" s="307"/>
      <c r="K917" s="307"/>
      <c r="L917" s="307"/>
      <c r="M917" s="307"/>
      <c r="N917" s="307"/>
      <c r="O917" s="307"/>
      <c r="P917" s="307"/>
      <c r="Q917" s="307"/>
      <c r="R917" s="307"/>
      <c r="S917" s="307"/>
      <c r="T917" s="307"/>
      <c r="U917" s="307"/>
      <c r="V917" s="307"/>
      <c r="W917" s="307"/>
      <c r="X917" s="307"/>
      <c r="Y917" s="307"/>
      <c r="Z917" s="307"/>
      <c r="AA917" s="307"/>
      <c r="AB917" s="307"/>
      <c r="AC917" s="307"/>
      <c r="AD917" s="307"/>
      <c r="AE917" s="307"/>
      <c r="AF917" s="307"/>
      <c r="AG917" s="307"/>
      <c r="AH917" s="307"/>
    </row>
    <row r="918" spans="1:34" ht="17.399999999999999">
      <c r="A918" s="307"/>
      <c r="B918" s="307"/>
      <c r="C918" s="307"/>
      <c r="D918" s="307"/>
      <c r="E918" s="307"/>
      <c r="F918" s="307"/>
      <c r="G918" s="307"/>
      <c r="H918" s="307"/>
      <c r="I918" s="307"/>
      <c r="J918" s="307"/>
      <c r="K918" s="307"/>
      <c r="L918" s="307"/>
      <c r="M918" s="307"/>
      <c r="N918" s="307"/>
      <c r="O918" s="307"/>
      <c r="P918" s="307"/>
      <c r="Q918" s="307"/>
      <c r="R918" s="307"/>
      <c r="S918" s="307"/>
      <c r="T918" s="307"/>
      <c r="U918" s="307"/>
      <c r="V918" s="307"/>
      <c r="W918" s="307"/>
      <c r="X918" s="307"/>
      <c r="Y918" s="307"/>
      <c r="Z918" s="307"/>
      <c r="AA918" s="307"/>
      <c r="AB918" s="307"/>
      <c r="AC918" s="307"/>
      <c r="AD918" s="307"/>
      <c r="AE918" s="307"/>
      <c r="AF918" s="307"/>
      <c r="AG918" s="307"/>
      <c r="AH918" s="307"/>
    </row>
    <row r="919" spans="1:34" ht="17.399999999999999">
      <c r="A919" s="307"/>
      <c r="B919" s="307"/>
      <c r="C919" s="307"/>
      <c r="D919" s="307"/>
      <c r="E919" s="307"/>
      <c r="F919" s="307"/>
      <c r="G919" s="307"/>
      <c r="H919" s="307"/>
      <c r="I919" s="307"/>
      <c r="J919" s="307"/>
      <c r="K919" s="307"/>
      <c r="L919" s="307"/>
      <c r="M919" s="307"/>
      <c r="N919" s="307"/>
      <c r="O919" s="307"/>
      <c r="P919" s="307"/>
      <c r="Q919" s="307"/>
      <c r="R919" s="307"/>
      <c r="S919" s="307"/>
      <c r="T919" s="307"/>
      <c r="U919" s="307"/>
      <c r="V919" s="307"/>
      <c r="W919" s="307"/>
      <c r="X919" s="307"/>
      <c r="Y919" s="307"/>
      <c r="Z919" s="307"/>
      <c r="AA919" s="307"/>
      <c r="AB919" s="307"/>
      <c r="AC919" s="307"/>
      <c r="AD919" s="307"/>
      <c r="AE919" s="307"/>
      <c r="AF919" s="307"/>
      <c r="AG919" s="307"/>
      <c r="AH919" s="307"/>
    </row>
    <row r="920" spans="1:34" ht="17.399999999999999">
      <c r="A920" s="307"/>
      <c r="B920" s="307"/>
      <c r="C920" s="307"/>
      <c r="D920" s="307"/>
      <c r="E920" s="307"/>
      <c r="F920" s="307"/>
      <c r="G920" s="307"/>
      <c r="H920" s="307"/>
      <c r="I920" s="307"/>
      <c r="J920" s="307"/>
      <c r="K920" s="307"/>
      <c r="L920" s="307"/>
      <c r="M920" s="307"/>
      <c r="N920" s="307"/>
      <c r="O920" s="307"/>
      <c r="P920" s="307"/>
      <c r="Q920" s="307"/>
      <c r="R920" s="307"/>
      <c r="S920" s="307"/>
      <c r="T920" s="307"/>
      <c r="U920" s="307"/>
      <c r="V920" s="307"/>
      <c r="W920" s="307"/>
      <c r="X920" s="307"/>
      <c r="Y920" s="307"/>
      <c r="Z920" s="307"/>
      <c r="AA920" s="307"/>
      <c r="AB920" s="307"/>
      <c r="AC920" s="307"/>
      <c r="AD920" s="307"/>
      <c r="AE920" s="307"/>
      <c r="AF920" s="307"/>
      <c r="AG920" s="307"/>
      <c r="AH920" s="307"/>
    </row>
    <row r="921" spans="1:34" ht="17.399999999999999">
      <c r="A921" s="307"/>
      <c r="B921" s="307"/>
      <c r="C921" s="307"/>
      <c r="D921" s="307"/>
      <c r="E921" s="307"/>
      <c r="F921" s="307"/>
      <c r="G921" s="307"/>
      <c r="H921" s="307"/>
      <c r="I921" s="307"/>
      <c r="J921" s="307"/>
      <c r="K921" s="307"/>
      <c r="L921" s="307"/>
      <c r="M921" s="307"/>
      <c r="N921" s="307"/>
      <c r="O921" s="307"/>
      <c r="P921" s="307"/>
      <c r="Q921" s="307"/>
      <c r="R921" s="307"/>
      <c r="S921" s="307"/>
      <c r="T921" s="307"/>
      <c r="U921" s="307"/>
      <c r="V921" s="307"/>
      <c r="W921" s="307"/>
      <c r="X921" s="307"/>
      <c r="Y921" s="307"/>
      <c r="Z921" s="307"/>
      <c r="AA921" s="307"/>
      <c r="AB921" s="307"/>
      <c r="AC921" s="307"/>
      <c r="AD921" s="307"/>
      <c r="AE921" s="307"/>
      <c r="AF921" s="307"/>
      <c r="AG921" s="307"/>
      <c r="AH921" s="307"/>
    </row>
    <row r="922" spans="1:34" ht="17.399999999999999">
      <c r="A922" s="307"/>
      <c r="B922" s="307"/>
      <c r="C922" s="307"/>
      <c r="D922" s="307"/>
      <c r="E922" s="307"/>
      <c r="F922" s="307"/>
      <c r="G922" s="307"/>
      <c r="H922" s="307"/>
      <c r="I922" s="307"/>
      <c r="J922" s="307"/>
      <c r="K922" s="307"/>
      <c r="L922" s="307"/>
      <c r="M922" s="307"/>
      <c r="N922" s="307"/>
      <c r="O922" s="307"/>
      <c r="P922" s="307"/>
      <c r="Q922" s="307"/>
      <c r="R922" s="307"/>
      <c r="S922" s="307"/>
      <c r="T922" s="307"/>
      <c r="U922" s="307"/>
      <c r="V922" s="307"/>
      <c r="W922" s="307"/>
      <c r="X922" s="307"/>
      <c r="Y922" s="307"/>
      <c r="Z922" s="307"/>
      <c r="AA922" s="307"/>
      <c r="AB922" s="307"/>
      <c r="AC922" s="307"/>
      <c r="AD922" s="307"/>
      <c r="AE922" s="307"/>
      <c r="AF922" s="307"/>
      <c r="AG922" s="307"/>
      <c r="AH922" s="307"/>
    </row>
    <row r="923" spans="1:34" ht="17.399999999999999">
      <c r="A923" s="307"/>
      <c r="B923" s="307"/>
      <c r="C923" s="307"/>
      <c r="D923" s="307"/>
      <c r="E923" s="307"/>
      <c r="F923" s="307"/>
      <c r="G923" s="307"/>
      <c r="H923" s="307"/>
      <c r="I923" s="307"/>
      <c r="J923" s="307"/>
      <c r="K923" s="307"/>
      <c r="L923" s="307"/>
      <c r="M923" s="307"/>
      <c r="N923" s="307"/>
      <c r="O923" s="307"/>
      <c r="P923" s="307"/>
      <c r="Q923" s="307"/>
      <c r="R923" s="307"/>
      <c r="S923" s="307"/>
      <c r="T923" s="307"/>
      <c r="U923" s="307"/>
      <c r="V923" s="307"/>
      <c r="W923" s="307"/>
      <c r="X923" s="307"/>
      <c r="Y923" s="307"/>
      <c r="Z923" s="307"/>
      <c r="AA923" s="307"/>
      <c r="AB923" s="307"/>
      <c r="AC923" s="307"/>
      <c r="AD923" s="307"/>
      <c r="AE923" s="307"/>
      <c r="AF923" s="307"/>
      <c r="AG923" s="307"/>
      <c r="AH923" s="307"/>
    </row>
    <row r="924" spans="1:34" ht="17.399999999999999">
      <c r="A924" s="307"/>
      <c r="B924" s="307"/>
      <c r="C924" s="307"/>
      <c r="D924" s="307"/>
      <c r="E924" s="307"/>
      <c r="F924" s="307"/>
      <c r="G924" s="307"/>
      <c r="H924" s="307"/>
      <c r="I924" s="307"/>
      <c r="J924" s="307"/>
      <c r="K924" s="307"/>
      <c r="L924" s="307"/>
      <c r="M924" s="307"/>
      <c r="N924" s="307"/>
      <c r="O924" s="307"/>
      <c r="P924" s="307"/>
      <c r="Q924" s="307"/>
      <c r="R924" s="307"/>
      <c r="S924" s="307"/>
      <c r="T924" s="307"/>
      <c r="U924" s="307"/>
      <c r="V924" s="307"/>
      <c r="W924" s="307"/>
      <c r="X924" s="307"/>
      <c r="Y924" s="307"/>
      <c r="Z924" s="307"/>
      <c r="AA924" s="307"/>
      <c r="AB924" s="307"/>
      <c r="AC924" s="307"/>
      <c r="AD924" s="307"/>
      <c r="AE924" s="307"/>
      <c r="AF924" s="307"/>
      <c r="AG924" s="307"/>
      <c r="AH924" s="307"/>
    </row>
    <row r="925" spans="1:34" ht="17.399999999999999">
      <c r="A925" s="307"/>
      <c r="B925" s="307"/>
      <c r="C925" s="307"/>
      <c r="D925" s="307"/>
      <c r="E925" s="307"/>
      <c r="F925" s="307"/>
      <c r="G925" s="307"/>
      <c r="H925" s="307"/>
      <c r="I925" s="307"/>
      <c r="J925" s="307"/>
      <c r="K925" s="307"/>
      <c r="L925" s="307"/>
      <c r="M925" s="307"/>
      <c r="N925" s="307"/>
      <c r="O925" s="307"/>
      <c r="P925" s="307"/>
      <c r="Q925" s="307"/>
      <c r="R925" s="307"/>
      <c r="S925" s="307"/>
      <c r="T925" s="307"/>
      <c r="U925" s="307"/>
      <c r="V925" s="307"/>
      <c r="W925" s="307"/>
      <c r="X925" s="307"/>
      <c r="Y925" s="307"/>
      <c r="Z925" s="307"/>
      <c r="AA925" s="307"/>
      <c r="AB925" s="307"/>
      <c r="AC925" s="307"/>
      <c r="AD925" s="307"/>
      <c r="AE925" s="307"/>
      <c r="AF925" s="307"/>
      <c r="AG925" s="307"/>
      <c r="AH925" s="307"/>
    </row>
    <row r="926" spans="1:34" ht="17.399999999999999">
      <c r="A926" s="307"/>
      <c r="B926" s="307"/>
      <c r="C926" s="307"/>
      <c r="D926" s="307"/>
      <c r="E926" s="307"/>
      <c r="F926" s="307"/>
      <c r="G926" s="307"/>
      <c r="H926" s="307"/>
      <c r="I926" s="307"/>
      <c r="J926" s="307"/>
      <c r="K926" s="307"/>
      <c r="L926" s="307"/>
      <c r="M926" s="307"/>
      <c r="N926" s="307"/>
      <c r="O926" s="307"/>
      <c r="P926" s="307"/>
      <c r="Q926" s="307"/>
      <c r="R926" s="307"/>
      <c r="S926" s="307"/>
      <c r="T926" s="307"/>
      <c r="U926" s="307"/>
      <c r="V926" s="307"/>
      <c r="W926" s="307"/>
      <c r="X926" s="307"/>
      <c r="Y926" s="307"/>
      <c r="Z926" s="307"/>
      <c r="AA926" s="307"/>
      <c r="AB926" s="307"/>
      <c r="AC926" s="307"/>
      <c r="AD926" s="307"/>
      <c r="AE926" s="307"/>
      <c r="AF926" s="307"/>
      <c r="AG926" s="307"/>
      <c r="AH926" s="307"/>
    </row>
    <row r="927" spans="1:34" ht="17.399999999999999">
      <c r="A927" s="307"/>
      <c r="B927" s="307"/>
      <c r="C927" s="307"/>
      <c r="D927" s="307"/>
      <c r="E927" s="307"/>
      <c r="F927" s="307"/>
      <c r="G927" s="307"/>
      <c r="H927" s="307"/>
      <c r="I927" s="307"/>
      <c r="J927" s="307"/>
      <c r="K927" s="307"/>
      <c r="L927" s="307"/>
      <c r="M927" s="307"/>
      <c r="N927" s="307"/>
      <c r="O927" s="307"/>
      <c r="P927" s="307"/>
      <c r="Q927" s="307"/>
      <c r="R927" s="307"/>
      <c r="S927" s="307"/>
      <c r="T927" s="307"/>
      <c r="U927" s="307"/>
      <c r="V927" s="307"/>
      <c r="W927" s="307"/>
      <c r="X927" s="307"/>
      <c r="Y927" s="307"/>
      <c r="Z927" s="307"/>
      <c r="AA927" s="307"/>
      <c r="AB927" s="307"/>
      <c r="AC927" s="307"/>
      <c r="AD927" s="307"/>
      <c r="AE927" s="307"/>
      <c r="AF927" s="307"/>
      <c r="AG927" s="307"/>
      <c r="AH927" s="307"/>
    </row>
    <row r="928" spans="1:34" ht="17.399999999999999">
      <c r="A928" s="307"/>
      <c r="B928" s="307"/>
      <c r="C928" s="307"/>
      <c r="D928" s="307"/>
      <c r="E928" s="307"/>
      <c r="F928" s="307"/>
      <c r="G928" s="307"/>
      <c r="H928" s="307"/>
      <c r="I928" s="307"/>
      <c r="J928" s="307"/>
      <c r="K928" s="307"/>
      <c r="L928" s="307"/>
      <c r="M928" s="307"/>
      <c r="N928" s="307"/>
      <c r="O928" s="307"/>
      <c r="P928" s="307"/>
      <c r="Q928" s="307"/>
      <c r="R928" s="307"/>
      <c r="S928" s="307"/>
      <c r="T928" s="307"/>
      <c r="U928" s="307"/>
      <c r="V928" s="307"/>
      <c r="W928" s="307"/>
      <c r="X928" s="307"/>
      <c r="Y928" s="307"/>
      <c r="Z928" s="307"/>
      <c r="AA928" s="307"/>
      <c r="AB928" s="307"/>
      <c r="AC928" s="307"/>
      <c r="AD928" s="307"/>
      <c r="AE928" s="307"/>
      <c r="AF928" s="307"/>
      <c r="AG928" s="307"/>
      <c r="AH928" s="307"/>
    </row>
    <row r="929" spans="1:34" ht="17.399999999999999">
      <c r="A929" s="307"/>
      <c r="B929" s="307"/>
      <c r="C929" s="307"/>
      <c r="D929" s="307"/>
      <c r="E929" s="307"/>
      <c r="F929" s="307"/>
      <c r="G929" s="307"/>
      <c r="H929" s="307"/>
      <c r="I929" s="307"/>
      <c r="J929" s="307"/>
      <c r="K929" s="307"/>
      <c r="L929" s="307"/>
      <c r="M929" s="307"/>
      <c r="N929" s="307"/>
      <c r="O929" s="307"/>
      <c r="P929" s="307"/>
      <c r="Q929" s="307"/>
      <c r="R929" s="307"/>
      <c r="S929" s="307"/>
      <c r="T929" s="307"/>
      <c r="U929" s="307"/>
      <c r="V929" s="307"/>
      <c r="W929" s="307"/>
      <c r="X929" s="307"/>
      <c r="Y929" s="307"/>
      <c r="Z929" s="307"/>
      <c r="AA929" s="307"/>
      <c r="AB929" s="307"/>
      <c r="AC929" s="307"/>
      <c r="AD929" s="307"/>
      <c r="AE929" s="307"/>
      <c r="AF929" s="307"/>
      <c r="AG929" s="307"/>
      <c r="AH929" s="307"/>
    </row>
    <row r="930" spans="1:34" ht="17.399999999999999">
      <c r="A930" s="307"/>
      <c r="B930" s="307"/>
      <c r="C930" s="307"/>
      <c r="D930" s="307"/>
      <c r="E930" s="307"/>
      <c r="F930" s="307"/>
      <c r="G930" s="307"/>
      <c r="H930" s="307"/>
      <c r="I930" s="307"/>
      <c r="J930" s="307"/>
      <c r="K930" s="307"/>
      <c r="L930" s="307"/>
      <c r="M930" s="307"/>
      <c r="N930" s="307"/>
      <c r="O930" s="307"/>
      <c r="P930" s="307"/>
      <c r="Q930" s="307"/>
      <c r="R930" s="307"/>
      <c r="S930" s="307"/>
      <c r="T930" s="307"/>
      <c r="U930" s="307"/>
      <c r="V930" s="307"/>
      <c r="W930" s="307"/>
      <c r="X930" s="307"/>
      <c r="Y930" s="307"/>
      <c r="Z930" s="307"/>
      <c r="AA930" s="307"/>
      <c r="AB930" s="307"/>
      <c r="AC930" s="307"/>
      <c r="AD930" s="307"/>
      <c r="AE930" s="307"/>
      <c r="AF930" s="307"/>
      <c r="AG930" s="307"/>
      <c r="AH930" s="307"/>
    </row>
    <row r="931" spans="1:34" ht="17.399999999999999">
      <c r="A931" s="307"/>
      <c r="B931" s="307"/>
      <c r="C931" s="307"/>
      <c r="D931" s="307"/>
      <c r="E931" s="307"/>
      <c r="F931" s="307"/>
      <c r="G931" s="307"/>
      <c r="H931" s="307"/>
      <c r="I931" s="307"/>
      <c r="J931" s="307"/>
      <c r="K931" s="307"/>
      <c r="L931" s="307"/>
      <c r="M931" s="307"/>
      <c r="N931" s="307"/>
      <c r="O931" s="307"/>
      <c r="P931" s="307"/>
      <c r="Q931" s="307"/>
      <c r="R931" s="307"/>
      <c r="S931" s="307"/>
      <c r="T931" s="307"/>
      <c r="U931" s="307"/>
      <c r="V931" s="307"/>
      <c r="W931" s="307"/>
      <c r="X931" s="307"/>
      <c r="Y931" s="307"/>
      <c r="Z931" s="307"/>
      <c r="AA931" s="307"/>
      <c r="AB931" s="307"/>
      <c r="AC931" s="307"/>
      <c r="AD931" s="307"/>
      <c r="AE931" s="307"/>
      <c r="AF931" s="307"/>
      <c r="AG931" s="307"/>
      <c r="AH931" s="307"/>
    </row>
    <row r="932" spans="1:34" ht="17.399999999999999">
      <c r="A932" s="307"/>
      <c r="B932" s="307"/>
      <c r="C932" s="307"/>
      <c r="D932" s="307"/>
      <c r="E932" s="307"/>
      <c r="F932" s="307"/>
      <c r="G932" s="307"/>
      <c r="H932" s="307"/>
      <c r="I932" s="307"/>
      <c r="J932" s="307"/>
      <c r="K932" s="307"/>
      <c r="L932" s="307"/>
      <c r="M932" s="307"/>
      <c r="N932" s="307"/>
      <c r="O932" s="307"/>
      <c r="P932" s="307"/>
      <c r="Q932" s="307"/>
      <c r="R932" s="307"/>
      <c r="S932" s="307"/>
      <c r="T932" s="307"/>
      <c r="U932" s="307"/>
      <c r="V932" s="307"/>
      <c r="W932" s="307"/>
      <c r="X932" s="307"/>
      <c r="Y932" s="307"/>
      <c r="Z932" s="307"/>
      <c r="AA932" s="307"/>
      <c r="AB932" s="307"/>
      <c r="AC932" s="307"/>
      <c r="AD932" s="307"/>
      <c r="AE932" s="307"/>
      <c r="AF932" s="307"/>
      <c r="AG932" s="307"/>
      <c r="AH932" s="307"/>
    </row>
    <row r="933" spans="1:34" ht="17.399999999999999">
      <c r="A933" s="307"/>
      <c r="B933" s="307"/>
      <c r="C933" s="307"/>
      <c r="D933" s="307"/>
      <c r="E933" s="307"/>
      <c r="F933" s="307"/>
      <c r="G933" s="307"/>
      <c r="H933" s="307"/>
      <c r="I933" s="307"/>
      <c r="J933" s="307"/>
      <c r="K933" s="307"/>
      <c r="L933" s="307"/>
      <c r="M933" s="307"/>
      <c r="N933" s="307"/>
      <c r="O933" s="307"/>
      <c r="P933" s="307"/>
      <c r="Q933" s="307"/>
      <c r="R933" s="307"/>
      <c r="S933" s="307"/>
      <c r="T933" s="307"/>
      <c r="U933" s="307"/>
      <c r="V933" s="307"/>
      <c r="W933" s="307"/>
      <c r="X933" s="307"/>
      <c r="Y933" s="307"/>
      <c r="Z933" s="307"/>
      <c r="AA933" s="307"/>
      <c r="AB933" s="307"/>
      <c r="AC933" s="307"/>
      <c r="AD933" s="307"/>
      <c r="AE933" s="307"/>
      <c r="AF933" s="307"/>
      <c r="AG933" s="307"/>
      <c r="AH933" s="307"/>
    </row>
    <row r="934" spans="1:34" ht="17.399999999999999">
      <c r="A934" s="307"/>
      <c r="B934" s="307"/>
      <c r="C934" s="307"/>
      <c r="D934" s="307"/>
      <c r="E934" s="307"/>
      <c r="F934" s="307"/>
      <c r="G934" s="307"/>
      <c r="H934" s="307"/>
      <c r="I934" s="307"/>
      <c r="J934" s="307"/>
      <c r="K934" s="307"/>
      <c r="L934" s="307"/>
      <c r="M934" s="307"/>
      <c r="N934" s="307"/>
      <c r="O934" s="307"/>
      <c r="P934" s="307"/>
      <c r="Q934" s="307"/>
      <c r="R934" s="307"/>
      <c r="S934" s="307"/>
      <c r="T934" s="307"/>
      <c r="U934" s="307"/>
      <c r="V934" s="307"/>
      <c r="W934" s="307"/>
      <c r="X934" s="307"/>
      <c r="Y934" s="307"/>
      <c r="Z934" s="307"/>
      <c r="AA934" s="307"/>
      <c r="AB934" s="307"/>
      <c r="AC934" s="307"/>
      <c r="AD934" s="307"/>
      <c r="AE934" s="307"/>
      <c r="AF934" s="307"/>
      <c r="AG934" s="307"/>
      <c r="AH934" s="307"/>
    </row>
    <row r="935" spans="1:34" ht="17.399999999999999">
      <c r="A935" s="307"/>
      <c r="B935" s="307"/>
      <c r="C935" s="307"/>
      <c r="D935" s="307"/>
      <c r="E935" s="307"/>
      <c r="F935" s="307"/>
      <c r="G935" s="307"/>
      <c r="H935" s="307"/>
      <c r="I935" s="307"/>
      <c r="J935" s="307"/>
      <c r="K935" s="307"/>
      <c r="L935" s="307"/>
      <c r="M935" s="307"/>
      <c r="N935" s="307"/>
      <c r="O935" s="307"/>
      <c r="P935" s="307"/>
      <c r="Q935" s="307"/>
      <c r="R935" s="307"/>
      <c r="S935" s="307"/>
      <c r="T935" s="307"/>
      <c r="U935" s="307"/>
      <c r="V935" s="307"/>
      <c r="W935" s="307"/>
      <c r="X935" s="307"/>
      <c r="Y935" s="307"/>
      <c r="Z935" s="307"/>
      <c r="AA935" s="307"/>
      <c r="AB935" s="307"/>
      <c r="AC935" s="307"/>
      <c r="AD935" s="307"/>
      <c r="AE935" s="307"/>
      <c r="AF935" s="307"/>
      <c r="AG935" s="307"/>
      <c r="AH935" s="307"/>
    </row>
    <row r="936" spans="1:34" ht="17.399999999999999">
      <c r="A936" s="307"/>
      <c r="B936" s="307"/>
      <c r="C936" s="307"/>
      <c r="D936" s="307"/>
      <c r="E936" s="307"/>
      <c r="F936" s="307"/>
      <c r="G936" s="307"/>
      <c r="H936" s="307"/>
      <c r="I936" s="307"/>
      <c r="J936" s="307"/>
      <c r="K936" s="307"/>
      <c r="L936" s="307"/>
      <c r="M936" s="307"/>
      <c r="N936" s="307"/>
      <c r="O936" s="307"/>
      <c r="P936" s="307"/>
      <c r="Q936" s="307"/>
      <c r="R936" s="307"/>
      <c r="S936" s="307"/>
      <c r="T936" s="307"/>
      <c r="U936" s="307"/>
      <c r="V936" s="307"/>
      <c r="W936" s="307"/>
      <c r="X936" s="307"/>
      <c r="Y936" s="307"/>
      <c r="Z936" s="307"/>
      <c r="AA936" s="307"/>
      <c r="AB936" s="307"/>
      <c r="AC936" s="307"/>
      <c r="AD936" s="307"/>
      <c r="AE936" s="307"/>
      <c r="AF936" s="307"/>
      <c r="AG936" s="307"/>
      <c r="AH936" s="307"/>
    </row>
    <row r="937" spans="1:34" ht="17.399999999999999">
      <c r="A937" s="307"/>
      <c r="B937" s="307"/>
      <c r="C937" s="307"/>
      <c r="D937" s="307"/>
      <c r="E937" s="307"/>
      <c r="F937" s="307"/>
      <c r="G937" s="307"/>
      <c r="H937" s="307"/>
      <c r="I937" s="307"/>
      <c r="J937" s="307"/>
      <c r="K937" s="307"/>
      <c r="L937" s="307"/>
      <c r="M937" s="307"/>
      <c r="N937" s="307"/>
      <c r="O937" s="307"/>
      <c r="P937" s="307"/>
      <c r="Q937" s="307"/>
      <c r="R937" s="307"/>
      <c r="S937" s="307"/>
      <c r="T937" s="307"/>
      <c r="U937" s="307"/>
      <c r="V937" s="307"/>
      <c r="W937" s="307"/>
      <c r="X937" s="307"/>
      <c r="Y937" s="307"/>
      <c r="Z937" s="307"/>
      <c r="AA937" s="307"/>
      <c r="AB937" s="307"/>
      <c r="AC937" s="307"/>
      <c r="AD937" s="307"/>
      <c r="AE937" s="307"/>
      <c r="AF937" s="307"/>
      <c r="AG937" s="307"/>
      <c r="AH937" s="307"/>
    </row>
    <row r="938" spans="1:34" ht="17.399999999999999">
      <c r="A938" s="307"/>
      <c r="B938" s="307"/>
      <c r="C938" s="307"/>
      <c r="D938" s="307"/>
      <c r="E938" s="307"/>
      <c r="F938" s="307"/>
      <c r="G938" s="307"/>
      <c r="H938" s="307"/>
      <c r="I938" s="307"/>
      <c r="J938" s="307"/>
      <c r="K938" s="307"/>
      <c r="L938" s="307"/>
      <c r="M938" s="307"/>
      <c r="N938" s="307"/>
      <c r="O938" s="307"/>
      <c r="P938" s="307"/>
      <c r="Q938" s="307"/>
      <c r="R938" s="307"/>
      <c r="S938" s="307"/>
      <c r="T938" s="307"/>
      <c r="U938" s="307"/>
      <c r="V938" s="307"/>
      <c r="W938" s="307"/>
      <c r="X938" s="307"/>
      <c r="Y938" s="307"/>
      <c r="Z938" s="307"/>
      <c r="AA938" s="307"/>
      <c r="AB938" s="307"/>
      <c r="AC938" s="307"/>
      <c r="AD938" s="307"/>
      <c r="AE938" s="307"/>
      <c r="AF938" s="307"/>
      <c r="AG938" s="307"/>
      <c r="AH938" s="307"/>
    </row>
    <row r="939" spans="1:34" ht="17.399999999999999">
      <c r="A939" s="307"/>
      <c r="B939" s="307"/>
      <c r="C939" s="307"/>
      <c r="D939" s="307"/>
      <c r="E939" s="307"/>
      <c r="F939" s="307"/>
      <c r="G939" s="307"/>
      <c r="H939" s="307"/>
      <c r="I939" s="307"/>
      <c r="J939" s="307"/>
      <c r="K939" s="307"/>
      <c r="L939" s="307"/>
      <c r="M939" s="307"/>
      <c r="N939" s="307"/>
      <c r="O939" s="307"/>
      <c r="P939" s="307"/>
      <c r="Q939" s="307"/>
      <c r="R939" s="307"/>
      <c r="S939" s="307"/>
      <c r="T939" s="307"/>
      <c r="U939" s="307"/>
      <c r="V939" s="307"/>
      <c r="W939" s="307"/>
      <c r="X939" s="307"/>
      <c r="Y939" s="307"/>
      <c r="Z939" s="307"/>
      <c r="AA939" s="307"/>
      <c r="AB939" s="307"/>
      <c r="AC939" s="307"/>
      <c r="AD939" s="307"/>
      <c r="AE939" s="307"/>
      <c r="AF939" s="307"/>
      <c r="AG939" s="307"/>
      <c r="AH939" s="307"/>
    </row>
    <row r="940" spans="1:34" ht="17.399999999999999">
      <c r="A940" s="307"/>
      <c r="B940" s="307"/>
      <c r="C940" s="307"/>
      <c r="D940" s="307"/>
      <c r="E940" s="307"/>
      <c r="F940" s="307"/>
      <c r="G940" s="307"/>
      <c r="H940" s="307"/>
      <c r="I940" s="307"/>
      <c r="J940" s="307"/>
      <c r="K940" s="307"/>
      <c r="L940" s="307"/>
      <c r="M940" s="307"/>
      <c r="N940" s="307"/>
      <c r="O940" s="307"/>
      <c r="P940" s="307"/>
      <c r="Q940" s="307"/>
      <c r="R940" s="307"/>
      <c r="S940" s="307"/>
      <c r="T940" s="307"/>
      <c r="U940" s="307"/>
      <c r="V940" s="307"/>
      <c r="W940" s="307"/>
      <c r="X940" s="307"/>
      <c r="Y940" s="307"/>
      <c r="Z940" s="307"/>
      <c r="AA940" s="307"/>
      <c r="AB940" s="307"/>
      <c r="AC940" s="307"/>
      <c r="AD940" s="307"/>
      <c r="AE940" s="307"/>
      <c r="AF940" s="307"/>
      <c r="AG940" s="307"/>
      <c r="AH940" s="307"/>
    </row>
    <row r="941" spans="1:34" ht="17.399999999999999">
      <c r="A941" s="307"/>
      <c r="B941" s="307"/>
      <c r="C941" s="307"/>
      <c r="D941" s="307"/>
      <c r="E941" s="307"/>
      <c r="F941" s="307"/>
      <c r="G941" s="307"/>
      <c r="H941" s="307"/>
      <c r="I941" s="307"/>
      <c r="J941" s="307"/>
      <c r="K941" s="307"/>
      <c r="L941" s="307"/>
      <c r="M941" s="307"/>
      <c r="N941" s="307"/>
      <c r="O941" s="307"/>
      <c r="P941" s="307"/>
      <c r="Q941" s="307"/>
      <c r="R941" s="307"/>
      <c r="S941" s="307"/>
      <c r="T941" s="307"/>
      <c r="U941" s="307"/>
      <c r="V941" s="307"/>
      <c r="W941" s="307"/>
      <c r="X941" s="307"/>
      <c r="Y941" s="307"/>
      <c r="Z941" s="307"/>
      <c r="AA941" s="307"/>
      <c r="AB941" s="307"/>
      <c r="AC941" s="307"/>
      <c r="AD941" s="307"/>
      <c r="AE941" s="307"/>
      <c r="AF941" s="307"/>
      <c r="AG941" s="307"/>
      <c r="AH941" s="307"/>
    </row>
    <row r="942" spans="1:34" ht="17.399999999999999">
      <c r="A942" s="307"/>
      <c r="B942" s="307"/>
      <c r="C942" s="307"/>
      <c r="D942" s="307"/>
      <c r="E942" s="307"/>
      <c r="F942" s="307"/>
      <c r="G942" s="307"/>
      <c r="H942" s="307"/>
      <c r="I942" s="307"/>
      <c r="J942" s="307"/>
      <c r="K942" s="307"/>
      <c r="L942" s="307"/>
      <c r="M942" s="307"/>
      <c r="N942" s="307"/>
      <c r="O942" s="307"/>
      <c r="P942" s="307"/>
      <c r="Q942" s="307"/>
      <c r="R942" s="307"/>
      <c r="S942" s="307"/>
      <c r="T942" s="307"/>
      <c r="U942" s="307"/>
      <c r="V942" s="307"/>
      <c r="W942" s="307"/>
      <c r="X942" s="307"/>
      <c r="Y942" s="307"/>
      <c r="Z942" s="307"/>
      <c r="AA942" s="307"/>
      <c r="AB942" s="307"/>
      <c r="AC942" s="307"/>
      <c r="AD942" s="307"/>
      <c r="AE942" s="307"/>
      <c r="AF942" s="307"/>
      <c r="AG942" s="307"/>
      <c r="AH942" s="307"/>
    </row>
    <row r="943" spans="1:34" ht="17.399999999999999">
      <c r="A943" s="307"/>
      <c r="B943" s="307"/>
      <c r="C943" s="307"/>
      <c r="D943" s="307"/>
      <c r="E943" s="307"/>
      <c r="F943" s="307"/>
      <c r="G943" s="307"/>
      <c r="H943" s="307"/>
      <c r="I943" s="307"/>
      <c r="J943" s="307"/>
      <c r="K943" s="307"/>
      <c r="L943" s="307"/>
      <c r="M943" s="307"/>
      <c r="N943" s="307"/>
      <c r="O943" s="307"/>
      <c r="P943" s="307"/>
      <c r="Q943" s="307"/>
      <c r="R943" s="307"/>
      <c r="S943" s="307"/>
      <c r="T943" s="307"/>
      <c r="U943" s="307"/>
      <c r="V943" s="307"/>
      <c r="W943" s="307"/>
      <c r="X943" s="307"/>
      <c r="Y943" s="307"/>
      <c r="Z943" s="307"/>
      <c r="AA943" s="307"/>
      <c r="AB943" s="307"/>
      <c r="AC943" s="307"/>
      <c r="AD943" s="307"/>
      <c r="AE943" s="307"/>
      <c r="AF943" s="307"/>
      <c r="AG943" s="307"/>
      <c r="AH943" s="307"/>
    </row>
    <row r="944" spans="1:34" ht="17.399999999999999">
      <c r="A944" s="307"/>
      <c r="B944" s="307"/>
      <c r="C944" s="307"/>
      <c r="D944" s="307"/>
      <c r="E944" s="307"/>
      <c r="F944" s="307"/>
      <c r="G944" s="307"/>
      <c r="H944" s="307"/>
      <c r="I944" s="307"/>
      <c r="J944" s="307"/>
      <c r="K944" s="307"/>
      <c r="L944" s="307"/>
      <c r="M944" s="307"/>
      <c r="N944" s="307"/>
      <c r="O944" s="307"/>
      <c r="P944" s="307"/>
      <c r="Q944" s="307"/>
      <c r="R944" s="307"/>
      <c r="S944" s="307"/>
      <c r="T944" s="307"/>
      <c r="U944" s="307"/>
      <c r="V944" s="307"/>
      <c r="W944" s="307"/>
      <c r="X944" s="307"/>
      <c r="Y944" s="307"/>
      <c r="Z944" s="307"/>
      <c r="AA944" s="307"/>
      <c r="AB944" s="307"/>
      <c r="AC944" s="307"/>
      <c r="AD944" s="307"/>
      <c r="AE944" s="307"/>
      <c r="AF944" s="307"/>
      <c r="AG944" s="307"/>
      <c r="AH944" s="307"/>
    </row>
    <row r="945" spans="1:34" ht="17.399999999999999">
      <c r="A945" s="307"/>
      <c r="B945" s="307"/>
      <c r="C945" s="307"/>
      <c r="D945" s="307"/>
      <c r="E945" s="307"/>
      <c r="F945" s="307"/>
      <c r="G945" s="307"/>
      <c r="H945" s="307"/>
      <c r="I945" s="307"/>
      <c r="J945" s="307"/>
      <c r="K945" s="307"/>
      <c r="L945" s="307"/>
      <c r="M945" s="307"/>
      <c r="N945" s="307"/>
      <c r="O945" s="307"/>
      <c r="P945" s="307"/>
      <c r="Q945" s="307"/>
      <c r="R945" s="307"/>
      <c r="S945" s="307"/>
      <c r="T945" s="307"/>
      <c r="U945" s="307"/>
      <c r="V945" s="307"/>
      <c r="W945" s="307"/>
      <c r="X945" s="307"/>
      <c r="Y945" s="307"/>
      <c r="Z945" s="307"/>
      <c r="AA945" s="307"/>
      <c r="AB945" s="307"/>
      <c r="AC945" s="307"/>
      <c r="AD945" s="307"/>
      <c r="AE945" s="307"/>
      <c r="AF945" s="307"/>
      <c r="AG945" s="307"/>
      <c r="AH945" s="307"/>
    </row>
    <row r="946" spans="1:34" ht="17.399999999999999">
      <c r="A946" s="307"/>
      <c r="B946" s="307"/>
      <c r="C946" s="307"/>
      <c r="D946" s="307"/>
      <c r="E946" s="307"/>
      <c r="F946" s="307"/>
      <c r="G946" s="307"/>
      <c r="H946" s="307"/>
      <c r="I946" s="307"/>
      <c r="J946" s="307"/>
      <c r="K946" s="307"/>
      <c r="L946" s="307"/>
      <c r="M946" s="307"/>
      <c r="N946" s="307"/>
      <c r="O946" s="307"/>
      <c r="P946" s="307"/>
      <c r="Q946" s="307"/>
      <c r="R946" s="307"/>
      <c r="S946" s="307"/>
      <c r="T946" s="307"/>
      <c r="U946" s="307"/>
      <c r="V946" s="307"/>
      <c r="W946" s="307"/>
      <c r="X946" s="307"/>
      <c r="Y946" s="307"/>
      <c r="Z946" s="307"/>
      <c r="AA946" s="307"/>
      <c r="AB946" s="307"/>
      <c r="AC946" s="307"/>
      <c r="AD946" s="307"/>
      <c r="AE946" s="307"/>
      <c r="AF946" s="307"/>
      <c r="AG946" s="307"/>
      <c r="AH946" s="307"/>
    </row>
    <row r="947" spans="1:34" ht="17.399999999999999">
      <c r="A947" s="307"/>
      <c r="B947" s="307"/>
      <c r="C947" s="307"/>
      <c r="D947" s="307"/>
      <c r="E947" s="307"/>
      <c r="F947" s="307"/>
      <c r="G947" s="307"/>
      <c r="H947" s="307"/>
      <c r="I947" s="307"/>
      <c r="J947" s="307"/>
      <c r="K947" s="307"/>
      <c r="L947" s="307"/>
      <c r="M947" s="307"/>
      <c r="N947" s="307"/>
      <c r="O947" s="307"/>
      <c r="P947" s="307"/>
      <c r="Q947" s="307"/>
      <c r="R947" s="307"/>
      <c r="S947" s="307"/>
      <c r="T947" s="307"/>
      <c r="U947" s="307"/>
      <c r="V947" s="307"/>
      <c r="W947" s="307"/>
      <c r="X947" s="307"/>
      <c r="Y947" s="307"/>
      <c r="Z947" s="307"/>
      <c r="AA947" s="307"/>
      <c r="AB947" s="307"/>
      <c r="AC947" s="307"/>
      <c r="AD947" s="307"/>
      <c r="AE947" s="307"/>
      <c r="AF947" s="307"/>
      <c r="AG947" s="307"/>
      <c r="AH947" s="307"/>
    </row>
    <row r="948" spans="1:34" ht="17.399999999999999">
      <c r="A948" s="307"/>
      <c r="B948" s="307"/>
      <c r="C948" s="307"/>
      <c r="D948" s="307"/>
      <c r="E948" s="307"/>
      <c r="F948" s="307"/>
      <c r="G948" s="307"/>
      <c r="H948" s="307"/>
      <c r="I948" s="307"/>
      <c r="J948" s="307"/>
      <c r="K948" s="307"/>
      <c r="L948" s="307"/>
      <c r="M948" s="307"/>
      <c r="N948" s="307"/>
      <c r="O948" s="307"/>
      <c r="P948" s="307"/>
      <c r="Q948" s="307"/>
      <c r="R948" s="307"/>
      <c r="S948" s="307"/>
      <c r="T948" s="307"/>
      <c r="U948" s="307"/>
      <c r="V948" s="307"/>
      <c r="W948" s="307"/>
      <c r="X948" s="307"/>
      <c r="Y948" s="307"/>
      <c r="Z948" s="307"/>
      <c r="AA948" s="307"/>
      <c r="AB948" s="307"/>
      <c r="AC948" s="307"/>
      <c r="AD948" s="307"/>
      <c r="AE948" s="307"/>
      <c r="AF948" s="307"/>
      <c r="AG948" s="307"/>
      <c r="AH948" s="307"/>
    </row>
    <row r="949" spans="1:34" ht="17.399999999999999">
      <c r="A949" s="307"/>
      <c r="B949" s="307"/>
      <c r="C949" s="307"/>
      <c r="D949" s="307"/>
      <c r="E949" s="307"/>
      <c r="F949" s="307"/>
      <c r="G949" s="307"/>
      <c r="H949" s="307"/>
      <c r="I949" s="307"/>
      <c r="J949" s="307"/>
      <c r="K949" s="307"/>
      <c r="L949" s="307"/>
      <c r="M949" s="307"/>
      <c r="N949" s="307"/>
      <c r="O949" s="307"/>
      <c r="P949" s="307"/>
      <c r="Q949" s="307"/>
      <c r="R949" s="307"/>
      <c r="S949" s="307"/>
      <c r="T949" s="307"/>
      <c r="U949" s="307"/>
      <c r="V949" s="307"/>
      <c r="W949" s="307"/>
      <c r="X949" s="307"/>
      <c r="Y949" s="307"/>
      <c r="Z949" s="307"/>
      <c r="AA949" s="307"/>
      <c r="AB949" s="307"/>
      <c r="AC949" s="307"/>
      <c r="AD949" s="307"/>
      <c r="AE949" s="307"/>
      <c r="AF949" s="307"/>
      <c r="AG949" s="307"/>
      <c r="AH949" s="307"/>
    </row>
    <row r="950" spans="1:34" ht="17.399999999999999">
      <c r="A950" s="307"/>
      <c r="B950" s="307"/>
      <c r="C950" s="307"/>
      <c r="D950" s="307"/>
      <c r="E950" s="307"/>
      <c r="F950" s="307"/>
      <c r="G950" s="307"/>
      <c r="H950" s="307"/>
      <c r="I950" s="307"/>
      <c r="J950" s="307"/>
      <c r="K950" s="307"/>
      <c r="L950" s="307"/>
      <c r="M950" s="307"/>
      <c r="N950" s="307"/>
      <c r="O950" s="307"/>
      <c r="P950" s="307"/>
      <c r="Q950" s="307"/>
      <c r="R950" s="307"/>
      <c r="S950" s="307"/>
      <c r="T950" s="307"/>
      <c r="U950" s="307"/>
      <c r="V950" s="307"/>
      <c r="W950" s="307"/>
      <c r="X950" s="307"/>
      <c r="Y950" s="307"/>
      <c r="Z950" s="307"/>
      <c r="AA950" s="307"/>
      <c r="AB950" s="307"/>
      <c r="AC950" s="307"/>
      <c r="AD950" s="307"/>
      <c r="AE950" s="307"/>
      <c r="AF950" s="307"/>
      <c r="AG950" s="307"/>
      <c r="AH950" s="307"/>
    </row>
    <row r="951" spans="1:34" ht="17.399999999999999">
      <c r="A951" s="307"/>
      <c r="B951" s="307"/>
      <c r="C951" s="307"/>
      <c r="D951" s="307"/>
      <c r="E951" s="307"/>
      <c r="F951" s="307"/>
      <c r="G951" s="307"/>
      <c r="H951" s="307"/>
      <c r="I951" s="307"/>
      <c r="J951" s="307"/>
      <c r="K951" s="307"/>
      <c r="L951" s="307"/>
      <c r="M951" s="307"/>
      <c r="N951" s="307"/>
      <c r="O951" s="307"/>
      <c r="P951" s="307"/>
      <c r="Q951" s="307"/>
      <c r="R951" s="307"/>
      <c r="S951" s="307"/>
      <c r="T951" s="307"/>
      <c r="U951" s="307"/>
      <c r="V951" s="307"/>
      <c r="W951" s="307"/>
      <c r="X951" s="307"/>
      <c r="Y951" s="307"/>
      <c r="Z951" s="307"/>
      <c r="AA951" s="307"/>
      <c r="AB951" s="307"/>
      <c r="AC951" s="307"/>
      <c r="AD951" s="307"/>
      <c r="AE951" s="307"/>
      <c r="AF951" s="307"/>
      <c r="AG951" s="307"/>
      <c r="AH951" s="307"/>
    </row>
    <row r="952" spans="1:34" ht="17.399999999999999">
      <c r="A952" s="307"/>
      <c r="B952" s="307"/>
      <c r="C952" s="307"/>
      <c r="D952" s="307"/>
      <c r="E952" s="307"/>
      <c r="F952" s="307"/>
      <c r="G952" s="307"/>
      <c r="H952" s="307"/>
      <c r="I952" s="307"/>
      <c r="J952" s="307"/>
      <c r="K952" s="307"/>
      <c r="L952" s="307"/>
      <c r="M952" s="307"/>
      <c r="N952" s="307"/>
      <c r="O952" s="307"/>
      <c r="P952" s="307"/>
      <c r="Q952" s="307"/>
      <c r="R952" s="307"/>
      <c r="S952" s="307"/>
      <c r="T952" s="307"/>
      <c r="U952" s="307"/>
      <c r="V952" s="307"/>
      <c r="W952" s="307"/>
      <c r="X952" s="307"/>
      <c r="Y952" s="307"/>
      <c r="Z952" s="307"/>
      <c r="AA952" s="307"/>
      <c r="AB952" s="307"/>
      <c r="AC952" s="307"/>
      <c r="AD952" s="307"/>
      <c r="AE952" s="307"/>
      <c r="AF952" s="307"/>
      <c r="AG952" s="307"/>
      <c r="AH952" s="307"/>
    </row>
    <row r="953" spans="1:34" ht="17.399999999999999">
      <c r="A953" s="307"/>
      <c r="B953" s="307"/>
      <c r="C953" s="307"/>
      <c r="D953" s="307"/>
      <c r="E953" s="307"/>
      <c r="F953" s="307"/>
      <c r="G953" s="307"/>
      <c r="H953" s="307"/>
      <c r="I953" s="307"/>
      <c r="J953" s="307"/>
      <c r="K953" s="307"/>
      <c r="L953" s="307"/>
      <c r="M953" s="307"/>
      <c r="N953" s="307"/>
      <c r="O953" s="307"/>
      <c r="P953" s="307"/>
      <c r="Q953" s="307"/>
      <c r="R953" s="307"/>
      <c r="S953" s="307"/>
      <c r="T953" s="307"/>
      <c r="U953" s="307"/>
      <c r="V953" s="307"/>
      <c r="W953" s="307"/>
      <c r="X953" s="307"/>
      <c r="Y953" s="307"/>
      <c r="Z953" s="307"/>
      <c r="AA953" s="307"/>
      <c r="AB953" s="307"/>
      <c r="AC953" s="307"/>
      <c r="AD953" s="307"/>
      <c r="AE953" s="307"/>
      <c r="AF953" s="307"/>
      <c r="AG953" s="307"/>
      <c r="AH953" s="307"/>
    </row>
    <row r="954" spans="1:34" ht="17.399999999999999">
      <c r="A954" s="307"/>
      <c r="B954" s="307"/>
      <c r="C954" s="307"/>
      <c r="D954" s="307"/>
      <c r="E954" s="307"/>
      <c r="F954" s="307"/>
      <c r="G954" s="307"/>
      <c r="H954" s="307"/>
      <c r="I954" s="307"/>
      <c r="J954" s="307"/>
      <c r="K954" s="307"/>
      <c r="L954" s="307"/>
      <c r="M954" s="307"/>
      <c r="N954" s="307"/>
      <c r="O954" s="307"/>
      <c r="P954" s="307"/>
      <c r="Q954" s="307"/>
      <c r="R954" s="307"/>
      <c r="S954" s="307"/>
      <c r="T954" s="307"/>
      <c r="U954" s="307"/>
      <c r="V954" s="307"/>
      <c r="W954" s="307"/>
      <c r="X954" s="307"/>
      <c r="Y954" s="307"/>
      <c r="Z954" s="307"/>
      <c r="AA954" s="307"/>
      <c r="AB954" s="307"/>
      <c r="AC954" s="307"/>
      <c r="AD954" s="307"/>
      <c r="AE954" s="307"/>
      <c r="AF954" s="307"/>
      <c r="AG954" s="307"/>
      <c r="AH954" s="307"/>
    </row>
    <row r="955" spans="1:34" ht="17.399999999999999">
      <c r="A955" s="307"/>
      <c r="B955" s="307"/>
      <c r="C955" s="307"/>
      <c r="D955" s="307"/>
      <c r="E955" s="307"/>
      <c r="F955" s="307"/>
      <c r="G955" s="307"/>
      <c r="H955" s="307"/>
      <c r="I955" s="307"/>
      <c r="J955" s="307"/>
      <c r="K955" s="307"/>
      <c r="L955" s="307"/>
      <c r="M955" s="307"/>
      <c r="N955" s="307"/>
      <c r="O955" s="307"/>
      <c r="P955" s="307"/>
      <c r="Q955" s="307"/>
      <c r="R955" s="307"/>
      <c r="S955" s="307"/>
      <c r="T955" s="307"/>
      <c r="U955" s="307"/>
      <c r="V955" s="307"/>
      <c r="W955" s="307"/>
      <c r="X955" s="307"/>
      <c r="Y955" s="307"/>
      <c r="Z955" s="307"/>
      <c r="AA955" s="307"/>
      <c r="AB955" s="307"/>
      <c r="AC955" s="307"/>
      <c r="AD955" s="307"/>
      <c r="AE955" s="307"/>
      <c r="AF955" s="307"/>
      <c r="AG955" s="307"/>
      <c r="AH955" s="307"/>
    </row>
    <row r="956" spans="1:34" ht="17.399999999999999">
      <c r="A956" s="307"/>
      <c r="B956" s="307"/>
      <c r="C956" s="307"/>
      <c r="D956" s="307"/>
      <c r="E956" s="307"/>
      <c r="F956" s="307"/>
      <c r="G956" s="307"/>
      <c r="H956" s="307"/>
      <c r="I956" s="307"/>
      <c r="J956" s="307"/>
      <c r="K956" s="307"/>
      <c r="L956" s="307"/>
      <c r="M956" s="307"/>
      <c r="N956" s="307"/>
      <c r="O956" s="307"/>
      <c r="P956" s="307"/>
      <c r="Q956" s="307"/>
      <c r="R956" s="307"/>
      <c r="S956" s="307"/>
      <c r="T956" s="307"/>
      <c r="U956" s="307"/>
      <c r="V956" s="307"/>
      <c r="W956" s="307"/>
      <c r="X956" s="307"/>
      <c r="Y956" s="307"/>
      <c r="Z956" s="307"/>
      <c r="AA956" s="307"/>
      <c r="AB956" s="307"/>
      <c r="AC956" s="307"/>
      <c r="AD956" s="307"/>
      <c r="AE956" s="307"/>
      <c r="AF956" s="307"/>
      <c r="AG956" s="307"/>
      <c r="AH956" s="307"/>
    </row>
    <row r="957" spans="1:34" ht="17.399999999999999">
      <c r="A957" s="307"/>
      <c r="B957" s="307"/>
      <c r="C957" s="307"/>
      <c r="D957" s="307"/>
      <c r="E957" s="307"/>
      <c r="F957" s="307"/>
      <c r="G957" s="307"/>
      <c r="H957" s="307"/>
      <c r="I957" s="307"/>
      <c r="J957" s="307"/>
      <c r="K957" s="307"/>
      <c r="L957" s="307"/>
      <c r="M957" s="307"/>
      <c r="N957" s="307"/>
      <c r="O957" s="307"/>
      <c r="P957" s="307"/>
      <c r="Q957" s="307"/>
      <c r="R957" s="307"/>
      <c r="S957" s="307"/>
      <c r="T957" s="307"/>
      <c r="U957" s="307"/>
      <c r="V957" s="307"/>
      <c r="W957" s="307"/>
      <c r="X957" s="307"/>
      <c r="Y957" s="307"/>
      <c r="Z957" s="307"/>
      <c r="AA957" s="307"/>
      <c r="AB957" s="307"/>
      <c r="AC957" s="307"/>
      <c r="AD957" s="307"/>
      <c r="AE957" s="307"/>
      <c r="AF957" s="307"/>
      <c r="AG957" s="307"/>
      <c r="AH957" s="307"/>
    </row>
    <row r="958" spans="1:34" ht="17.399999999999999">
      <c r="A958" s="307"/>
      <c r="B958" s="307"/>
      <c r="C958" s="307"/>
      <c r="D958" s="307"/>
      <c r="E958" s="307"/>
      <c r="F958" s="307"/>
      <c r="G958" s="307"/>
      <c r="H958" s="307"/>
      <c r="I958" s="307"/>
      <c r="J958" s="307"/>
      <c r="K958" s="307"/>
      <c r="L958" s="307"/>
      <c r="M958" s="307"/>
      <c r="N958" s="307"/>
      <c r="O958" s="307"/>
      <c r="P958" s="307"/>
      <c r="Q958" s="307"/>
      <c r="R958" s="307"/>
      <c r="S958" s="307"/>
      <c r="T958" s="307"/>
      <c r="U958" s="307"/>
      <c r="V958" s="307"/>
      <c r="W958" s="307"/>
      <c r="X958" s="307"/>
      <c r="Y958" s="307"/>
      <c r="Z958" s="307"/>
      <c r="AA958" s="307"/>
      <c r="AB958" s="307"/>
      <c r="AC958" s="307"/>
      <c r="AD958" s="307"/>
      <c r="AE958" s="307"/>
      <c r="AF958" s="307"/>
      <c r="AG958" s="307"/>
      <c r="AH958" s="307"/>
    </row>
    <row r="959" spans="1:34" ht="17.399999999999999">
      <c r="A959" s="307"/>
      <c r="B959" s="307"/>
      <c r="C959" s="307"/>
      <c r="D959" s="307"/>
      <c r="E959" s="307"/>
      <c r="F959" s="307"/>
      <c r="G959" s="307"/>
      <c r="H959" s="307"/>
      <c r="I959" s="307"/>
      <c r="J959" s="307"/>
      <c r="K959" s="307"/>
      <c r="L959" s="307"/>
      <c r="M959" s="307"/>
      <c r="N959" s="307"/>
      <c r="O959" s="307"/>
      <c r="P959" s="307"/>
      <c r="Q959" s="307"/>
      <c r="R959" s="307"/>
      <c r="S959" s="307"/>
      <c r="T959" s="307"/>
      <c r="U959" s="307"/>
      <c r="V959" s="307"/>
      <c r="W959" s="307"/>
      <c r="X959" s="307"/>
      <c r="Y959" s="307"/>
      <c r="Z959" s="307"/>
      <c r="AA959" s="307"/>
      <c r="AB959" s="307"/>
      <c r="AC959" s="307"/>
      <c r="AD959" s="307"/>
      <c r="AE959" s="307"/>
      <c r="AF959" s="307"/>
      <c r="AG959" s="307"/>
      <c r="AH959" s="307"/>
    </row>
    <row r="960" spans="1:34" ht="17.399999999999999">
      <c r="A960" s="307"/>
      <c r="B960" s="307"/>
      <c r="C960" s="307"/>
      <c r="D960" s="307"/>
      <c r="E960" s="307"/>
      <c r="F960" s="307"/>
      <c r="G960" s="307"/>
      <c r="H960" s="307"/>
      <c r="I960" s="307"/>
      <c r="J960" s="307"/>
      <c r="K960" s="307"/>
      <c r="L960" s="307"/>
      <c r="M960" s="307"/>
      <c r="N960" s="307"/>
      <c r="O960" s="307"/>
      <c r="P960" s="307"/>
      <c r="Q960" s="307"/>
      <c r="R960" s="307"/>
      <c r="S960" s="307"/>
      <c r="T960" s="307"/>
      <c r="U960" s="307"/>
      <c r="V960" s="307"/>
      <c r="W960" s="307"/>
      <c r="X960" s="307"/>
      <c r="Y960" s="307"/>
      <c r="Z960" s="307"/>
      <c r="AA960" s="307"/>
      <c r="AB960" s="307"/>
      <c r="AC960" s="307"/>
      <c r="AD960" s="307"/>
      <c r="AE960" s="307"/>
      <c r="AF960" s="307"/>
      <c r="AG960" s="307"/>
      <c r="AH960" s="307"/>
    </row>
    <row r="961" spans="1:34" ht="17.399999999999999">
      <c r="A961" s="307"/>
      <c r="B961" s="307"/>
      <c r="C961" s="307"/>
      <c r="D961" s="307"/>
      <c r="E961" s="307"/>
      <c r="F961" s="307"/>
      <c r="G961" s="307"/>
      <c r="H961" s="307"/>
      <c r="I961" s="307"/>
      <c r="J961" s="307"/>
      <c r="K961" s="307"/>
      <c r="L961" s="307"/>
      <c r="M961" s="307"/>
      <c r="N961" s="307"/>
      <c r="O961" s="307"/>
      <c r="P961" s="307"/>
      <c r="Q961" s="307"/>
      <c r="R961" s="307"/>
      <c r="S961" s="307"/>
      <c r="T961" s="307"/>
      <c r="U961" s="307"/>
      <c r="V961" s="307"/>
      <c r="W961" s="307"/>
      <c r="X961" s="307"/>
      <c r="Y961" s="307"/>
      <c r="Z961" s="307"/>
      <c r="AA961" s="307"/>
      <c r="AB961" s="307"/>
      <c r="AC961" s="307"/>
      <c r="AD961" s="307"/>
      <c r="AE961" s="307"/>
      <c r="AF961" s="307"/>
      <c r="AG961" s="307"/>
      <c r="AH961" s="307"/>
    </row>
    <row r="962" spans="1:34" ht="17.399999999999999">
      <c r="A962" s="307"/>
      <c r="B962" s="307"/>
      <c r="C962" s="307"/>
      <c r="D962" s="307"/>
      <c r="E962" s="307"/>
      <c r="F962" s="307"/>
      <c r="G962" s="307"/>
      <c r="H962" s="307"/>
      <c r="I962" s="307"/>
      <c r="J962" s="307"/>
      <c r="K962" s="307"/>
      <c r="L962" s="307"/>
      <c r="M962" s="307"/>
      <c r="N962" s="307"/>
      <c r="O962" s="307"/>
      <c r="P962" s="307"/>
      <c r="Q962" s="307"/>
      <c r="R962" s="307"/>
      <c r="S962" s="307"/>
      <c r="T962" s="307"/>
      <c r="U962" s="307"/>
      <c r="V962" s="307"/>
      <c r="W962" s="307"/>
      <c r="X962" s="307"/>
      <c r="Y962" s="307"/>
      <c r="Z962" s="307"/>
      <c r="AA962" s="307"/>
      <c r="AB962" s="307"/>
      <c r="AC962" s="307"/>
      <c r="AD962" s="307"/>
      <c r="AE962" s="307"/>
      <c r="AF962" s="307"/>
      <c r="AG962" s="307"/>
      <c r="AH962" s="307"/>
    </row>
    <row r="963" spans="1:34" ht="17.399999999999999">
      <c r="A963" s="307"/>
      <c r="B963" s="307"/>
      <c r="C963" s="307"/>
      <c r="D963" s="307"/>
      <c r="E963" s="307"/>
      <c r="F963" s="307"/>
      <c r="G963" s="307"/>
      <c r="H963" s="307"/>
      <c r="I963" s="307"/>
      <c r="J963" s="307"/>
      <c r="K963" s="307"/>
      <c r="L963" s="307"/>
      <c r="M963" s="307"/>
      <c r="N963" s="307"/>
      <c r="O963" s="307"/>
      <c r="P963" s="307"/>
      <c r="Q963" s="307"/>
      <c r="R963" s="307"/>
      <c r="S963" s="307"/>
      <c r="T963" s="307"/>
      <c r="U963" s="307"/>
      <c r="V963" s="307"/>
      <c r="W963" s="307"/>
      <c r="X963" s="307"/>
      <c r="Y963" s="307"/>
      <c r="Z963" s="307"/>
      <c r="AA963" s="307"/>
      <c r="AB963" s="307"/>
      <c r="AC963" s="307"/>
      <c r="AD963" s="307"/>
      <c r="AE963" s="307"/>
      <c r="AF963" s="307"/>
      <c r="AG963" s="307"/>
      <c r="AH963" s="307"/>
    </row>
    <row r="964" spans="1:34" ht="17.399999999999999">
      <c r="A964" s="307"/>
      <c r="B964" s="307"/>
      <c r="C964" s="307"/>
      <c r="D964" s="307"/>
      <c r="E964" s="307"/>
      <c r="F964" s="307"/>
      <c r="G964" s="307"/>
      <c r="H964" s="307"/>
      <c r="I964" s="307"/>
      <c r="J964" s="307"/>
      <c r="K964" s="307"/>
      <c r="L964" s="307"/>
      <c r="M964" s="307"/>
      <c r="N964" s="307"/>
      <c r="O964" s="307"/>
      <c r="P964" s="307"/>
      <c r="Q964" s="307"/>
      <c r="R964" s="307"/>
      <c r="S964" s="307"/>
      <c r="T964" s="307"/>
      <c r="U964" s="307"/>
      <c r="V964" s="307"/>
      <c r="W964" s="307"/>
      <c r="X964" s="307"/>
      <c r="Y964" s="307"/>
      <c r="Z964" s="307"/>
      <c r="AA964" s="307"/>
      <c r="AB964" s="307"/>
      <c r="AC964" s="307"/>
      <c r="AD964" s="307"/>
      <c r="AE964" s="307"/>
      <c r="AF964" s="307"/>
      <c r="AG964" s="307"/>
      <c r="AH964" s="307"/>
    </row>
    <row r="965" spans="1:34" ht="17.399999999999999">
      <c r="A965" s="307"/>
      <c r="B965" s="307"/>
      <c r="C965" s="307"/>
      <c r="D965" s="307"/>
      <c r="E965" s="307"/>
      <c r="F965" s="307"/>
      <c r="G965" s="307"/>
      <c r="H965" s="307"/>
      <c r="I965" s="307"/>
      <c r="J965" s="307"/>
      <c r="K965" s="307"/>
      <c r="L965" s="307"/>
      <c r="M965" s="307"/>
      <c r="N965" s="307"/>
      <c r="O965" s="307"/>
      <c r="P965" s="307"/>
      <c r="Q965" s="307"/>
      <c r="R965" s="307"/>
      <c r="S965" s="307"/>
      <c r="T965" s="307"/>
      <c r="U965" s="307"/>
      <c r="V965" s="307"/>
      <c r="W965" s="307"/>
      <c r="X965" s="307"/>
      <c r="Y965" s="307"/>
      <c r="Z965" s="307"/>
      <c r="AA965" s="307"/>
      <c r="AB965" s="307"/>
      <c r="AC965" s="307"/>
      <c r="AD965" s="307"/>
      <c r="AE965" s="307"/>
      <c r="AF965" s="307"/>
      <c r="AG965" s="307"/>
      <c r="AH965" s="307"/>
    </row>
    <row r="966" spans="1:34" ht="17.399999999999999">
      <c r="A966" s="307"/>
      <c r="B966" s="307"/>
      <c r="C966" s="307"/>
      <c r="D966" s="307"/>
      <c r="E966" s="307"/>
      <c r="F966" s="307"/>
      <c r="G966" s="307"/>
      <c r="H966" s="307"/>
      <c r="I966" s="307"/>
      <c r="J966" s="307"/>
      <c r="K966" s="307"/>
      <c r="L966" s="307"/>
      <c r="M966" s="307"/>
      <c r="N966" s="307"/>
      <c r="O966" s="307"/>
      <c r="P966" s="307"/>
      <c r="Q966" s="307"/>
      <c r="R966" s="307"/>
      <c r="S966" s="307"/>
      <c r="T966" s="307"/>
      <c r="U966" s="307"/>
      <c r="V966" s="307"/>
      <c r="W966" s="307"/>
      <c r="X966" s="307"/>
      <c r="Y966" s="307"/>
      <c r="Z966" s="307"/>
      <c r="AA966" s="307"/>
      <c r="AB966" s="307"/>
      <c r="AC966" s="307"/>
      <c r="AD966" s="307"/>
      <c r="AE966" s="307"/>
      <c r="AF966" s="307"/>
      <c r="AG966" s="307"/>
      <c r="AH966" s="307"/>
    </row>
    <row r="967" spans="1:34" ht="17.399999999999999">
      <c r="A967" s="307"/>
      <c r="B967" s="307"/>
      <c r="C967" s="307"/>
      <c r="D967" s="307"/>
      <c r="E967" s="307"/>
      <c r="F967" s="307"/>
      <c r="G967" s="307"/>
      <c r="H967" s="307"/>
      <c r="I967" s="307"/>
      <c r="J967" s="307"/>
      <c r="K967" s="307"/>
      <c r="L967" s="307"/>
      <c r="M967" s="307"/>
      <c r="N967" s="307"/>
      <c r="O967" s="307"/>
      <c r="P967" s="307"/>
      <c r="Q967" s="307"/>
      <c r="R967" s="307"/>
      <c r="S967" s="307"/>
      <c r="T967" s="307"/>
      <c r="U967" s="307"/>
      <c r="V967" s="307"/>
      <c r="W967" s="307"/>
      <c r="X967" s="307"/>
      <c r="Y967" s="307"/>
      <c r="Z967" s="307"/>
      <c r="AA967" s="307"/>
      <c r="AB967" s="307"/>
      <c r="AC967" s="307"/>
      <c r="AD967" s="307"/>
      <c r="AE967" s="307"/>
      <c r="AF967" s="307"/>
      <c r="AG967" s="307"/>
      <c r="AH967" s="307"/>
    </row>
    <row r="968" spans="1:34" ht="17.399999999999999">
      <c r="A968" s="307"/>
      <c r="B968" s="307"/>
      <c r="C968" s="307"/>
      <c r="D968" s="307"/>
      <c r="E968" s="307"/>
      <c r="F968" s="307"/>
      <c r="G968" s="307"/>
      <c r="H968" s="307"/>
      <c r="I968" s="307"/>
      <c r="J968" s="307"/>
      <c r="K968" s="307"/>
      <c r="L968" s="307"/>
      <c r="M968" s="307"/>
      <c r="N968" s="307"/>
      <c r="O968" s="307"/>
      <c r="P968" s="307"/>
      <c r="Q968" s="307"/>
      <c r="R968" s="307"/>
      <c r="S968" s="307"/>
      <c r="T968" s="307"/>
      <c r="U968" s="307"/>
      <c r="V968" s="307"/>
      <c r="W968" s="307"/>
      <c r="X968" s="307"/>
      <c r="Y968" s="307"/>
      <c r="Z968" s="307"/>
      <c r="AA968" s="307"/>
      <c r="AB968" s="307"/>
      <c r="AC968" s="307"/>
      <c r="AD968" s="307"/>
      <c r="AE968" s="307"/>
      <c r="AF968" s="307"/>
      <c r="AG968" s="307"/>
      <c r="AH968" s="307"/>
    </row>
    <row r="969" spans="1:34" ht="17.399999999999999">
      <c r="A969" s="307"/>
      <c r="B969" s="307"/>
      <c r="C969" s="307"/>
      <c r="D969" s="307"/>
      <c r="E969" s="307"/>
      <c r="F969" s="307"/>
      <c r="G969" s="307"/>
      <c r="H969" s="307"/>
      <c r="I969" s="307"/>
      <c r="J969" s="307"/>
      <c r="K969" s="307"/>
      <c r="L969" s="307"/>
      <c r="M969" s="307"/>
      <c r="N969" s="307"/>
      <c r="O969" s="307"/>
      <c r="P969" s="307"/>
      <c r="Q969" s="307"/>
      <c r="R969" s="307"/>
      <c r="S969" s="307"/>
      <c r="T969" s="307"/>
      <c r="U969" s="307"/>
      <c r="V969" s="307"/>
      <c r="W969" s="307"/>
      <c r="X969" s="307"/>
      <c r="Y969" s="307"/>
      <c r="Z969" s="307"/>
      <c r="AA969" s="307"/>
      <c r="AB969" s="307"/>
      <c r="AC969" s="307"/>
      <c r="AD969" s="307"/>
      <c r="AE969" s="307"/>
      <c r="AF969" s="307"/>
      <c r="AG969" s="307"/>
      <c r="AH969" s="307"/>
    </row>
    <row r="970" spans="1:34" ht="17.399999999999999">
      <c r="A970" s="307"/>
      <c r="B970" s="307"/>
      <c r="C970" s="307"/>
      <c r="D970" s="307"/>
      <c r="E970" s="307"/>
      <c r="F970" s="307"/>
      <c r="G970" s="307"/>
      <c r="H970" s="307"/>
      <c r="I970" s="307"/>
      <c r="J970" s="307"/>
      <c r="K970" s="307"/>
      <c r="L970" s="307"/>
      <c r="M970" s="307"/>
      <c r="N970" s="307"/>
      <c r="O970" s="307"/>
      <c r="P970" s="307"/>
      <c r="Q970" s="307"/>
      <c r="R970" s="307"/>
      <c r="S970" s="307"/>
      <c r="T970" s="307"/>
      <c r="U970" s="307"/>
      <c r="V970" s="307"/>
      <c r="W970" s="307"/>
      <c r="X970" s="307"/>
      <c r="Y970" s="307"/>
      <c r="Z970" s="307"/>
      <c r="AA970" s="307"/>
      <c r="AB970" s="307"/>
      <c r="AC970" s="307"/>
      <c r="AD970" s="307"/>
      <c r="AE970" s="307"/>
      <c r="AF970" s="307"/>
      <c r="AG970" s="307"/>
      <c r="AH970" s="307"/>
    </row>
    <row r="971" spans="1:34" ht="17.399999999999999">
      <c r="A971" s="307"/>
      <c r="B971" s="307"/>
      <c r="C971" s="307"/>
      <c r="D971" s="307"/>
      <c r="E971" s="307"/>
      <c r="F971" s="307"/>
      <c r="G971" s="307"/>
      <c r="H971" s="307"/>
      <c r="I971" s="307"/>
      <c r="J971" s="307"/>
      <c r="K971" s="307"/>
      <c r="L971" s="307"/>
      <c r="M971" s="307"/>
      <c r="N971" s="307"/>
      <c r="O971" s="307"/>
      <c r="P971" s="307"/>
      <c r="Q971" s="307"/>
      <c r="R971" s="307"/>
      <c r="S971" s="307"/>
      <c r="T971" s="307"/>
      <c r="U971" s="307"/>
      <c r="V971" s="307"/>
      <c r="W971" s="307"/>
      <c r="X971" s="307"/>
      <c r="Y971" s="307"/>
      <c r="Z971" s="307"/>
      <c r="AA971" s="307"/>
      <c r="AB971" s="307"/>
      <c r="AC971" s="307"/>
      <c r="AD971" s="307"/>
      <c r="AE971" s="307"/>
      <c r="AF971" s="307"/>
      <c r="AG971" s="307"/>
      <c r="AH971" s="307"/>
    </row>
    <row r="972" spans="1:34" ht="17.399999999999999">
      <c r="A972" s="307"/>
      <c r="B972" s="307"/>
      <c r="C972" s="307"/>
      <c r="D972" s="307"/>
      <c r="E972" s="307"/>
      <c r="F972" s="307"/>
      <c r="G972" s="307"/>
      <c r="H972" s="307"/>
      <c r="I972" s="307"/>
      <c r="J972" s="307"/>
      <c r="K972" s="307"/>
      <c r="L972" s="307"/>
      <c r="M972" s="307"/>
      <c r="N972" s="307"/>
      <c r="O972" s="307"/>
      <c r="P972" s="307"/>
      <c r="Q972" s="307"/>
      <c r="R972" s="307"/>
      <c r="S972" s="307"/>
      <c r="T972" s="307"/>
      <c r="U972" s="307"/>
      <c r="V972" s="307"/>
      <c r="W972" s="307"/>
      <c r="X972" s="307"/>
      <c r="Y972" s="307"/>
      <c r="Z972" s="307"/>
      <c r="AA972" s="307"/>
      <c r="AB972" s="307"/>
      <c r="AC972" s="307"/>
      <c r="AD972" s="307"/>
      <c r="AE972" s="307"/>
      <c r="AF972" s="307"/>
      <c r="AG972" s="307"/>
      <c r="AH972" s="307"/>
    </row>
    <row r="973" spans="1:34" ht="17.399999999999999">
      <c r="A973" s="307"/>
      <c r="B973" s="307"/>
      <c r="C973" s="307"/>
      <c r="D973" s="307"/>
      <c r="E973" s="307"/>
      <c r="F973" s="307"/>
      <c r="G973" s="307"/>
      <c r="H973" s="307"/>
      <c r="I973" s="307"/>
      <c r="J973" s="307"/>
      <c r="K973" s="307"/>
      <c r="L973" s="307"/>
      <c r="M973" s="307"/>
      <c r="N973" s="307"/>
      <c r="O973" s="307"/>
      <c r="P973" s="307"/>
      <c r="Q973" s="307"/>
      <c r="R973" s="307"/>
      <c r="S973" s="307"/>
      <c r="T973" s="307"/>
      <c r="U973" s="307"/>
      <c r="V973" s="307"/>
      <c r="W973" s="307"/>
      <c r="X973" s="307"/>
      <c r="Y973" s="307"/>
      <c r="Z973" s="307"/>
      <c r="AA973" s="307"/>
      <c r="AB973" s="307"/>
      <c r="AC973" s="307"/>
      <c r="AD973" s="307"/>
      <c r="AE973" s="307"/>
      <c r="AF973" s="307"/>
      <c r="AG973" s="307"/>
      <c r="AH973" s="307"/>
    </row>
    <row r="974" spans="1:34" ht="17.399999999999999">
      <c r="A974" s="307"/>
      <c r="B974" s="307"/>
      <c r="C974" s="307"/>
      <c r="D974" s="307"/>
      <c r="E974" s="307"/>
      <c r="F974" s="307"/>
      <c r="G974" s="307"/>
      <c r="H974" s="307"/>
      <c r="I974" s="307"/>
      <c r="J974" s="307"/>
      <c r="K974" s="307"/>
      <c r="L974" s="307"/>
      <c r="M974" s="307"/>
      <c r="N974" s="307"/>
      <c r="O974" s="307"/>
      <c r="P974" s="307"/>
      <c r="Q974" s="307"/>
      <c r="R974" s="307"/>
      <c r="S974" s="307"/>
      <c r="T974" s="307"/>
      <c r="U974" s="307"/>
      <c r="V974" s="307"/>
      <c r="W974" s="307"/>
      <c r="X974" s="307"/>
      <c r="Y974" s="307"/>
      <c r="Z974" s="307"/>
      <c r="AA974" s="307"/>
      <c r="AB974" s="307"/>
      <c r="AC974" s="307"/>
      <c r="AD974" s="307"/>
      <c r="AE974" s="307"/>
      <c r="AF974" s="307"/>
      <c r="AG974" s="307"/>
      <c r="AH974" s="307"/>
    </row>
    <row r="975" spans="1:34" ht="17.399999999999999">
      <c r="A975" s="307"/>
      <c r="B975" s="307"/>
      <c r="C975" s="307"/>
      <c r="D975" s="307"/>
      <c r="E975" s="307"/>
      <c r="F975" s="307"/>
      <c r="G975" s="307"/>
      <c r="H975" s="307"/>
      <c r="I975" s="307"/>
      <c r="J975" s="307"/>
      <c r="K975" s="307"/>
      <c r="L975" s="307"/>
      <c r="M975" s="307"/>
      <c r="N975" s="307"/>
      <c r="O975" s="307"/>
      <c r="P975" s="307"/>
      <c r="Q975" s="307"/>
      <c r="R975" s="307"/>
      <c r="S975" s="307"/>
      <c r="T975" s="307"/>
      <c r="U975" s="307"/>
      <c r="V975" s="307"/>
      <c r="W975" s="307"/>
      <c r="X975" s="307"/>
      <c r="Y975" s="307"/>
      <c r="Z975" s="307"/>
      <c r="AA975" s="307"/>
      <c r="AB975" s="307"/>
      <c r="AC975" s="307"/>
      <c r="AD975" s="307"/>
      <c r="AE975" s="307"/>
      <c r="AF975" s="307"/>
      <c r="AG975" s="307"/>
      <c r="AH975" s="307"/>
    </row>
    <row r="976" spans="1:34" ht="17.399999999999999">
      <c r="A976" s="307"/>
      <c r="B976" s="307"/>
      <c r="C976" s="307"/>
      <c r="D976" s="307"/>
      <c r="E976" s="307"/>
      <c r="F976" s="307"/>
      <c r="G976" s="307"/>
      <c r="H976" s="307"/>
      <c r="I976" s="307"/>
      <c r="J976" s="307"/>
      <c r="K976" s="307"/>
      <c r="L976" s="307"/>
      <c r="M976" s="307"/>
      <c r="N976" s="307"/>
      <c r="O976" s="307"/>
      <c r="P976" s="307"/>
      <c r="Q976" s="307"/>
      <c r="R976" s="307"/>
      <c r="S976" s="307"/>
      <c r="T976" s="307"/>
      <c r="U976" s="307"/>
      <c r="V976" s="307"/>
      <c r="W976" s="307"/>
      <c r="X976" s="307"/>
      <c r="Y976" s="307"/>
      <c r="Z976" s="307"/>
      <c r="AA976" s="307"/>
      <c r="AB976" s="307"/>
      <c r="AC976" s="307"/>
      <c r="AD976" s="307"/>
      <c r="AE976" s="307"/>
      <c r="AF976" s="307"/>
      <c r="AG976" s="307"/>
      <c r="AH976" s="307"/>
    </row>
    <row r="977" spans="1:34" ht="17.399999999999999">
      <c r="A977" s="307"/>
      <c r="B977" s="307"/>
      <c r="C977" s="307"/>
      <c r="D977" s="307"/>
      <c r="E977" s="307"/>
      <c r="F977" s="307"/>
      <c r="G977" s="307"/>
      <c r="H977" s="307"/>
      <c r="I977" s="307"/>
      <c r="J977" s="307"/>
      <c r="K977" s="307"/>
      <c r="L977" s="307"/>
      <c r="M977" s="307"/>
      <c r="N977" s="307"/>
      <c r="O977" s="307"/>
      <c r="P977" s="307"/>
      <c r="Q977" s="307"/>
      <c r="R977" s="307"/>
      <c r="S977" s="307"/>
      <c r="T977" s="307"/>
      <c r="U977" s="307"/>
      <c r="V977" s="307"/>
      <c r="W977" s="307"/>
      <c r="X977" s="307"/>
      <c r="Y977" s="307"/>
      <c r="Z977" s="307"/>
      <c r="AA977" s="307"/>
      <c r="AB977" s="307"/>
      <c r="AC977" s="307"/>
      <c r="AD977" s="307"/>
      <c r="AE977" s="307"/>
      <c r="AF977" s="307"/>
      <c r="AG977" s="307"/>
      <c r="AH977" s="307"/>
    </row>
    <row r="978" spans="1:34" ht="17.399999999999999">
      <c r="A978" s="307"/>
      <c r="B978" s="307"/>
      <c r="C978" s="307"/>
      <c r="D978" s="307"/>
      <c r="E978" s="307"/>
      <c r="F978" s="307"/>
      <c r="G978" s="307"/>
      <c r="H978" s="307"/>
      <c r="I978" s="307"/>
      <c r="J978" s="307"/>
      <c r="K978" s="307"/>
      <c r="L978" s="307"/>
      <c r="M978" s="307"/>
      <c r="N978" s="307"/>
      <c r="O978" s="307"/>
      <c r="P978" s="307"/>
      <c r="Q978" s="307"/>
      <c r="R978" s="307"/>
      <c r="S978" s="307"/>
      <c r="T978" s="307"/>
      <c r="U978" s="307"/>
      <c r="V978" s="307"/>
      <c r="W978" s="307"/>
      <c r="X978" s="307"/>
      <c r="Y978" s="307"/>
      <c r="Z978" s="307"/>
      <c r="AA978" s="307"/>
      <c r="AB978" s="307"/>
      <c r="AC978" s="307"/>
      <c r="AD978" s="307"/>
      <c r="AE978" s="307"/>
      <c r="AF978" s="307"/>
      <c r="AG978" s="307"/>
      <c r="AH978" s="307"/>
    </row>
    <row r="979" spans="1:34" ht="17.399999999999999">
      <c r="A979" s="307"/>
      <c r="B979" s="307"/>
      <c r="C979" s="307"/>
      <c r="D979" s="307"/>
      <c r="E979" s="307"/>
      <c r="F979" s="307"/>
      <c r="G979" s="307"/>
      <c r="H979" s="307"/>
      <c r="I979" s="307"/>
      <c r="J979" s="307"/>
      <c r="K979" s="307"/>
      <c r="L979" s="307"/>
      <c r="M979" s="307"/>
      <c r="N979" s="307"/>
      <c r="O979" s="307"/>
      <c r="P979" s="307"/>
      <c r="Q979" s="307"/>
      <c r="R979" s="307"/>
      <c r="S979" s="307"/>
      <c r="T979" s="307"/>
      <c r="U979" s="307"/>
      <c r="V979" s="307"/>
      <c r="W979" s="307"/>
      <c r="X979" s="307"/>
      <c r="Y979" s="307"/>
      <c r="Z979" s="307"/>
      <c r="AA979" s="307"/>
      <c r="AB979" s="307"/>
      <c r="AC979" s="307"/>
      <c r="AD979" s="307"/>
      <c r="AE979" s="307"/>
      <c r="AF979" s="307"/>
      <c r="AG979" s="307"/>
      <c r="AH979" s="307"/>
    </row>
    <row r="980" spans="1:34" ht="17.399999999999999">
      <c r="A980" s="307"/>
      <c r="B980" s="307"/>
      <c r="C980" s="307"/>
      <c r="D980" s="307"/>
      <c r="E980" s="307"/>
      <c r="F980" s="307"/>
      <c r="G980" s="307"/>
      <c r="H980" s="307"/>
      <c r="I980" s="307"/>
      <c r="J980" s="307"/>
      <c r="K980" s="307"/>
      <c r="L980" s="307"/>
      <c r="M980" s="307"/>
      <c r="N980" s="307"/>
      <c r="O980" s="307"/>
      <c r="P980" s="307"/>
      <c r="Q980" s="307"/>
      <c r="R980" s="307"/>
      <c r="S980" s="307"/>
      <c r="T980" s="307"/>
      <c r="U980" s="307"/>
      <c r="V980" s="307"/>
      <c r="W980" s="307"/>
      <c r="X980" s="307"/>
      <c r="Y980" s="307"/>
      <c r="Z980" s="307"/>
      <c r="AA980" s="307"/>
      <c r="AB980" s="307"/>
      <c r="AC980" s="307"/>
      <c r="AD980" s="307"/>
      <c r="AE980" s="307"/>
      <c r="AF980" s="307"/>
      <c r="AG980" s="307"/>
      <c r="AH980" s="307"/>
    </row>
    <row r="981" spans="1:34" ht="17.399999999999999">
      <c r="A981" s="307"/>
      <c r="B981" s="307"/>
      <c r="C981" s="307"/>
      <c r="D981" s="307"/>
      <c r="E981" s="307"/>
      <c r="F981" s="307"/>
      <c r="G981" s="307"/>
      <c r="H981" s="307"/>
      <c r="I981" s="307"/>
      <c r="J981" s="307"/>
      <c r="K981" s="307"/>
      <c r="L981" s="307"/>
      <c r="M981" s="307"/>
      <c r="N981" s="307"/>
      <c r="O981" s="307"/>
      <c r="P981" s="307"/>
      <c r="Q981" s="307"/>
      <c r="R981" s="307"/>
      <c r="S981" s="307"/>
      <c r="T981" s="307"/>
      <c r="U981" s="307"/>
      <c r="V981" s="307"/>
      <c r="W981" s="307"/>
      <c r="X981" s="307"/>
      <c r="Y981" s="307"/>
      <c r="Z981" s="307"/>
      <c r="AA981" s="307"/>
      <c r="AB981" s="307"/>
      <c r="AC981" s="307"/>
      <c r="AD981" s="307"/>
      <c r="AE981" s="307"/>
      <c r="AF981" s="307"/>
      <c r="AG981" s="307"/>
      <c r="AH981" s="307"/>
    </row>
    <row r="982" spans="1:34" ht="17.399999999999999">
      <c r="A982" s="307"/>
      <c r="B982" s="307"/>
      <c r="C982" s="307"/>
      <c r="D982" s="307"/>
      <c r="E982" s="307"/>
      <c r="F982" s="307"/>
      <c r="G982" s="307"/>
      <c r="H982" s="307"/>
      <c r="I982" s="307"/>
      <c r="J982" s="307"/>
      <c r="K982" s="307"/>
      <c r="L982" s="307"/>
      <c r="M982" s="307"/>
      <c r="N982" s="307"/>
      <c r="O982" s="307"/>
      <c r="P982" s="307"/>
      <c r="Q982" s="307"/>
      <c r="R982" s="307"/>
      <c r="S982" s="307"/>
      <c r="T982" s="307"/>
      <c r="U982" s="307"/>
      <c r="V982" s="307"/>
      <c r="W982" s="307"/>
      <c r="X982" s="307"/>
      <c r="Y982" s="307"/>
      <c r="Z982" s="307"/>
      <c r="AA982" s="307"/>
      <c r="AB982" s="307"/>
      <c r="AC982" s="307"/>
      <c r="AD982" s="307"/>
      <c r="AE982" s="307"/>
      <c r="AF982" s="307"/>
      <c r="AG982" s="307"/>
      <c r="AH982" s="307"/>
    </row>
    <row r="983" spans="1:34" ht="17.399999999999999">
      <c r="A983" s="307"/>
      <c r="B983" s="307"/>
      <c r="C983" s="307"/>
      <c r="D983" s="307"/>
      <c r="E983" s="307"/>
      <c r="F983" s="307"/>
      <c r="G983" s="307"/>
      <c r="H983" s="307"/>
      <c r="I983" s="307"/>
      <c r="J983" s="307"/>
      <c r="K983" s="307"/>
      <c r="L983" s="307"/>
      <c r="M983" s="307"/>
      <c r="N983" s="307"/>
      <c r="O983" s="307"/>
      <c r="P983" s="307"/>
      <c r="Q983" s="307"/>
      <c r="R983" s="307"/>
      <c r="S983" s="307"/>
      <c r="T983" s="307"/>
      <c r="U983" s="307"/>
      <c r="V983" s="307"/>
      <c r="W983" s="307"/>
      <c r="X983" s="307"/>
      <c r="Y983" s="307"/>
      <c r="Z983" s="307"/>
      <c r="AA983" s="307"/>
      <c r="AB983" s="307"/>
      <c r="AC983" s="307"/>
      <c r="AD983" s="307"/>
      <c r="AE983" s="307"/>
      <c r="AF983" s="307"/>
      <c r="AG983" s="307"/>
      <c r="AH983" s="307"/>
    </row>
    <row r="984" spans="1:34" ht="17.399999999999999">
      <c r="A984" s="307"/>
      <c r="B984" s="307"/>
      <c r="C984" s="307"/>
      <c r="D984" s="307"/>
      <c r="E984" s="307"/>
      <c r="F984" s="307"/>
      <c r="G984" s="307"/>
      <c r="H984" s="307"/>
      <c r="I984" s="307"/>
      <c r="J984" s="307"/>
      <c r="K984" s="307"/>
      <c r="L984" s="307"/>
      <c r="M984" s="307"/>
      <c r="N984" s="307"/>
      <c r="O984" s="307"/>
      <c r="P984" s="307"/>
      <c r="Q984" s="307"/>
      <c r="R984" s="307"/>
      <c r="S984" s="307"/>
      <c r="T984" s="307"/>
      <c r="U984" s="307"/>
      <c r="V984" s="307"/>
      <c r="W984" s="307"/>
      <c r="X984" s="307"/>
      <c r="Y984" s="307"/>
      <c r="Z984" s="307"/>
      <c r="AA984" s="307"/>
      <c r="AB984" s="307"/>
      <c r="AC984" s="307"/>
      <c r="AD984" s="307"/>
      <c r="AE984" s="307"/>
      <c r="AF984" s="307"/>
      <c r="AG984" s="307"/>
      <c r="AH984" s="307"/>
    </row>
    <row r="985" spans="1:34" ht="17.399999999999999">
      <c r="A985" s="307"/>
      <c r="B985" s="307"/>
      <c r="C985" s="307"/>
      <c r="D985" s="307"/>
      <c r="E985" s="307"/>
      <c r="F985" s="307"/>
      <c r="G985" s="307"/>
      <c r="H985" s="307"/>
      <c r="I985" s="307"/>
      <c r="J985" s="307"/>
      <c r="K985" s="307"/>
      <c r="L985" s="307"/>
      <c r="M985" s="307"/>
      <c r="N985" s="307"/>
      <c r="O985" s="307"/>
      <c r="P985" s="307"/>
      <c r="Q985" s="307"/>
      <c r="R985" s="307"/>
      <c r="S985" s="307"/>
      <c r="T985" s="307"/>
      <c r="U985" s="307"/>
      <c r="V985" s="307"/>
      <c r="W985" s="307"/>
      <c r="X985" s="307"/>
      <c r="Y985" s="307"/>
      <c r="Z985" s="307"/>
      <c r="AA985" s="307"/>
      <c r="AB985" s="307"/>
      <c r="AC985" s="307"/>
      <c r="AD985" s="307"/>
      <c r="AE985" s="307"/>
      <c r="AF985" s="307"/>
      <c r="AG985" s="307"/>
      <c r="AH985" s="307"/>
    </row>
    <row r="986" spans="1:34" ht="17.399999999999999">
      <c r="A986" s="307"/>
      <c r="B986" s="307"/>
      <c r="C986" s="307"/>
      <c r="D986" s="307"/>
      <c r="E986" s="307"/>
      <c r="F986" s="307"/>
      <c r="G986" s="307"/>
      <c r="H986" s="307"/>
      <c r="I986" s="307"/>
      <c r="J986" s="307"/>
      <c r="K986" s="307"/>
      <c r="L986" s="307"/>
      <c r="M986" s="307"/>
      <c r="N986" s="307"/>
      <c r="O986" s="307"/>
      <c r="P986" s="307"/>
      <c r="Q986" s="307"/>
      <c r="R986" s="307"/>
      <c r="S986" s="307"/>
      <c r="T986" s="307"/>
      <c r="U986" s="307"/>
      <c r="V986" s="307"/>
      <c r="W986" s="307"/>
      <c r="X986" s="307"/>
      <c r="Y986" s="307"/>
      <c r="Z986" s="307"/>
      <c r="AA986" s="307"/>
      <c r="AB986" s="307"/>
      <c r="AC986" s="307"/>
      <c r="AD986" s="307"/>
      <c r="AE986" s="307"/>
      <c r="AF986" s="307"/>
      <c r="AG986" s="307"/>
      <c r="AH986" s="307"/>
    </row>
    <row r="987" spans="1:34" ht="17.399999999999999">
      <c r="A987" s="307"/>
      <c r="B987" s="307"/>
      <c r="C987" s="307"/>
      <c r="D987" s="307"/>
      <c r="E987" s="307"/>
      <c r="F987" s="307"/>
      <c r="G987" s="307"/>
      <c r="H987" s="307"/>
      <c r="I987" s="307"/>
      <c r="J987" s="307"/>
      <c r="K987" s="307"/>
      <c r="L987" s="307"/>
      <c r="M987" s="307"/>
      <c r="N987" s="307"/>
      <c r="O987" s="307"/>
      <c r="P987" s="307"/>
      <c r="Q987" s="307"/>
      <c r="R987" s="307"/>
      <c r="S987" s="307"/>
      <c r="T987" s="307"/>
      <c r="U987" s="307"/>
      <c r="V987" s="307"/>
      <c r="W987" s="307"/>
      <c r="X987" s="307"/>
      <c r="Y987" s="307"/>
      <c r="Z987" s="307"/>
      <c r="AA987" s="307"/>
      <c r="AB987" s="307"/>
      <c r="AC987" s="307"/>
      <c r="AD987" s="307"/>
      <c r="AE987" s="307"/>
      <c r="AF987" s="307"/>
      <c r="AG987" s="307"/>
      <c r="AH987" s="307"/>
    </row>
    <row r="988" spans="1:34" ht="17.399999999999999">
      <c r="A988" s="307"/>
      <c r="B988" s="307"/>
      <c r="C988" s="307"/>
      <c r="D988" s="307"/>
      <c r="E988" s="307"/>
      <c r="F988" s="307"/>
      <c r="G988" s="307"/>
      <c r="H988" s="307"/>
      <c r="I988" s="307"/>
      <c r="J988" s="307"/>
      <c r="K988" s="307"/>
      <c r="L988" s="307"/>
      <c r="M988" s="307"/>
      <c r="N988" s="307"/>
      <c r="O988" s="307"/>
      <c r="P988" s="307"/>
      <c r="Q988" s="307"/>
      <c r="R988" s="307"/>
      <c r="S988" s="307"/>
      <c r="T988" s="307"/>
      <c r="U988" s="307"/>
      <c r="V988" s="307"/>
      <c r="W988" s="307"/>
      <c r="X988" s="307"/>
      <c r="Y988" s="307"/>
      <c r="Z988" s="307"/>
      <c r="AA988" s="307"/>
      <c r="AB988" s="307"/>
      <c r="AC988" s="307"/>
      <c r="AD988" s="307"/>
      <c r="AE988" s="307"/>
      <c r="AF988" s="307"/>
      <c r="AG988" s="307"/>
      <c r="AH988" s="307"/>
    </row>
    <row r="989" spans="1:34" ht="17.399999999999999">
      <c r="A989" s="307"/>
      <c r="B989" s="307"/>
      <c r="C989" s="307"/>
      <c r="D989" s="307"/>
      <c r="E989" s="307"/>
      <c r="F989" s="307"/>
      <c r="G989" s="307"/>
      <c r="H989" s="307"/>
      <c r="I989" s="307"/>
      <c r="J989" s="307"/>
      <c r="K989" s="307"/>
      <c r="L989" s="307"/>
      <c r="M989" s="307"/>
      <c r="N989" s="307"/>
      <c r="O989" s="307"/>
      <c r="P989" s="307"/>
      <c r="Q989" s="307"/>
      <c r="R989" s="307"/>
      <c r="S989" s="307"/>
      <c r="T989" s="307"/>
      <c r="U989" s="307"/>
      <c r="V989" s="307"/>
      <c r="W989" s="307"/>
      <c r="X989" s="307"/>
      <c r="Y989" s="307"/>
      <c r="Z989" s="307"/>
      <c r="AA989" s="307"/>
      <c r="AB989" s="307"/>
      <c r="AC989" s="307"/>
      <c r="AD989" s="307"/>
      <c r="AE989" s="307"/>
      <c r="AF989" s="307"/>
      <c r="AG989" s="307"/>
      <c r="AH989" s="307"/>
    </row>
    <row r="990" spans="1:34" ht="17.399999999999999">
      <c r="A990" s="307"/>
      <c r="B990" s="307"/>
      <c r="C990" s="307"/>
      <c r="D990" s="307"/>
      <c r="E990" s="307"/>
      <c r="F990" s="307"/>
      <c r="G990" s="307"/>
      <c r="H990" s="307"/>
      <c r="I990" s="307"/>
      <c r="J990" s="307"/>
      <c r="K990" s="307"/>
      <c r="L990" s="307"/>
      <c r="M990" s="307"/>
      <c r="N990" s="307"/>
      <c r="O990" s="307"/>
      <c r="P990" s="307"/>
      <c r="Q990" s="307"/>
      <c r="R990" s="307"/>
      <c r="S990" s="307"/>
      <c r="T990" s="307"/>
      <c r="U990" s="307"/>
      <c r="V990" s="307"/>
      <c r="W990" s="307"/>
      <c r="X990" s="307"/>
      <c r="Y990" s="307"/>
      <c r="Z990" s="307"/>
      <c r="AA990" s="307"/>
      <c r="AB990" s="307"/>
      <c r="AC990" s="307"/>
      <c r="AD990" s="307"/>
      <c r="AE990" s="307"/>
      <c r="AF990" s="307"/>
      <c r="AG990" s="307"/>
      <c r="AH990" s="307"/>
    </row>
    <row r="991" spans="1:34" ht="17.399999999999999">
      <c r="A991" s="307"/>
      <c r="B991" s="307"/>
      <c r="C991" s="307"/>
      <c r="D991" s="307"/>
      <c r="E991" s="307"/>
      <c r="F991" s="307"/>
      <c r="G991" s="307"/>
      <c r="H991" s="307"/>
      <c r="I991" s="307"/>
      <c r="J991" s="307"/>
      <c r="K991" s="307"/>
      <c r="L991" s="307"/>
      <c r="M991" s="307"/>
      <c r="N991" s="307"/>
      <c r="O991" s="307"/>
      <c r="P991" s="307"/>
      <c r="Q991" s="307"/>
      <c r="R991" s="307"/>
      <c r="S991" s="307"/>
      <c r="T991" s="307"/>
      <c r="U991" s="307"/>
      <c r="V991" s="307"/>
      <c r="W991" s="307"/>
      <c r="X991" s="307"/>
      <c r="Y991" s="307"/>
      <c r="Z991" s="307"/>
      <c r="AA991" s="307"/>
      <c r="AB991" s="307"/>
      <c r="AC991" s="307"/>
      <c r="AD991" s="307"/>
      <c r="AE991" s="307"/>
      <c r="AF991" s="307"/>
      <c r="AG991" s="307"/>
      <c r="AH991" s="307"/>
    </row>
    <row r="992" spans="1:34" ht="17.399999999999999">
      <c r="A992" s="307"/>
      <c r="B992" s="307"/>
      <c r="C992" s="307"/>
      <c r="D992" s="307"/>
      <c r="E992" s="307"/>
      <c r="F992" s="307"/>
      <c r="G992" s="307"/>
      <c r="H992" s="307"/>
      <c r="I992" s="307"/>
      <c r="J992" s="307"/>
      <c r="K992" s="307"/>
      <c r="L992" s="307"/>
      <c r="M992" s="307"/>
      <c r="N992" s="307"/>
      <c r="O992" s="307"/>
      <c r="P992" s="307"/>
      <c r="Q992" s="307"/>
      <c r="R992" s="307"/>
      <c r="S992" s="307"/>
      <c r="T992" s="307"/>
      <c r="U992" s="307"/>
      <c r="V992" s="307"/>
      <c r="W992" s="307"/>
      <c r="X992" s="307"/>
      <c r="Y992" s="307"/>
      <c r="Z992" s="307"/>
      <c r="AA992" s="307"/>
      <c r="AB992" s="307"/>
      <c r="AC992" s="307"/>
      <c r="AD992" s="307"/>
      <c r="AE992" s="307"/>
      <c r="AF992" s="307"/>
      <c r="AG992" s="307"/>
      <c r="AH992" s="307"/>
    </row>
    <row r="993" spans="1:34" ht="17.399999999999999">
      <c r="A993" s="307"/>
      <c r="B993" s="307"/>
      <c r="C993" s="307"/>
      <c r="D993" s="307"/>
      <c r="E993" s="307"/>
      <c r="F993" s="307"/>
      <c r="G993" s="307"/>
      <c r="H993" s="307"/>
      <c r="I993" s="307"/>
      <c r="J993" s="307"/>
      <c r="K993" s="307"/>
      <c r="L993" s="307"/>
      <c r="M993" s="307"/>
      <c r="N993" s="307"/>
      <c r="O993" s="307"/>
      <c r="P993" s="307"/>
      <c r="Q993" s="307"/>
      <c r="R993" s="307"/>
      <c r="S993" s="307"/>
      <c r="T993" s="307"/>
      <c r="U993" s="307"/>
      <c r="V993" s="307"/>
      <c r="W993" s="307"/>
      <c r="X993" s="307"/>
      <c r="Y993" s="307"/>
      <c r="Z993" s="307"/>
      <c r="AA993" s="307"/>
      <c r="AB993" s="307"/>
      <c r="AC993" s="307"/>
      <c r="AD993" s="307"/>
      <c r="AE993" s="307"/>
      <c r="AF993" s="307"/>
      <c r="AG993" s="307"/>
      <c r="AH993" s="307"/>
    </row>
    <row r="994" spans="1:34" ht="17.399999999999999">
      <c r="A994" s="307"/>
      <c r="B994" s="307"/>
      <c r="C994" s="307"/>
      <c r="D994" s="307"/>
      <c r="E994" s="307"/>
      <c r="F994" s="307"/>
      <c r="G994" s="307"/>
      <c r="H994" s="307"/>
      <c r="I994" s="307"/>
      <c r="J994" s="307"/>
      <c r="K994" s="307"/>
      <c r="L994" s="307"/>
      <c r="M994" s="307"/>
      <c r="N994" s="307"/>
      <c r="O994" s="307"/>
      <c r="P994" s="307"/>
      <c r="Q994" s="307"/>
      <c r="R994" s="307"/>
      <c r="S994" s="307"/>
      <c r="T994" s="307"/>
      <c r="U994" s="307"/>
      <c r="V994" s="307"/>
      <c r="W994" s="307"/>
      <c r="X994" s="307"/>
      <c r="Y994" s="307"/>
      <c r="Z994" s="307"/>
      <c r="AA994" s="307"/>
      <c r="AB994" s="307"/>
      <c r="AC994" s="307"/>
      <c r="AD994" s="307"/>
      <c r="AE994" s="307"/>
      <c r="AF994" s="307"/>
      <c r="AG994" s="307"/>
      <c r="AH994" s="307"/>
    </row>
    <row r="995" spans="1:34" ht="17.399999999999999">
      <c r="A995" s="307"/>
      <c r="B995" s="307"/>
      <c r="C995" s="307"/>
      <c r="D995" s="307"/>
      <c r="E995" s="307"/>
      <c r="F995" s="307"/>
      <c r="G995" s="307"/>
      <c r="H995" s="307"/>
      <c r="I995" s="307"/>
      <c r="J995" s="307"/>
      <c r="K995" s="307"/>
      <c r="L995" s="307"/>
      <c r="M995" s="307"/>
      <c r="N995" s="307"/>
      <c r="O995" s="307"/>
      <c r="P995" s="307"/>
      <c r="Q995" s="307"/>
      <c r="R995" s="307"/>
      <c r="S995" s="307"/>
      <c r="T995" s="307"/>
      <c r="U995" s="307"/>
      <c r="V995" s="307"/>
      <c r="W995" s="307"/>
      <c r="X995" s="307"/>
      <c r="Y995" s="307"/>
      <c r="Z995" s="307"/>
      <c r="AA995" s="307"/>
      <c r="AB995" s="307"/>
      <c r="AC995" s="307"/>
      <c r="AD995" s="307"/>
      <c r="AE995" s="307"/>
      <c r="AF995" s="307"/>
      <c r="AG995" s="307"/>
      <c r="AH995" s="307"/>
    </row>
    <row r="996" spans="1:34" ht="17.399999999999999">
      <c r="A996" s="307"/>
      <c r="B996" s="307"/>
      <c r="C996" s="307"/>
      <c r="D996" s="307"/>
      <c r="E996" s="307"/>
      <c r="F996" s="307"/>
      <c r="G996" s="307"/>
      <c r="H996" s="307"/>
      <c r="I996" s="307"/>
      <c r="J996" s="307"/>
      <c r="K996" s="307"/>
      <c r="L996" s="307"/>
      <c r="M996" s="307"/>
      <c r="N996" s="307"/>
      <c r="O996" s="307"/>
      <c r="P996" s="307"/>
      <c r="Q996" s="307"/>
      <c r="R996" s="307"/>
      <c r="S996" s="307"/>
      <c r="T996" s="307"/>
      <c r="U996" s="307"/>
      <c r="V996" s="307"/>
      <c r="W996" s="307"/>
      <c r="X996" s="307"/>
      <c r="Y996" s="307"/>
      <c r="Z996" s="307"/>
      <c r="AA996" s="307"/>
      <c r="AB996" s="307"/>
      <c r="AC996" s="307"/>
      <c r="AD996" s="307"/>
      <c r="AE996" s="307"/>
      <c r="AF996" s="307"/>
      <c r="AG996" s="307"/>
      <c r="AH996" s="307"/>
    </row>
    <row r="997" spans="1:34" ht="17.399999999999999">
      <c r="A997" s="307"/>
      <c r="B997" s="307"/>
      <c r="C997" s="307"/>
      <c r="D997" s="307"/>
      <c r="E997" s="307"/>
      <c r="F997" s="307"/>
      <c r="G997" s="307"/>
      <c r="H997" s="307"/>
      <c r="I997" s="307"/>
      <c r="J997" s="307"/>
      <c r="K997" s="307"/>
      <c r="L997" s="307"/>
      <c r="M997" s="307"/>
      <c r="N997" s="307"/>
      <c r="O997" s="307"/>
      <c r="P997" s="307"/>
      <c r="Q997" s="307"/>
      <c r="R997" s="307"/>
      <c r="S997" s="307"/>
      <c r="T997" s="307"/>
      <c r="U997" s="307"/>
      <c r="V997" s="307"/>
      <c r="W997" s="307"/>
      <c r="X997" s="307"/>
      <c r="Y997" s="307"/>
      <c r="Z997" s="307"/>
      <c r="AA997" s="307"/>
      <c r="AB997" s="307"/>
      <c r="AC997" s="307"/>
      <c r="AD997" s="307"/>
      <c r="AE997" s="307"/>
      <c r="AF997" s="307"/>
      <c r="AG997" s="307"/>
      <c r="AH997" s="307"/>
    </row>
    <row r="998" spans="1:34" ht="17.399999999999999">
      <c r="A998" s="307"/>
      <c r="B998" s="307"/>
      <c r="C998" s="307"/>
      <c r="D998" s="307"/>
      <c r="E998" s="307"/>
      <c r="F998" s="307"/>
      <c r="G998" s="307"/>
      <c r="H998" s="307"/>
      <c r="I998" s="307"/>
      <c r="J998" s="307"/>
      <c r="K998" s="307"/>
      <c r="L998" s="307"/>
      <c r="M998" s="307"/>
      <c r="N998" s="307"/>
      <c r="O998" s="307"/>
      <c r="P998" s="307"/>
      <c r="Q998" s="307"/>
      <c r="R998" s="307"/>
      <c r="S998" s="307"/>
      <c r="T998" s="307"/>
      <c r="U998" s="307"/>
      <c r="V998" s="307"/>
      <c r="W998" s="307"/>
      <c r="X998" s="307"/>
      <c r="Y998" s="307"/>
      <c r="Z998" s="307"/>
      <c r="AA998" s="307"/>
      <c r="AB998" s="307"/>
      <c r="AC998" s="307"/>
      <c r="AD998" s="307"/>
      <c r="AE998" s="307"/>
      <c r="AF998" s="307"/>
      <c r="AG998" s="307"/>
      <c r="AH998" s="307"/>
    </row>
    <row r="999" spans="1:34" ht="17.399999999999999">
      <c r="A999" s="307"/>
      <c r="B999" s="307"/>
      <c r="C999" s="307"/>
      <c r="D999" s="307"/>
      <c r="E999" s="307"/>
      <c r="F999" s="307"/>
      <c r="G999" s="307"/>
      <c r="H999" s="307"/>
      <c r="I999" s="307"/>
      <c r="J999" s="307"/>
      <c r="K999" s="307"/>
      <c r="L999" s="307"/>
      <c r="M999" s="307"/>
      <c r="N999" s="307"/>
      <c r="O999" s="307"/>
      <c r="P999" s="307"/>
      <c r="Q999" s="307"/>
      <c r="R999" s="307"/>
      <c r="S999" s="307"/>
      <c r="T999" s="307"/>
      <c r="U999" s="307"/>
      <c r="V999" s="307"/>
      <c r="W999" s="307"/>
      <c r="X999" s="307"/>
      <c r="Y999" s="307"/>
      <c r="Z999" s="307"/>
      <c r="AA999" s="307"/>
      <c r="AB999" s="307"/>
      <c r="AC999" s="307"/>
      <c r="AD999" s="307"/>
      <c r="AE999" s="307"/>
      <c r="AF999" s="307"/>
      <c r="AG999" s="307"/>
      <c r="AH999" s="307"/>
    </row>
    <row r="1000" spans="1:34" ht="17.399999999999999">
      <c r="A1000" s="307"/>
      <c r="B1000" s="307"/>
      <c r="C1000" s="307"/>
      <c r="D1000" s="307"/>
      <c r="E1000" s="307"/>
      <c r="F1000" s="307"/>
      <c r="G1000" s="307"/>
      <c r="H1000" s="307"/>
      <c r="I1000" s="307"/>
      <c r="J1000" s="307"/>
      <c r="K1000" s="307"/>
      <c r="L1000" s="307"/>
      <c r="M1000" s="307"/>
      <c r="N1000" s="307"/>
      <c r="O1000" s="307"/>
      <c r="P1000" s="307"/>
      <c r="Q1000" s="307"/>
      <c r="R1000" s="307"/>
      <c r="S1000" s="307"/>
      <c r="T1000" s="307"/>
      <c r="U1000" s="307"/>
      <c r="V1000" s="307"/>
      <c r="W1000" s="307"/>
      <c r="X1000" s="307"/>
      <c r="Y1000" s="307"/>
      <c r="Z1000" s="307"/>
      <c r="AA1000" s="307"/>
      <c r="AB1000" s="307"/>
      <c r="AC1000" s="307"/>
      <c r="AD1000" s="307"/>
      <c r="AE1000" s="307"/>
      <c r="AF1000" s="307"/>
      <c r="AG1000" s="307"/>
      <c r="AH1000" s="307"/>
    </row>
    <row r="1001" spans="1:34" ht="17.399999999999999">
      <c r="A1001" s="307"/>
      <c r="B1001" s="307"/>
      <c r="C1001" s="307"/>
      <c r="D1001" s="307"/>
      <c r="E1001" s="307"/>
      <c r="F1001" s="307"/>
      <c r="G1001" s="307"/>
      <c r="H1001" s="307"/>
      <c r="I1001" s="307"/>
      <c r="J1001" s="307"/>
      <c r="K1001" s="307"/>
      <c r="L1001" s="307"/>
      <c r="M1001" s="307"/>
      <c r="N1001" s="307"/>
      <c r="O1001" s="307"/>
      <c r="P1001" s="307"/>
      <c r="Q1001" s="307"/>
      <c r="R1001" s="307"/>
      <c r="S1001" s="307"/>
      <c r="T1001" s="307"/>
      <c r="U1001" s="307"/>
      <c r="V1001" s="307"/>
      <c r="W1001" s="307"/>
      <c r="X1001" s="307"/>
      <c r="Y1001" s="307"/>
      <c r="Z1001" s="307"/>
      <c r="AA1001" s="307"/>
      <c r="AB1001" s="307"/>
      <c r="AC1001" s="307"/>
      <c r="AD1001" s="307"/>
      <c r="AE1001" s="307"/>
      <c r="AF1001" s="307"/>
      <c r="AG1001" s="307"/>
      <c r="AH1001" s="307"/>
    </row>
    <row r="1002" spans="1:34" ht="17.399999999999999">
      <c r="A1002" s="307"/>
      <c r="B1002" s="307"/>
      <c r="C1002" s="307"/>
      <c r="D1002" s="307"/>
      <c r="E1002" s="307"/>
      <c r="F1002" s="307"/>
      <c r="G1002" s="307"/>
      <c r="H1002" s="307"/>
      <c r="I1002" s="307"/>
      <c r="J1002" s="307"/>
      <c r="K1002" s="307"/>
      <c r="L1002" s="307"/>
      <c r="M1002" s="307"/>
      <c r="N1002" s="307"/>
      <c r="O1002" s="307"/>
      <c r="P1002" s="307"/>
      <c r="Q1002" s="307"/>
      <c r="R1002" s="307"/>
      <c r="S1002" s="307"/>
      <c r="T1002" s="307"/>
      <c r="U1002" s="307"/>
      <c r="V1002" s="307"/>
      <c r="W1002" s="307"/>
      <c r="X1002" s="307"/>
      <c r="Y1002" s="307"/>
      <c r="Z1002" s="307"/>
      <c r="AA1002" s="307"/>
      <c r="AB1002" s="307"/>
      <c r="AC1002" s="307"/>
      <c r="AD1002" s="307"/>
      <c r="AE1002" s="307"/>
      <c r="AF1002" s="307"/>
      <c r="AG1002" s="307"/>
      <c r="AH1002" s="307"/>
    </row>
  </sheetData>
  <mergeCells count="4">
    <mergeCell ref="E4:N4"/>
    <mergeCell ref="E38:N38"/>
    <mergeCell ref="B41:B51"/>
    <mergeCell ref="B54:B64"/>
  </mergeCells>
  <conditionalFormatting sqref="B35:C35 C51:D51 C64:D64">
    <cfRule type="expression" dxfId="15" priority="1">
      <formula>"Yes" =INDIRECT("Appendix!H11")</formula>
    </cfRule>
  </conditionalFormatting>
  <conditionalFormatting sqref="C34">
    <cfRule type="expression" dxfId="14" priority="2">
      <formula>"Yes" =INDIRECT("Appendix!H11")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A8436"/>
    <outlinePr summaryBelow="0" summaryRight="0"/>
  </sheetPr>
  <dimension ref="A2:AC76"/>
  <sheetViews>
    <sheetView showGridLines="0" zoomScale="80" zoomScaleNormal="80" workbookViewId="0">
      <selection activeCell="B56" sqref="B56:B65"/>
    </sheetView>
  </sheetViews>
  <sheetFormatPr defaultColWidth="14.44140625" defaultRowHeight="19.95" customHeight="1"/>
  <cols>
    <col min="1" max="1" width="7.33203125" style="311" customWidth="1"/>
    <col min="2" max="2" width="14.44140625" style="311"/>
    <col min="3" max="3" width="33.44140625" style="311" customWidth="1"/>
    <col min="4" max="5" width="14.44140625" style="311"/>
    <col min="6" max="7" width="18.77734375" style="311" customWidth="1"/>
    <col min="8" max="8" width="9" style="311" customWidth="1"/>
    <col min="9" max="9" width="18.77734375" style="311" customWidth="1"/>
    <col min="10" max="10" width="7.77734375" style="311" customWidth="1"/>
    <col min="11" max="12" width="18.77734375" style="311" customWidth="1"/>
    <col min="13" max="13" width="9.44140625" style="311" customWidth="1"/>
    <col min="14" max="15" width="18.77734375" style="311" customWidth="1"/>
    <col min="16" max="16384" width="14.44140625" style="311"/>
  </cols>
  <sheetData>
    <row r="2" spans="1:29" ht="19.95" customHeight="1">
      <c r="B2" s="312" t="str">
        <f>"P/E"</f>
        <v>P/E</v>
      </c>
      <c r="D2" s="313"/>
      <c r="E2" s="314"/>
      <c r="F2" s="313"/>
      <c r="G2" s="314"/>
      <c r="H2" s="315"/>
    </row>
    <row r="3" spans="1:29" ht="19.95" customHeight="1">
      <c r="F3" s="313"/>
      <c r="G3" s="316" t="str">
        <f>"Upside"</f>
        <v>Upside</v>
      </c>
    </row>
    <row r="4" spans="1:29" ht="19.95" customHeight="1">
      <c r="B4" s="317"/>
      <c r="F4" s="313"/>
      <c r="G4" s="318">
        <f>E10</f>
        <v>-6.9160161999454184E-2</v>
      </c>
    </row>
    <row r="5" spans="1:29" ht="19.95" customHeight="1">
      <c r="B5" s="319"/>
      <c r="F5" s="313"/>
      <c r="G5" s="313"/>
    </row>
    <row r="6" spans="1:29" ht="19.95" customHeight="1" thickBot="1">
      <c r="B6" s="320"/>
      <c r="C6" s="320"/>
      <c r="D6" s="321" t="str">
        <f>"Range"</f>
        <v>Range</v>
      </c>
      <c r="E6" s="321" t="str">
        <f>"Selected"</f>
        <v>Selected</v>
      </c>
      <c r="G6" s="322" t="s">
        <v>28</v>
      </c>
    </row>
    <row r="7" spans="1:29" ht="19.95" customHeight="1">
      <c r="B7" s="315" t="str">
        <f>"Trailing P/E multiples"</f>
        <v>Trailing P/E multiples</v>
      </c>
      <c r="D7" s="313" t="str">
        <f>CONCATENATE(K17," - ",N17)</f>
        <v>22.62x - 24.4x</v>
      </c>
      <c r="E7" s="323" t="str">
        <f>F29</f>
        <v>23.15x</v>
      </c>
      <c r="G7" s="322" t="str">
        <f>CONCATENATE(TEXT(ROUND(Master!$F$4,2),"#,##0.00;(#,##0.00)")," ",Master!$G$4)</f>
        <v>379.16 USD</v>
      </c>
    </row>
    <row r="8" spans="1:29" ht="19.95" customHeight="1">
      <c r="B8" s="315" t="str">
        <f>"Forward P/E multiples"</f>
        <v>Forward P/E multiples</v>
      </c>
      <c r="D8" s="313" t="str">
        <f>CONCATENATE(L17," - ",O17)</f>
        <v>18.02x - 22.06x</v>
      </c>
      <c r="E8" s="324" t="str">
        <f>G29</f>
        <v>21.2x</v>
      </c>
      <c r="G8" s="313"/>
    </row>
    <row r="9" spans="1:29" ht="19.95" customHeight="1">
      <c r="B9" s="325" t="str">
        <f>"Fair Price"</f>
        <v>Fair Price</v>
      </c>
      <c r="D9" s="313" t="str">
        <f>TEXT(IF(MIN(K23:L23)&lt;=0,MAX(K23:L23),MIN(K23:L23)),"#,##0.00;(#,##0.00)")&amp;" - "&amp;TEXT(MAX(N23:O23),"#,##0.00;(#,##0.00)")</f>
        <v>311.76 - 381.66</v>
      </c>
      <c r="E9" s="326">
        <f>AVERAGEIF(F35:G35,"&lt;&gt;0")</f>
        <v>352.93723297628696</v>
      </c>
      <c r="G9" s="322" t="s">
        <v>30</v>
      </c>
    </row>
    <row r="10" spans="1:29" ht="19.95" customHeight="1">
      <c r="B10" s="325" t="str">
        <f>"Upside"</f>
        <v>Upside</v>
      </c>
      <c r="D10" s="313" t="str">
        <f>CONCATENATE(ROUND((_xlfn.MINIFS(K23:L23,K23:L23,"&gt;0")/Master!F4-1)*100,1),"% - ",ROUND((_xlfn.MAXIFS(N23:O23,N23:O23,"&gt;0")/Master!F4-1)*100,1),"%")</f>
        <v>-17.8% - 0.7%</v>
      </c>
      <c r="E10" s="327">
        <f>E9/Master!F4-1</f>
        <v>-6.9160161999454184E-2</v>
      </c>
      <c r="G10" s="322" t="str">
        <f>CONCATENATE(TEXT(ROUND(E9,2),"#,##0.00;(#,##0.00)")," ",Master!$G$4)</f>
        <v>352.94 USD</v>
      </c>
      <c r="K10" s="328"/>
    </row>
    <row r="11" spans="1:29" ht="19.95" customHeight="1">
      <c r="F11" s="313"/>
      <c r="G11" s="313"/>
    </row>
    <row r="12" spans="1:29" ht="19.95" customHeight="1">
      <c r="A12" s="319"/>
      <c r="B12" s="319"/>
      <c r="C12" s="319"/>
      <c r="D12" s="319"/>
      <c r="E12" s="319"/>
      <c r="F12" s="319"/>
      <c r="G12" s="319"/>
      <c r="H12" s="329"/>
      <c r="I12" s="330" t="str">
        <f>"Sensitivity Analysis"</f>
        <v>Sensitivity Analysis</v>
      </c>
      <c r="J12" s="331"/>
      <c r="K12" s="331"/>
      <c r="L12" s="331"/>
      <c r="M12" s="331"/>
      <c r="N12" s="331"/>
      <c r="O12" s="332"/>
      <c r="Q12" s="319"/>
      <c r="R12" s="319"/>
      <c r="S12" s="319"/>
      <c r="T12" s="319"/>
      <c r="U12" s="319"/>
      <c r="V12" s="319"/>
      <c r="W12" s="319"/>
      <c r="X12" s="319"/>
      <c r="Y12" s="319"/>
      <c r="Z12" s="319"/>
      <c r="AA12" s="319"/>
      <c r="AB12" s="319"/>
      <c r="AC12" s="319"/>
    </row>
    <row r="13" spans="1:29" ht="19.95" customHeight="1">
      <c r="A13" s="319"/>
      <c r="B13" s="333" t="str">
        <f>CONCATENATE("(",Master!E11," in millions except Fair price)")</f>
        <v>(USD in millions except Fair price)</v>
      </c>
      <c r="G13" s="319"/>
      <c r="H13" s="334"/>
      <c r="I13" s="335"/>
      <c r="O13" s="336"/>
      <c r="Q13" s="319"/>
      <c r="R13" s="319"/>
      <c r="S13" s="319"/>
      <c r="T13" s="319"/>
      <c r="U13" s="319"/>
      <c r="V13" s="319"/>
      <c r="W13" s="319"/>
      <c r="X13" s="319"/>
      <c r="Y13" s="319"/>
      <c r="Z13" s="319"/>
      <c r="AA13" s="319"/>
      <c r="AB13" s="319"/>
      <c r="AC13" s="319"/>
    </row>
    <row r="14" spans="1:29" ht="19.95" customHeight="1">
      <c r="A14" s="319"/>
      <c r="C14" s="319"/>
      <c r="D14" s="319"/>
      <c r="E14" s="319"/>
      <c r="F14" s="319"/>
      <c r="G14" s="319"/>
      <c r="H14" s="334"/>
      <c r="I14" s="335"/>
      <c r="J14" s="337"/>
      <c r="K14" s="429" t="str">
        <f>"Low"</f>
        <v>Low</v>
      </c>
      <c r="L14" s="430"/>
      <c r="N14" s="429" t="str">
        <f>"High"</f>
        <v>High</v>
      </c>
      <c r="O14" s="431"/>
      <c r="Q14" s="319"/>
      <c r="R14" s="319"/>
      <c r="S14" s="319"/>
      <c r="T14" s="319"/>
      <c r="U14" s="319"/>
      <c r="V14" s="319"/>
      <c r="W14" s="319"/>
      <c r="X14" s="319"/>
      <c r="Y14" s="319"/>
      <c r="Z14" s="319"/>
      <c r="AA14" s="319"/>
      <c r="AB14" s="319"/>
      <c r="AC14" s="319"/>
    </row>
    <row r="15" spans="1:29" ht="19.95" customHeight="1" thickBot="1">
      <c r="A15" s="319"/>
      <c r="B15" s="338" t="str">
        <f>"Ticker"</f>
        <v>Ticker</v>
      </c>
      <c r="C15" s="338" t="str">
        <f>"Company Name"</f>
        <v>Company Name</v>
      </c>
      <c r="D15" s="338"/>
      <c r="E15" s="339" t="str">
        <f>CONCATENATE("Market Cap (", Master!G4, " mil)")</f>
        <v>Market Cap (USD mil)</v>
      </c>
      <c r="F15" s="339" t="str">
        <f>"Trailing P/E"</f>
        <v>Trailing P/E</v>
      </c>
      <c r="G15" s="339" t="str">
        <f>"Forward P/E"</f>
        <v>Forward P/E</v>
      </c>
      <c r="H15" s="334"/>
      <c r="I15" s="335"/>
      <c r="J15" s="313"/>
      <c r="K15" s="340" t="str">
        <f>"Trailing P/E"</f>
        <v>Trailing P/E</v>
      </c>
      <c r="L15" s="340" t="str">
        <f>"Forward P/E"</f>
        <v>Forward P/E</v>
      </c>
      <c r="M15" s="341"/>
      <c r="N15" s="340" t="str">
        <f>"Trailing P/E"</f>
        <v>Trailing P/E</v>
      </c>
      <c r="O15" s="342" t="str">
        <f>"Forward P/E"</f>
        <v>Forward P/E</v>
      </c>
      <c r="Q15" s="319"/>
      <c r="R15" s="319"/>
      <c r="S15" s="319"/>
      <c r="T15" s="319"/>
      <c r="U15" s="319"/>
      <c r="V15" s="319"/>
      <c r="W15" s="319"/>
      <c r="X15" s="319"/>
      <c r="Y15" s="319"/>
      <c r="Z15" s="319"/>
      <c r="AA15" s="319"/>
      <c r="AB15" s="319"/>
      <c r="AC15" s="319"/>
    </row>
    <row r="16" spans="1:29" ht="19.95" customHeight="1">
      <c r="B16" s="343"/>
      <c r="C16" s="344"/>
      <c r="D16" s="344"/>
      <c r="E16" s="345"/>
      <c r="F16" s="346"/>
      <c r="G16" s="346"/>
      <c r="I16" s="335"/>
      <c r="O16" s="336"/>
    </row>
    <row r="17" spans="1:29" ht="19.95" customHeight="1">
      <c r="A17" s="319"/>
      <c r="B17" s="628" t="s">
        <v>116</v>
      </c>
      <c r="C17" s="628" t="s">
        <v>117</v>
      </c>
      <c r="D17" s="628"/>
      <c r="E17" s="629">
        <v>377457.56</v>
      </c>
      <c r="F17" s="630" t="s">
        <v>126</v>
      </c>
      <c r="G17" s="630" t="s">
        <v>127</v>
      </c>
      <c r="H17" s="319"/>
      <c r="I17" s="335" t="str">
        <f>"Industry multiple"</f>
        <v>Industry multiple</v>
      </c>
      <c r="K17" s="313" t="str" cm="1">
        <f t="array" ref="K17">_xlfn.CONCAT(_xlfn.PERCENTILE.INC(IFERROR(VALUE(LEFT(IF(F17:F27&lt;&gt;0,F17:F27),LEN(F17:F27)-1)),""),Master!E13),"x")</f>
        <v>22.62x</v>
      </c>
      <c r="L17" s="313" t="str" cm="1">
        <f t="array" ref="L17">_xlfn.CONCAT(_xlfn.PERCENTILE.INC(IFERROR(VALUE(LEFT(IF(G17:G27&lt;&gt;0,G17:G27),LEN(G17:G27)-1)),""),Master!E13),"x")</f>
        <v>18.02x</v>
      </c>
      <c r="M17" s="313"/>
      <c r="N17" s="313" t="str" cm="1">
        <f t="array" ref="N17">_xlfn.CONCAT(_xlfn.PERCENTILE.INC(IFERROR(VALUE(LEFT(IF(F17:F27&lt;&gt;0,F17:F27),LEN(F17:F27)-1)),""),Master!E14),"x")</f>
        <v>24.4x</v>
      </c>
      <c r="O17" s="347" t="str" cm="1">
        <f t="array" ref="O17">_xlfn.CONCAT(_xlfn.PERCENTILE.INC(IFERROR(VALUE(LEFT(IF(G17:G27&lt;&gt;0,G17:G27),LEN(G17:G27)-1)),""),Master!E14),"x")</f>
        <v>22.06x</v>
      </c>
      <c r="Q17" s="319"/>
      <c r="R17" s="319"/>
      <c r="S17" s="319"/>
      <c r="T17" s="319"/>
      <c r="U17" s="319"/>
      <c r="V17" s="319"/>
      <c r="W17" s="319"/>
      <c r="X17" s="319"/>
      <c r="Y17" s="319"/>
      <c r="Z17" s="319"/>
      <c r="AA17" s="319"/>
      <c r="AB17" s="319"/>
      <c r="AC17" s="319"/>
    </row>
    <row r="18" spans="1:29" ht="19.95" customHeight="1">
      <c r="B18" s="631" t="s">
        <v>128</v>
      </c>
      <c r="C18" s="348" t="s">
        <v>129</v>
      </c>
      <c r="D18" s="348"/>
      <c r="E18" s="349">
        <v>7817.3446999999996</v>
      </c>
      <c r="F18" s="350" t="s">
        <v>130</v>
      </c>
      <c r="G18" s="350" t="s">
        <v>131</v>
      </c>
      <c r="H18" s="348"/>
      <c r="I18" s="351" t="str">
        <f>"(*) Profit after tax"</f>
        <v>(*) Profit after tax</v>
      </c>
      <c r="K18" s="352">
        <f t="shared" ref="K18:L18" si="0">F30</f>
        <v>14582</v>
      </c>
      <c r="L18" s="352">
        <f t="shared" si="0"/>
        <v>17223.197622662592</v>
      </c>
      <c r="M18" s="352"/>
      <c r="N18" s="352">
        <f t="shared" ref="N18:O18" si="1">F30</f>
        <v>14582</v>
      </c>
      <c r="O18" s="353">
        <f t="shared" si="1"/>
        <v>17223.197622662592</v>
      </c>
    </row>
    <row r="19" spans="1:29" ht="19.95" customHeight="1">
      <c r="A19" s="319"/>
      <c r="B19" s="631" t="s">
        <v>132</v>
      </c>
      <c r="C19" s="334" t="s">
        <v>133</v>
      </c>
      <c r="D19" s="334"/>
      <c r="E19" s="349">
        <v>57630.434000000001</v>
      </c>
      <c r="F19" s="354" t="s">
        <v>134</v>
      </c>
      <c r="G19" s="354" t="s">
        <v>135</v>
      </c>
      <c r="H19" s="334"/>
      <c r="I19" s="355" t="str">
        <f>"Equity value"</f>
        <v>Equity value</v>
      </c>
      <c r="J19" s="356"/>
      <c r="K19" s="357">
        <f t="shared" ref="K19:L19" si="2">LEFT(K17,LEN(K17)-1)*K18</f>
        <v>329844.84000000003</v>
      </c>
      <c r="L19" s="357">
        <f t="shared" si="2"/>
        <v>310362.02116037993</v>
      </c>
      <c r="M19" s="358"/>
      <c r="N19" s="357">
        <f t="shared" ref="N19:O19" si="3">LEFT(N17,LEN(N17)-1)*N18</f>
        <v>355800.8</v>
      </c>
      <c r="O19" s="359">
        <f t="shared" si="3"/>
        <v>379943.73955593677</v>
      </c>
      <c r="Q19" s="319"/>
      <c r="R19" s="319"/>
      <c r="S19" s="319"/>
      <c r="T19" s="319"/>
      <c r="U19" s="319"/>
      <c r="V19" s="319"/>
      <c r="W19" s="319"/>
      <c r="X19" s="319"/>
      <c r="Y19" s="319"/>
      <c r="Z19" s="319"/>
      <c r="AA19" s="319"/>
      <c r="AB19" s="319"/>
      <c r="AC19" s="319"/>
    </row>
    <row r="20" spans="1:29" ht="19.95" customHeight="1">
      <c r="A20" s="319"/>
      <c r="B20" s="631" t="s">
        <v>136</v>
      </c>
      <c r="C20" s="334" t="s">
        <v>137</v>
      </c>
      <c r="D20" s="334"/>
      <c r="E20" s="349">
        <v>14316.214</v>
      </c>
      <c r="F20" s="354" t="s">
        <v>138</v>
      </c>
      <c r="G20" s="354" t="s">
        <v>139</v>
      </c>
      <c r="H20" s="334"/>
      <c r="I20" s="360"/>
      <c r="K20" s="352"/>
      <c r="L20" s="352"/>
      <c r="M20" s="352"/>
      <c r="N20" s="352"/>
      <c r="O20" s="353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319"/>
      <c r="AB20" s="319"/>
      <c r="AC20" s="319"/>
    </row>
    <row r="21" spans="1:29" ht="19.95" customHeight="1">
      <c r="A21" s="319"/>
      <c r="B21" s="631" t="s">
        <v>140</v>
      </c>
      <c r="C21" s="334" t="s">
        <v>141</v>
      </c>
      <c r="D21" s="334"/>
      <c r="E21" s="349">
        <v>8138.0349999999999</v>
      </c>
      <c r="F21" s="354" t="s">
        <v>142</v>
      </c>
      <c r="G21" s="354" t="s">
        <v>143</v>
      </c>
      <c r="H21" s="334"/>
      <c r="I21" s="351" t="str">
        <f>"(/) Outstanding shares"</f>
        <v>(/) Outstanding shares</v>
      </c>
      <c r="K21" s="352">
        <f t="shared" ref="K21:L21" si="4">$F$33</f>
        <v>995.51</v>
      </c>
      <c r="L21" s="352">
        <f t="shared" si="4"/>
        <v>995.51</v>
      </c>
      <c r="M21" s="352"/>
      <c r="N21" s="352">
        <f t="shared" ref="N21:O21" si="5">$F$33</f>
        <v>995.51</v>
      </c>
      <c r="O21" s="353">
        <f t="shared" si="5"/>
        <v>995.51</v>
      </c>
      <c r="Q21" s="319"/>
      <c r="R21" s="319"/>
      <c r="S21" s="319"/>
      <c r="T21" s="319"/>
      <c r="U21" s="319"/>
      <c r="V21" s="319"/>
      <c r="W21" s="319"/>
      <c r="X21" s="319"/>
      <c r="Y21" s="319"/>
      <c r="Z21" s="319"/>
      <c r="AA21" s="319"/>
      <c r="AB21" s="319"/>
      <c r="AC21" s="319"/>
    </row>
    <row r="22" spans="1:29" ht="19.95" customHeight="1">
      <c r="A22" s="319"/>
      <c r="B22" s="631" t="s">
        <v>144</v>
      </c>
      <c r="C22" s="334" t="s">
        <v>145</v>
      </c>
      <c r="D22" s="334"/>
      <c r="E22" s="349">
        <v>7125.1620000000003</v>
      </c>
      <c r="F22" s="354" t="s">
        <v>146</v>
      </c>
      <c r="G22" s="354" t="s">
        <v>147</v>
      </c>
      <c r="H22" s="334"/>
      <c r="I22" s="355" t="str">
        <f>IF(Appendix!$H$11="Yes", "Fair price", _xlfn.CONCAT(_xlfn.CONCAT("Fair price (",Master!$E$11),")"))</f>
        <v>Fair price</v>
      </c>
      <c r="K22" s="361">
        <f t="shared" ref="K22:L22" si="6">K19/K21</f>
        <v>331.33252302839753</v>
      </c>
      <c r="L22" s="361">
        <f t="shared" si="6"/>
        <v>311.76183178509501</v>
      </c>
      <c r="M22" s="362"/>
      <c r="N22" s="361">
        <f t="shared" ref="N22:O22" si="7">N19/N21</f>
        <v>357.40555092364718</v>
      </c>
      <c r="O22" s="363">
        <f t="shared" si="7"/>
        <v>381.65738119751359</v>
      </c>
      <c r="Q22" s="319"/>
      <c r="R22" s="319"/>
      <c r="S22" s="319"/>
      <c r="T22" s="319"/>
      <c r="U22" s="319"/>
      <c r="V22" s="319"/>
      <c r="W22" s="319"/>
      <c r="X22" s="319"/>
      <c r="Y22" s="319"/>
      <c r="Z22" s="319"/>
      <c r="AA22" s="319"/>
      <c r="AB22" s="319"/>
      <c r="AC22" s="319"/>
    </row>
    <row r="23" spans="1:29" ht="19.95" customHeight="1">
      <c r="A23" s="319"/>
      <c r="B23" s="631" t="s">
        <v>148</v>
      </c>
      <c r="C23" s="334" t="s">
        <v>149</v>
      </c>
      <c r="D23" s="334"/>
      <c r="E23" s="349">
        <v>155388.76999999999</v>
      </c>
      <c r="F23" s="354" t="s">
        <v>150</v>
      </c>
      <c r="G23" s="354" t="s">
        <v>151</v>
      </c>
      <c r="H23" s="334"/>
      <c r="I23" s="364" t="str">
        <f>_xlfn.CONCAT(_xlfn.CONCAT("Fair price (",Master!$G$4),")")</f>
        <v>Fair price (USD)</v>
      </c>
      <c r="J23" s="365"/>
      <c r="K23" s="366">
        <f>K22/Appendix!$H$13</f>
        <v>331.33252302839753</v>
      </c>
      <c r="L23" s="366">
        <f>L22/Appendix!$H$13</f>
        <v>311.76183178509501</v>
      </c>
      <c r="M23" s="365"/>
      <c r="N23" s="366">
        <f>N22/Appendix!$H$13</f>
        <v>357.40555092364718</v>
      </c>
      <c r="O23" s="367">
        <f>O22/Appendix!$H$13</f>
        <v>381.65738119751359</v>
      </c>
      <c r="Q23" s="319"/>
      <c r="R23" s="319"/>
      <c r="S23" s="319"/>
      <c r="T23" s="319"/>
      <c r="U23" s="319"/>
      <c r="V23" s="319"/>
      <c r="W23" s="319"/>
      <c r="X23" s="319"/>
      <c r="Y23" s="319"/>
      <c r="Z23" s="319"/>
      <c r="AA23" s="319"/>
      <c r="AB23" s="319"/>
      <c r="AC23" s="319"/>
    </row>
    <row r="24" spans="1:29" ht="19.95" customHeight="1">
      <c r="A24" s="319"/>
      <c r="B24" s="631" t="s">
        <v>152</v>
      </c>
      <c r="C24" s="334" t="s">
        <v>153</v>
      </c>
      <c r="D24" s="334"/>
      <c r="E24" s="349">
        <v>10826.726000000001</v>
      </c>
      <c r="F24" s="354" t="s">
        <v>154</v>
      </c>
      <c r="G24" s="354" t="s">
        <v>155</v>
      </c>
      <c r="H24" s="319"/>
      <c r="Q24" s="319"/>
      <c r="R24" s="319"/>
      <c r="S24" s="319"/>
      <c r="T24" s="319"/>
      <c r="U24" s="319"/>
      <c r="V24" s="319"/>
      <c r="W24" s="319"/>
      <c r="X24" s="319"/>
      <c r="Y24" s="319"/>
      <c r="Z24" s="319"/>
      <c r="AA24" s="319"/>
      <c r="AB24" s="319"/>
      <c r="AC24" s="319"/>
    </row>
    <row r="25" spans="1:29" ht="19.95" customHeight="1">
      <c r="A25" s="319"/>
      <c r="B25" s="632" t="s">
        <v>156</v>
      </c>
      <c r="C25" s="315" t="s">
        <v>157</v>
      </c>
      <c r="D25" s="315"/>
      <c r="E25" s="349">
        <v>63026.32</v>
      </c>
      <c r="F25" s="368" t="s">
        <v>114</v>
      </c>
      <c r="G25" s="368" t="s">
        <v>158</v>
      </c>
      <c r="H25" s="334"/>
      <c r="Q25" s="319"/>
      <c r="R25" s="319"/>
      <c r="S25" s="319"/>
      <c r="T25" s="319"/>
      <c r="U25" s="319"/>
      <c r="V25" s="319"/>
      <c r="W25" s="319"/>
      <c r="X25" s="319"/>
      <c r="Y25" s="319"/>
      <c r="Z25" s="319"/>
      <c r="AA25" s="319"/>
      <c r="AB25" s="319"/>
      <c r="AC25" s="319"/>
    </row>
    <row r="26" spans="1:29" ht="19.95" customHeight="1">
      <c r="A26" s="319"/>
      <c r="B26" s="632" t="s">
        <v>159</v>
      </c>
      <c r="C26" s="315" t="s">
        <v>160</v>
      </c>
      <c r="D26" s="315"/>
      <c r="E26" s="349">
        <v>173411</v>
      </c>
      <c r="F26" s="368" t="s">
        <v>161</v>
      </c>
      <c r="G26" s="368" t="s">
        <v>162</v>
      </c>
      <c r="H26" s="334"/>
      <c r="Q26" s="319"/>
      <c r="R26" s="319"/>
      <c r="S26" s="319"/>
      <c r="T26" s="319"/>
      <c r="U26" s="319"/>
      <c r="V26" s="319"/>
      <c r="W26" s="319"/>
      <c r="X26" s="319"/>
      <c r="Y26" s="319"/>
      <c r="Z26" s="319"/>
      <c r="AA26" s="319"/>
      <c r="AB26" s="319"/>
      <c r="AC26" s="319"/>
    </row>
    <row r="27" spans="1:29" ht="19.95" customHeight="1">
      <c r="A27" s="319"/>
      <c r="B27" s="633"/>
      <c r="C27" s="315"/>
      <c r="D27" s="315"/>
      <c r="E27" s="349"/>
      <c r="F27" s="368"/>
      <c r="G27" s="368"/>
      <c r="H27" s="334"/>
      <c r="Q27" s="319"/>
      <c r="R27" s="319"/>
      <c r="S27" s="319"/>
      <c r="T27" s="319"/>
      <c r="U27" s="319"/>
      <c r="V27" s="319"/>
      <c r="W27" s="319"/>
      <c r="X27" s="319"/>
      <c r="Y27" s="319"/>
      <c r="Z27" s="319"/>
      <c r="AA27" s="319"/>
      <c r="AB27" s="319"/>
      <c r="AC27" s="319"/>
    </row>
    <row r="28" spans="1:29" ht="19.95" customHeight="1">
      <c r="A28" s="319"/>
      <c r="B28" s="319"/>
      <c r="C28" s="315"/>
      <c r="D28" s="315"/>
      <c r="E28" s="368"/>
      <c r="F28" s="368"/>
      <c r="G28" s="368"/>
      <c r="H28" s="334"/>
      <c r="Q28" s="319"/>
      <c r="R28" s="319"/>
      <c r="S28" s="319"/>
      <c r="T28" s="319"/>
      <c r="U28" s="319"/>
      <c r="V28" s="319"/>
      <c r="W28" s="319"/>
      <c r="X28" s="319"/>
      <c r="Y28" s="319"/>
      <c r="Z28" s="319"/>
      <c r="AA28" s="319"/>
      <c r="AB28" s="319"/>
      <c r="AC28" s="319"/>
    </row>
    <row r="29" spans="1:29" ht="19.95" customHeight="1">
      <c r="A29" s="319"/>
      <c r="B29" s="369" t="str">
        <f>"Industry median"</f>
        <v>Industry median</v>
      </c>
      <c r="C29" s="370"/>
      <c r="D29" s="370"/>
      <c r="E29" s="323"/>
      <c r="F29" s="323" t="str" cm="1">
        <f t="array" ref="F29">_xlfn.CONCAT(_xlfn.PERCENTILE.INC(IFERROR(VALUE(LEFT(IF(F17:F27&lt;&gt;0,F17:F27),LEN(F17:F27)-1)),""),0.5),"x")</f>
        <v>23.15x</v>
      </c>
      <c r="G29" s="323" t="str" cm="1">
        <f t="array" ref="G29">_xlfn.CONCAT(_xlfn.PERCENTILE.INC(IFERROR(VALUE(LEFT(IF(G17:G27&lt;&gt;0,G17:G27),LEN(G17:G27)-1)),""),0.5),"x")</f>
        <v>21.2x</v>
      </c>
      <c r="H29" s="334"/>
      <c r="Q29" s="319"/>
      <c r="R29" s="319"/>
      <c r="S29" s="319"/>
      <c r="T29" s="319"/>
      <c r="U29" s="319"/>
      <c r="V29" s="319"/>
      <c r="W29" s="319"/>
      <c r="X29" s="319"/>
      <c r="Y29" s="319"/>
      <c r="Z29" s="319"/>
      <c r="AA29" s="319"/>
      <c r="AB29" s="319"/>
      <c r="AC29" s="319"/>
    </row>
    <row r="30" spans="1:29" ht="19.95" customHeight="1">
      <c r="A30" s="319"/>
      <c r="B30" s="334" t="str">
        <f>"(*) Profit after tax"</f>
        <v>(*) Profit after tax</v>
      </c>
      <c r="C30" s="315"/>
      <c r="D30" s="315"/>
      <c r="E30" s="354"/>
      <c r="F30" s="371">
        <v>14582</v>
      </c>
      <c r="G30" s="371">
        <f>IF(AND(DDM!F49&lt;=0, F30&gt;0),F30,DDM!F49/Appendix!H5*12)</f>
        <v>17223.197622662592</v>
      </c>
      <c r="H30" s="334"/>
      <c r="Q30" s="319"/>
      <c r="R30" s="319"/>
      <c r="S30" s="319"/>
      <c r="T30" s="319"/>
      <c r="U30" s="319"/>
      <c r="V30" s="319"/>
      <c r="W30" s="319"/>
      <c r="X30" s="319"/>
      <c r="Y30" s="319"/>
      <c r="Z30" s="319"/>
      <c r="AA30" s="319"/>
      <c r="AB30" s="319"/>
      <c r="AC30" s="319"/>
    </row>
    <row r="31" spans="1:29" ht="19.95" customHeight="1">
      <c r="A31" s="319"/>
      <c r="B31" s="372" t="str">
        <f>"Equity value"</f>
        <v>Equity value</v>
      </c>
      <c r="C31" s="373"/>
      <c r="D31" s="373"/>
      <c r="E31" s="374"/>
      <c r="F31" s="375">
        <f>LEFT(F29,LEN(F29)-1)*F30</f>
        <v>337573.3</v>
      </c>
      <c r="G31" s="375">
        <f>LEFT(G29,LEN(G29)-1)*G30</f>
        <v>365131.78960044694</v>
      </c>
      <c r="H31" s="319"/>
      <c r="Q31" s="319"/>
      <c r="R31" s="319"/>
      <c r="S31" s="319"/>
      <c r="T31" s="319"/>
      <c r="U31" s="319"/>
      <c r="V31" s="319"/>
      <c r="W31" s="319"/>
      <c r="X31" s="319"/>
      <c r="Y31" s="319"/>
      <c r="Z31" s="319"/>
      <c r="AA31" s="319"/>
      <c r="AB31" s="319"/>
      <c r="AC31" s="319"/>
    </row>
    <row r="32" spans="1:29" ht="19.95" customHeight="1">
      <c r="A32" s="319"/>
      <c r="B32" s="319"/>
      <c r="C32" s="315"/>
      <c r="D32" s="315"/>
      <c r="E32" s="368"/>
      <c r="F32" s="368"/>
      <c r="G32" s="368"/>
      <c r="H32" s="334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</row>
    <row r="33" spans="1:29" ht="19.95" customHeight="1">
      <c r="A33" s="319"/>
      <c r="B33" s="334" t="str">
        <f>"(/) Outstanding shares"</f>
        <v>(/) Outstanding shares</v>
      </c>
      <c r="C33" s="315"/>
      <c r="D33" s="315"/>
      <c r="E33" s="354"/>
      <c r="F33" s="371">
        <f>Master!E12</f>
        <v>995.51</v>
      </c>
      <c r="G33" s="371">
        <f>F33</f>
        <v>995.51</v>
      </c>
      <c r="H33" s="334"/>
      <c r="Q33" s="319"/>
      <c r="R33" s="319"/>
      <c r="S33" s="319"/>
      <c r="T33" s="319"/>
      <c r="U33" s="319"/>
      <c r="V33" s="319"/>
      <c r="W33" s="319"/>
      <c r="X33" s="319"/>
      <c r="Y33" s="319"/>
      <c r="Z33" s="319"/>
      <c r="AA33" s="319"/>
      <c r="AB33" s="319"/>
      <c r="AC33" s="319"/>
    </row>
    <row r="34" spans="1:29" ht="19.95" customHeight="1">
      <c r="A34" s="319"/>
      <c r="B34" s="372" t="str">
        <f>IF(Appendix!$H$11="Yes", "Fair price", _xlfn.CONCAT(_xlfn.CONCAT("Fair price (",Master!$E$11),")"))</f>
        <v>Fair price</v>
      </c>
      <c r="C34" s="373"/>
      <c r="D34" s="373"/>
      <c r="E34" s="374"/>
      <c r="F34" s="376">
        <f>F31/F33</f>
        <v>339.09584032305048</v>
      </c>
      <c r="G34" s="376">
        <f>G31/G33</f>
        <v>366.7786256295235</v>
      </c>
      <c r="H34" s="319"/>
      <c r="Q34" s="319"/>
      <c r="R34" s="319"/>
      <c r="S34" s="319"/>
      <c r="T34" s="319"/>
      <c r="U34" s="319"/>
      <c r="V34" s="319"/>
      <c r="W34" s="319"/>
      <c r="X34" s="319"/>
      <c r="Y34" s="319"/>
      <c r="Z34" s="319"/>
      <c r="AA34" s="319"/>
      <c r="AB34" s="319"/>
      <c r="AC34" s="319"/>
    </row>
    <row r="35" spans="1:29" ht="19.95" customHeight="1">
      <c r="A35" s="319"/>
      <c r="B35" s="377" t="str">
        <f>_xlfn.CONCAT(_xlfn.CONCAT("Fair price (",Master!$G$4),")")</f>
        <v>Fair price (USD)</v>
      </c>
      <c r="E35" s="313"/>
      <c r="F35" s="378">
        <f>F34/Appendix!$H$13</f>
        <v>339.09584032305048</v>
      </c>
      <c r="G35" s="378">
        <f>G34/Appendix!$H$13</f>
        <v>366.7786256295235</v>
      </c>
      <c r="H35" s="334"/>
      <c r="Q35" s="319"/>
      <c r="R35" s="319"/>
      <c r="S35" s="319"/>
      <c r="T35" s="319"/>
      <c r="U35" s="319"/>
      <c r="V35" s="319"/>
      <c r="W35" s="319"/>
      <c r="X35" s="319"/>
      <c r="Y35" s="319"/>
      <c r="Z35" s="319"/>
      <c r="AA35" s="319"/>
      <c r="AB35" s="319"/>
      <c r="AC35" s="319"/>
    </row>
    <row r="36" spans="1:29" ht="19.95" customHeight="1">
      <c r="A36" s="319"/>
      <c r="B36" s="319"/>
      <c r="C36" s="319"/>
      <c r="D36" s="368"/>
      <c r="E36" s="368"/>
      <c r="F36" s="368"/>
      <c r="G36" s="319"/>
      <c r="H36" s="334"/>
      <c r="Q36" s="319"/>
      <c r="R36" s="319"/>
      <c r="S36" s="319"/>
      <c r="T36" s="319"/>
      <c r="U36" s="319"/>
      <c r="V36" s="319"/>
      <c r="W36" s="319"/>
      <c r="X36" s="319"/>
      <c r="Y36" s="319"/>
      <c r="Z36" s="319"/>
      <c r="AA36" s="319"/>
      <c r="AB36" s="319"/>
      <c r="AC36" s="319"/>
    </row>
    <row r="37" spans="1:29" ht="7.05" customHeight="1">
      <c r="A37" s="319"/>
      <c r="B37" s="319"/>
      <c r="C37" s="319"/>
      <c r="D37" s="368"/>
      <c r="E37" s="368"/>
      <c r="F37" s="368"/>
      <c r="G37" s="319"/>
      <c r="H37" s="319"/>
      <c r="Q37" s="319"/>
      <c r="R37" s="319"/>
      <c r="S37" s="319"/>
      <c r="T37" s="319"/>
      <c r="U37" s="319"/>
      <c r="V37" s="319"/>
      <c r="W37" s="319"/>
      <c r="X37" s="319"/>
      <c r="Y37" s="319"/>
      <c r="Z37" s="319"/>
      <c r="AA37" s="319"/>
      <c r="AB37" s="319"/>
      <c r="AC37" s="319"/>
    </row>
    <row r="38" spans="1:29" ht="3" customHeight="1">
      <c r="B38" s="379"/>
      <c r="C38" s="380"/>
      <c r="D38" s="380"/>
      <c r="E38" s="380"/>
      <c r="F38" s="380"/>
      <c r="G38" s="380"/>
      <c r="H38" s="380"/>
      <c r="I38" s="380"/>
      <c r="J38" s="380"/>
      <c r="K38" s="380"/>
      <c r="L38" s="380"/>
      <c r="M38" s="380"/>
      <c r="N38" s="380"/>
      <c r="O38" s="380"/>
      <c r="P38" s="380"/>
    </row>
    <row r="39" spans="1:29" ht="19.95" customHeight="1">
      <c r="B39" s="381"/>
      <c r="D39" s="313"/>
      <c r="E39" s="314"/>
      <c r="F39" s="313"/>
      <c r="G39" s="314"/>
      <c r="H39" s="314"/>
    </row>
    <row r="40" spans="1:29" ht="19.95" customHeight="1">
      <c r="B40" s="382" t="str">
        <f>"EV / EBITDA"</f>
        <v>EV / EBITDA</v>
      </c>
      <c r="D40" s="313"/>
      <c r="E40" s="314"/>
      <c r="F40" s="313"/>
      <c r="G40" s="314"/>
      <c r="H40" s="314"/>
    </row>
    <row r="41" spans="1:29" ht="19.95" customHeight="1">
      <c r="E41" s="313"/>
      <c r="F41" s="313"/>
      <c r="G41" s="316" t="str">
        <f>"Upside"</f>
        <v>Upside</v>
      </c>
    </row>
    <row r="42" spans="1:29" ht="19.95" customHeight="1">
      <c r="B42" s="383"/>
      <c r="E42" s="313"/>
      <c r="F42" s="384"/>
      <c r="G42" s="318">
        <f>E48</f>
        <v>-0.3164090927581924</v>
      </c>
    </row>
    <row r="43" spans="1:29" ht="19.95" customHeight="1">
      <c r="E43" s="313"/>
      <c r="F43" s="313"/>
      <c r="G43" s="313"/>
    </row>
    <row r="44" spans="1:29" ht="19.95" customHeight="1" thickBot="1">
      <c r="B44" s="320"/>
      <c r="C44" s="320"/>
      <c r="D44" s="321" t="str">
        <f>"Range"</f>
        <v>Range</v>
      </c>
      <c r="E44" s="321" t="str">
        <f>"Selected"</f>
        <v>Selected</v>
      </c>
      <c r="F44" s="313"/>
      <c r="G44" s="322" t="s">
        <v>28</v>
      </c>
    </row>
    <row r="45" spans="1:29" ht="19.95" customHeight="1">
      <c r="B45" s="315" t="str">
        <f>"Trailing EV/EBITDA multiples"</f>
        <v>Trailing EV/EBITDA multiples</v>
      </c>
      <c r="D45" s="313" t="str">
        <f>CONCATENATE(K55," - ",N55)</f>
        <v>10.2x - 15.84x</v>
      </c>
      <c r="E45" s="323" t="str">
        <f>F67</f>
        <v>13x</v>
      </c>
      <c r="F45" s="313"/>
      <c r="G45" s="322" t="str">
        <f>CONCATENATE(TEXT(ROUND(Master!$F$4,2),"#,##0.00;(#,##0.00)")," ",Master!$G$4)</f>
        <v>379.16 USD</v>
      </c>
    </row>
    <row r="46" spans="1:29" ht="19.95" customHeight="1">
      <c r="B46" s="315" t="str">
        <f>"Forward EV/EBITDA multiples"</f>
        <v>Forward EV/EBITDA multiples</v>
      </c>
      <c r="D46" s="313" t="str">
        <f>CONCATENATE(L55," - ",O55)</f>
        <v>9.06x - 12.28x</v>
      </c>
      <c r="E46" s="324" t="str">
        <f>G67</f>
        <v>10.15x</v>
      </c>
      <c r="F46" s="313"/>
      <c r="G46" s="313"/>
    </row>
    <row r="47" spans="1:29" ht="19.95" customHeight="1">
      <c r="B47" s="325" t="str">
        <f>"Fair Price"</f>
        <v>Fair Price</v>
      </c>
      <c r="D47" s="313" t="str">
        <f>TEXT(IF(MIN(K64:L64)&lt;=0,MAX(K64:L64),MIN(K64:L64)),"#,##0.00;(#,##0.00)")&amp;" - "&amp;TEXT(MAX(N64:O64),"#,##0.00;(#,##0.00)")</f>
        <v>200.54 - 361.80</v>
      </c>
      <c r="E47" s="326">
        <f>AVERAGEIF(F76:G76,"&lt;&gt;0")</f>
        <v>259.19032838980377</v>
      </c>
      <c r="F47" s="313"/>
      <c r="G47" s="322" t="s">
        <v>30</v>
      </c>
    </row>
    <row r="48" spans="1:29" ht="19.95" customHeight="1">
      <c r="B48" s="325" t="str">
        <f>"Upside"</f>
        <v>Upside</v>
      </c>
      <c r="D48" s="313" t="str">
        <f>CONCATENATE(ROUND((_xlfn.MINIFS(K64:L64,K64:L64,"&gt;0")/Master!F4-1)*100,1),"% - ",ROUND((_xlfn.MAXIFS(N64:O64,N64:O64,"&gt;0")/Master!F4-1)*100,1),"%")</f>
        <v>-47.1% - -4.6%</v>
      </c>
      <c r="E48" s="327">
        <f>E47/Master!F4-1</f>
        <v>-0.3164090927581924</v>
      </c>
      <c r="F48" s="313"/>
      <c r="G48" s="322" t="str">
        <f>CONCATENATE(TEXT(ROUND(E47,2),"#,##0.00;(#,##0.00)")," ",Master!$G$4)</f>
        <v>259.19 USD</v>
      </c>
    </row>
    <row r="50" spans="1:15" ht="19.95" customHeight="1">
      <c r="F50" s="319"/>
      <c r="G50" s="319"/>
      <c r="H50" s="319"/>
      <c r="I50" s="330" t="str">
        <f>"Sensitivity Analysis"</f>
        <v>Sensitivity Analysis</v>
      </c>
      <c r="J50" s="331"/>
      <c r="K50" s="331"/>
      <c r="L50" s="331"/>
      <c r="M50" s="331"/>
      <c r="N50" s="331"/>
      <c r="O50" s="332"/>
    </row>
    <row r="51" spans="1:15" ht="19.95" customHeight="1">
      <c r="B51" s="333" t="str">
        <f>B13</f>
        <v>(USD in millions except Fair price)</v>
      </c>
      <c r="C51" s="319"/>
      <c r="D51" s="319"/>
      <c r="E51" s="319"/>
      <c r="F51" s="319"/>
      <c r="G51" s="319"/>
      <c r="H51" s="319"/>
      <c r="I51" s="335"/>
      <c r="K51" s="429" t="str">
        <f>"Low"</f>
        <v>Low</v>
      </c>
      <c r="L51" s="430"/>
      <c r="N51" s="429" t="str">
        <f>"High"</f>
        <v>High</v>
      </c>
      <c r="O51" s="431"/>
    </row>
    <row r="52" spans="1:15" ht="19.95" customHeight="1">
      <c r="B52" s="334"/>
      <c r="E52" s="385"/>
      <c r="F52" s="385" t="str">
        <f>"Trailing"</f>
        <v>Trailing</v>
      </c>
      <c r="G52" s="385" t="str">
        <f>"Forward"</f>
        <v>Forward</v>
      </c>
      <c r="H52" s="319"/>
      <c r="I52" s="335"/>
      <c r="J52" s="337"/>
      <c r="K52" s="340" t="str">
        <f>"Trailing"</f>
        <v>Trailing</v>
      </c>
      <c r="L52" s="340" t="str">
        <f>"Forward"</f>
        <v>Forward</v>
      </c>
      <c r="M52" s="341"/>
      <c r="N52" s="340" t="str">
        <f>"Trailing"</f>
        <v>Trailing</v>
      </c>
      <c r="O52" s="342" t="str">
        <f>"Forward"</f>
        <v>Forward</v>
      </c>
    </row>
    <row r="53" spans="1:15" ht="19.95" customHeight="1" thickBot="1">
      <c r="B53" s="338" t="str">
        <f>"Ticker"</f>
        <v>Ticker</v>
      </c>
      <c r="C53" s="338" t="str">
        <f>"Company Name"</f>
        <v>Company Name</v>
      </c>
      <c r="D53" s="338"/>
      <c r="E53" s="339" t="str">
        <f>E15</f>
        <v>Market Cap (USD mil)</v>
      </c>
      <c r="F53" s="339" t="str">
        <f>"EV/EBITDA"</f>
        <v>EV/EBITDA</v>
      </c>
      <c r="G53" s="339" t="str">
        <f>"EV/EBITDA"</f>
        <v>EV/EBITDA</v>
      </c>
      <c r="H53" s="319"/>
      <c r="I53" s="335"/>
      <c r="J53" s="313"/>
      <c r="K53" s="340" t="str">
        <f t="shared" ref="K53:L53" si="8">"EV/EBITDA"</f>
        <v>EV/EBITDA</v>
      </c>
      <c r="L53" s="340" t="str">
        <f t="shared" si="8"/>
        <v>EV/EBITDA</v>
      </c>
      <c r="M53" s="341"/>
      <c r="N53" s="340" t="str">
        <f t="shared" ref="N53:O53" si="9">"EV/EBITDA"</f>
        <v>EV/EBITDA</v>
      </c>
      <c r="O53" s="342" t="str">
        <f t="shared" si="9"/>
        <v>EV/EBITDA</v>
      </c>
    </row>
    <row r="54" spans="1:15" ht="19.95" customHeight="1">
      <c r="B54" s="343"/>
      <c r="C54" s="344"/>
      <c r="D54" s="344"/>
      <c r="E54" s="345"/>
      <c r="F54" s="346"/>
      <c r="G54" s="346"/>
      <c r="I54" s="335"/>
      <c r="O54" s="336"/>
    </row>
    <row r="55" spans="1:15" ht="19.95" customHeight="1">
      <c r="B55" s="628" t="s">
        <v>116</v>
      </c>
      <c r="C55" s="628" t="s">
        <v>117</v>
      </c>
      <c r="D55" s="628"/>
      <c r="E55" s="629">
        <v>377457.56</v>
      </c>
      <c r="F55" s="630" t="s">
        <v>163</v>
      </c>
      <c r="G55" s="630" t="s">
        <v>164</v>
      </c>
      <c r="H55" s="319"/>
      <c r="I55" s="335" t="str">
        <f>"Industry multiple"</f>
        <v>Industry multiple</v>
      </c>
      <c r="K55" s="313" t="str" cm="1">
        <f t="array" ref="K55">_xlfn.CONCAT(_xlfn.PERCENTILE.INC(IFERROR(VALUE(LEFT(IF(F55:F65&lt;&gt;0,F55:F65),LEN(F55:F65)-1)),""),Master!E13),"x")</f>
        <v>10.2x</v>
      </c>
      <c r="L55" s="313" t="str" cm="1">
        <f t="array" ref="L55">_xlfn.CONCAT(_xlfn.PERCENTILE.INC(IFERROR(VALUE(LEFT(IF(G55:G65&lt;&gt;0,G55:G65),LEN(G55:G65)-1)),""),Master!E13),"x")</f>
        <v>9.06x</v>
      </c>
      <c r="M55" s="313"/>
      <c r="N55" s="313" t="str" cm="1">
        <f t="array" ref="N55">_xlfn.CONCAT(_xlfn.PERCENTILE.INC(IFERROR(VALUE(LEFT(IF(F55:F65&lt;&gt;0,F55:F65),LEN(F55:F65)-1)),""),Master!E14),"x")</f>
        <v>15.84x</v>
      </c>
      <c r="O55" s="347" t="str" cm="1">
        <f t="array" ref="O55">_xlfn.CONCAT(_xlfn.PERCENTILE.INC(IFERROR(VALUE(LEFT(IF(G55:G65&lt;&gt;0,G55:G65),LEN(G55:G65)-1)),""),Master!E14),"x")</f>
        <v>12.28x</v>
      </c>
    </row>
    <row r="56" spans="1:15" ht="19.95" customHeight="1">
      <c r="A56" s="319"/>
      <c r="B56" s="631" t="s">
        <v>128</v>
      </c>
      <c r="C56" s="348" t="s">
        <v>129</v>
      </c>
      <c r="D56" s="348"/>
      <c r="E56" s="386">
        <v>7817.3446999999996</v>
      </c>
      <c r="F56" s="350" t="s">
        <v>112</v>
      </c>
      <c r="G56" s="350" t="s">
        <v>165</v>
      </c>
      <c r="I56" s="351" t="str">
        <f>"(*) EBITDA"</f>
        <v>(*) EBITDA</v>
      </c>
      <c r="K56" s="352">
        <f t="shared" ref="K56:L56" si="10">F68</f>
        <v>26168</v>
      </c>
      <c r="L56" s="352">
        <f t="shared" si="10"/>
        <v>28032.426367553409</v>
      </c>
      <c r="M56" s="352"/>
      <c r="N56" s="352">
        <f t="shared" ref="N56:O56" si="11">F68</f>
        <v>26168</v>
      </c>
      <c r="O56" s="353">
        <f t="shared" si="11"/>
        <v>28032.426367553409</v>
      </c>
    </row>
    <row r="57" spans="1:15" ht="19.95" customHeight="1">
      <c r="A57" s="319"/>
      <c r="B57" s="631" t="s">
        <v>136</v>
      </c>
      <c r="C57" s="334" t="s">
        <v>137</v>
      </c>
      <c r="D57" s="334"/>
      <c r="E57" s="386">
        <v>14316.214</v>
      </c>
      <c r="F57" s="354" t="s">
        <v>166</v>
      </c>
      <c r="G57" s="354" t="s">
        <v>167</v>
      </c>
      <c r="H57" s="319"/>
      <c r="I57" s="355" t="str">
        <f>"Enterprise value"</f>
        <v>Enterprise value</v>
      </c>
      <c r="J57" s="356"/>
      <c r="K57" s="357">
        <f t="shared" ref="K57:L57" si="12">LEFT(K55,LEN(K55)-1)*K56</f>
        <v>266913.59999999998</v>
      </c>
      <c r="L57" s="357">
        <f t="shared" si="12"/>
        <v>253973.78289003391</v>
      </c>
      <c r="M57" s="358"/>
      <c r="N57" s="357">
        <f t="shared" ref="N57:O57" si="13">LEFT(N55,LEN(N55)-1)*N56</f>
        <v>414501.12</v>
      </c>
      <c r="O57" s="359">
        <f t="shared" si="13"/>
        <v>344238.19579355587</v>
      </c>
    </row>
    <row r="58" spans="1:15" ht="19.95" customHeight="1">
      <c r="A58" s="319"/>
      <c r="B58" s="631" t="s">
        <v>140</v>
      </c>
      <c r="C58" s="334" t="s">
        <v>141</v>
      </c>
      <c r="D58" s="334"/>
      <c r="E58" s="386">
        <v>8138.0349999999999</v>
      </c>
      <c r="F58" s="354" t="s">
        <v>168</v>
      </c>
      <c r="G58" s="354" t="s">
        <v>112</v>
      </c>
      <c r="H58" s="319"/>
      <c r="I58" s="360"/>
      <c r="K58" s="352"/>
      <c r="L58" s="352"/>
      <c r="M58" s="352"/>
      <c r="N58" s="352"/>
      <c r="O58" s="353"/>
    </row>
    <row r="59" spans="1:15" ht="19.95" customHeight="1">
      <c r="A59" s="319"/>
      <c r="B59" s="631" t="s">
        <v>169</v>
      </c>
      <c r="C59" s="334" t="s">
        <v>170</v>
      </c>
      <c r="D59" s="334"/>
      <c r="E59" s="386">
        <v>9238.6560000000009</v>
      </c>
      <c r="F59" s="354" t="s">
        <v>171</v>
      </c>
      <c r="G59" s="354" t="s">
        <v>172</v>
      </c>
      <c r="H59" s="319"/>
      <c r="I59" s="351" t="str">
        <f>"(-) Net debt"</f>
        <v>(-) Net debt</v>
      </c>
      <c r="K59" s="387">
        <f t="shared" ref="K59:L59" si="14">$F$71</f>
        <v>54330</v>
      </c>
      <c r="L59" s="387">
        <f t="shared" si="14"/>
        <v>54330</v>
      </c>
      <c r="N59" s="387">
        <f t="shared" ref="N59:O59" si="15">$F$71</f>
        <v>54330</v>
      </c>
      <c r="O59" s="388">
        <f t="shared" si="15"/>
        <v>54330</v>
      </c>
    </row>
    <row r="60" spans="1:15" ht="19.95" customHeight="1">
      <c r="A60" s="319"/>
      <c r="B60" s="631" t="s">
        <v>144</v>
      </c>
      <c r="C60" s="334" t="s">
        <v>145</v>
      </c>
      <c r="D60" s="334"/>
      <c r="E60" s="386">
        <v>7125.1620000000003</v>
      </c>
      <c r="F60" s="354" t="s">
        <v>173</v>
      </c>
      <c r="G60" s="354" t="s">
        <v>174</v>
      </c>
      <c r="H60" s="319"/>
      <c r="I60" s="355" t="str">
        <f>"Equity value"</f>
        <v>Equity value</v>
      </c>
      <c r="K60" s="389">
        <f t="shared" ref="K60:L60" si="16">K57-K59</f>
        <v>212583.59999999998</v>
      </c>
      <c r="L60" s="389">
        <f t="shared" si="16"/>
        <v>199643.78289003391</v>
      </c>
      <c r="M60" s="390"/>
      <c r="N60" s="389">
        <f t="shared" ref="N60:O60" si="17">N57-N59</f>
        <v>360171.12</v>
      </c>
      <c r="O60" s="391">
        <f t="shared" si="17"/>
        <v>289908.19579355587</v>
      </c>
    </row>
    <row r="61" spans="1:15" ht="19.95" customHeight="1">
      <c r="B61" s="631" t="s">
        <v>148</v>
      </c>
      <c r="C61" s="334" t="s">
        <v>149</v>
      </c>
      <c r="D61" s="334"/>
      <c r="E61" s="386">
        <v>155388.76999999999</v>
      </c>
      <c r="F61" s="354" t="s">
        <v>175</v>
      </c>
      <c r="G61" s="354" t="s">
        <v>115</v>
      </c>
      <c r="H61" s="319"/>
      <c r="I61" s="360"/>
      <c r="O61" s="336"/>
    </row>
    <row r="62" spans="1:15" ht="19.95" customHeight="1">
      <c r="B62" s="631" t="s">
        <v>176</v>
      </c>
      <c r="C62" s="334" t="s">
        <v>177</v>
      </c>
      <c r="D62" s="334"/>
      <c r="E62" s="386">
        <v>843.36</v>
      </c>
      <c r="F62" s="354" t="s">
        <v>178</v>
      </c>
      <c r="G62" s="354" t="s">
        <v>179</v>
      </c>
      <c r="H62" s="319"/>
      <c r="I62" s="351" t="str">
        <f>"(/) Outstanding shares"</f>
        <v>(/) Outstanding shares</v>
      </c>
      <c r="K62" s="352">
        <f t="shared" ref="K62:L62" si="18">$F$33</f>
        <v>995.51</v>
      </c>
      <c r="L62" s="352">
        <f t="shared" si="18"/>
        <v>995.51</v>
      </c>
      <c r="M62" s="352"/>
      <c r="N62" s="352">
        <f t="shared" ref="N62:O62" si="19">$F$33</f>
        <v>995.51</v>
      </c>
      <c r="O62" s="353">
        <f t="shared" si="19"/>
        <v>995.51</v>
      </c>
    </row>
    <row r="63" spans="1:15" ht="19.95" customHeight="1">
      <c r="B63" s="631" t="s">
        <v>159</v>
      </c>
      <c r="C63" s="315" t="s">
        <v>160</v>
      </c>
      <c r="D63" s="315"/>
      <c r="E63" s="386">
        <v>173411</v>
      </c>
      <c r="F63" s="368" t="s">
        <v>180</v>
      </c>
      <c r="G63" s="368" t="s">
        <v>181</v>
      </c>
      <c r="H63" s="319"/>
      <c r="I63" s="355" t="str">
        <f>IF(Appendix!$H$11="Yes", "Fair price", _xlfn.CONCAT(_xlfn.CONCAT("Fair price (",Master!$E$11),")"))</f>
        <v>Fair price</v>
      </c>
      <c r="K63" s="361">
        <f t="shared" ref="K63:L63" si="20">K60/K62</f>
        <v>213.54240540024708</v>
      </c>
      <c r="L63" s="361">
        <f t="shared" si="20"/>
        <v>200.54422646687016</v>
      </c>
      <c r="M63" s="362"/>
      <c r="N63" s="361">
        <f t="shared" ref="N63:O63" si="21">N60/N62</f>
        <v>361.79558216391598</v>
      </c>
      <c r="O63" s="363">
        <f t="shared" si="21"/>
        <v>291.2157545314019</v>
      </c>
    </row>
    <row r="64" spans="1:15" ht="19.95" customHeight="1">
      <c r="B64" s="631" t="s">
        <v>182</v>
      </c>
      <c r="C64" s="315" t="s">
        <v>183</v>
      </c>
      <c r="D64" s="315"/>
      <c r="E64" s="386">
        <v>164.56960000000001</v>
      </c>
      <c r="F64" s="368" t="s">
        <v>112</v>
      </c>
      <c r="G64" s="368" t="s">
        <v>184</v>
      </c>
      <c r="H64" s="319"/>
      <c r="I64" s="364" t="str">
        <f>_xlfn.CONCAT(_xlfn.CONCAT("Fair price (",Master!$G$4),")")</f>
        <v>Fair price (USD)</v>
      </c>
      <c r="J64" s="365"/>
      <c r="K64" s="366">
        <f>K63/Appendix!$H$13</f>
        <v>213.54240540024708</v>
      </c>
      <c r="L64" s="366">
        <f>L63/Appendix!$H$13</f>
        <v>200.54422646687016</v>
      </c>
      <c r="M64" s="365"/>
      <c r="N64" s="366">
        <f>N63/Appendix!$H$13</f>
        <v>361.79558216391598</v>
      </c>
      <c r="O64" s="367">
        <f>O63/Appendix!$H$13</f>
        <v>291.2157545314019</v>
      </c>
    </row>
    <row r="65" spans="2:8" ht="19.95" customHeight="1">
      <c r="B65" s="632"/>
      <c r="C65" s="315"/>
      <c r="D65" s="315"/>
      <c r="E65" s="386"/>
      <c r="F65" s="368"/>
      <c r="G65" s="368"/>
      <c r="H65" s="319"/>
    </row>
    <row r="66" spans="2:8" ht="19.95" customHeight="1">
      <c r="B66" s="319"/>
      <c r="E66" s="368"/>
      <c r="F66" s="368"/>
      <c r="G66" s="368"/>
      <c r="H66" s="319"/>
    </row>
    <row r="67" spans="2:8" ht="19.95" customHeight="1">
      <c r="B67" s="369" t="str">
        <f>"Industry median"</f>
        <v>Industry median</v>
      </c>
      <c r="C67" s="370"/>
      <c r="D67" s="370"/>
      <c r="E67" s="323"/>
      <c r="F67" s="323" t="str" cm="1">
        <f t="array" ref="F67">_xlfn.CONCAT(_xlfn.PERCENTILE.INC(IFERROR(VALUE(LEFT(IF(F55:F65&lt;&gt;0,F55:F65),LEN(F55:F65)-1)),""),0.5),"x")</f>
        <v>13x</v>
      </c>
      <c r="G67" s="323" t="str" cm="1">
        <f t="array" ref="G67">_xlfn.CONCAT(_xlfn.PERCENTILE.INC(IFERROR(VALUE(LEFT(IF(G55:G65&lt;&gt;0,G55:G65),LEN(G55:G65)-1)),""),0.5),"x")</f>
        <v>10.15x</v>
      </c>
      <c r="H67" s="319"/>
    </row>
    <row r="68" spans="2:8" ht="19.95" customHeight="1">
      <c r="B68" s="334" t="str">
        <f>"(*) EBITDA"</f>
        <v>(*) EBITDA</v>
      </c>
      <c r="E68" s="354"/>
      <c r="F68" s="371">
        <v>26168</v>
      </c>
      <c r="G68" s="371">
        <f>'Terminal Value'!E10/Appendix!H5*12</f>
        <v>28032.426367553409</v>
      </c>
      <c r="H68" s="319"/>
    </row>
    <row r="69" spans="2:8" ht="19.95" customHeight="1">
      <c r="B69" s="372" t="str">
        <f>"Enterprise value"</f>
        <v>Enterprise value</v>
      </c>
      <c r="C69" s="373"/>
      <c r="D69" s="373"/>
      <c r="E69" s="374"/>
      <c r="F69" s="375">
        <f>LEFT(F67,LEN(F67)-1)*F68</f>
        <v>340184</v>
      </c>
      <c r="G69" s="375">
        <f>LEFT(G67,LEN(G67)-1)*G68</f>
        <v>284529.12763066712</v>
      </c>
      <c r="H69" s="319"/>
    </row>
    <row r="70" spans="2:8" ht="19.95" customHeight="1">
      <c r="B70" s="319"/>
      <c r="E70" s="368"/>
      <c r="F70" s="368"/>
      <c r="G70" s="368"/>
      <c r="H70" s="319"/>
    </row>
    <row r="71" spans="2:8" ht="19.95" customHeight="1">
      <c r="B71" s="334" t="str">
        <f>"(-) Net debt"</f>
        <v>(-) Net debt</v>
      </c>
      <c r="E71" s="354"/>
      <c r="F71" s="392">
        <f>Appendix!H9</f>
        <v>54330</v>
      </c>
      <c r="G71" s="392">
        <f>F71</f>
        <v>54330</v>
      </c>
      <c r="H71" s="319"/>
    </row>
    <row r="72" spans="2:8" ht="19.95" customHeight="1">
      <c r="B72" s="372" t="str">
        <f>"Equity value"</f>
        <v>Equity value</v>
      </c>
      <c r="C72" s="373"/>
      <c r="D72" s="373"/>
      <c r="E72" s="374"/>
      <c r="F72" s="375">
        <f>F69-F71</f>
        <v>285854</v>
      </c>
      <c r="G72" s="375">
        <f>G69-G71</f>
        <v>230199.12763066712</v>
      </c>
      <c r="H72" s="319"/>
    </row>
    <row r="73" spans="2:8" ht="19.95" customHeight="1">
      <c r="B73" s="319"/>
      <c r="E73" s="368"/>
      <c r="F73" s="368"/>
      <c r="G73" s="368"/>
      <c r="H73" s="319"/>
    </row>
    <row r="74" spans="2:8" ht="19.95" customHeight="1">
      <c r="B74" s="334" t="str">
        <f>"(/) Outstanding shares"</f>
        <v>(/) Outstanding shares</v>
      </c>
      <c r="E74" s="354"/>
      <c r="F74" s="371">
        <f>F33</f>
        <v>995.51</v>
      </c>
      <c r="G74" s="371">
        <f>F74</f>
        <v>995.51</v>
      </c>
      <c r="H74" s="319"/>
    </row>
    <row r="75" spans="2:8" ht="19.95" customHeight="1">
      <c r="B75" s="372" t="str">
        <f>IF(Appendix!$H$11="Yes", "Fair price", _xlfn.CONCAT(_xlfn.CONCAT("Fair price (",Master!$E$11),")"))</f>
        <v>Fair price</v>
      </c>
      <c r="C75" s="373"/>
      <c r="D75" s="373"/>
      <c r="E75" s="374"/>
      <c r="F75" s="376">
        <f>F72/F74</f>
        <v>287.14327329710397</v>
      </c>
      <c r="G75" s="376">
        <f>G72/G74</f>
        <v>231.23738348250356</v>
      </c>
      <c r="H75" s="319"/>
    </row>
    <row r="76" spans="2:8" ht="19.95" customHeight="1">
      <c r="B76" s="377" t="str">
        <f>_xlfn.CONCAT(_xlfn.CONCAT("Fair price (",Master!$G$4),")")</f>
        <v>Fair price (USD)</v>
      </c>
      <c r="E76" s="313"/>
      <c r="F76" s="378">
        <f>F75/Appendix!$H$13</f>
        <v>287.14327329710397</v>
      </c>
      <c r="G76" s="378">
        <f>G75/Appendix!$H$13</f>
        <v>231.23738348250356</v>
      </c>
    </row>
  </sheetData>
  <mergeCells count="4">
    <mergeCell ref="K14:L14"/>
    <mergeCell ref="N14:O14"/>
    <mergeCell ref="K51:L51"/>
    <mergeCell ref="N51:O51"/>
  </mergeCells>
  <conditionalFormatting sqref="F34:G34">
    <cfRule type="expression" dxfId="13" priority="4">
      <formula>"Yes" =INDIRECT("Appendix!H11")</formula>
    </cfRule>
  </conditionalFormatting>
  <conditionalFormatting sqref="F75:G75">
    <cfRule type="expression" dxfId="12" priority="5">
      <formula>"Yes" =INDIRECT("Appendix!H11")</formula>
    </cfRule>
  </conditionalFormatting>
  <conditionalFormatting sqref="G3 G41">
    <cfRule type="expression" dxfId="11" priority="2">
      <formula>G4&lt;0</formula>
    </cfRule>
  </conditionalFormatting>
  <conditionalFormatting sqref="G4 G42">
    <cfRule type="cellIs" dxfId="10" priority="3" operator="lessThan">
      <formula>0</formula>
    </cfRule>
  </conditionalFormatting>
  <conditionalFormatting sqref="I23 K23:L23 N23:O23 B35 F35:G35 I64 K64:L64 N64:O64 B76 F76:G76">
    <cfRule type="expression" dxfId="9" priority="1">
      <formula>"Yes" =INDIRECT("Appendix!H11")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A8436"/>
    <outlinePr summaryBelow="0" summaryRight="0"/>
  </sheetPr>
  <dimension ref="A1:Z998"/>
  <sheetViews>
    <sheetView showGridLines="0" topLeftCell="A44" zoomScale="80" zoomScaleNormal="80" workbookViewId="0">
      <selection activeCell="E39" sqref="E39"/>
    </sheetView>
  </sheetViews>
  <sheetFormatPr defaultColWidth="14.44140625" defaultRowHeight="15.75" customHeight="1"/>
  <cols>
    <col min="1" max="1" width="7.33203125" style="6" customWidth="1"/>
    <col min="2" max="2" width="14.44140625" style="6"/>
    <col min="3" max="3" width="28" style="6" customWidth="1"/>
    <col min="4" max="9" width="18.77734375" style="6" customWidth="1"/>
    <col min="10" max="16384" width="14.44140625" style="6"/>
  </cols>
  <sheetData>
    <row r="1" spans="1:26" ht="17.399999999999999">
      <c r="A1" s="307"/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</row>
    <row r="2" spans="1:26" ht="21">
      <c r="A2" s="307"/>
      <c r="B2" s="107" t="s">
        <v>76</v>
      </c>
      <c r="D2" s="7"/>
      <c r="E2" s="45"/>
      <c r="F2" s="7"/>
      <c r="G2" s="45"/>
      <c r="H2" s="45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</row>
    <row r="3" spans="1:26" ht="17.399999999999999">
      <c r="A3" s="307"/>
      <c r="F3" s="7"/>
      <c r="G3" s="46" t="s">
        <v>25</v>
      </c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</row>
    <row r="4" spans="1:26" ht="17.399999999999999">
      <c r="A4" s="307"/>
      <c r="F4" s="7"/>
      <c r="G4" s="48">
        <f>E10</f>
        <v>-0.43668597124897723</v>
      </c>
      <c r="I4" s="307"/>
      <c r="J4" s="307"/>
      <c r="K4" s="307"/>
      <c r="L4" s="307"/>
      <c r="M4" s="307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</row>
    <row r="5" spans="1:26" ht="17.399999999999999">
      <c r="A5" s="307"/>
      <c r="F5" s="7"/>
      <c r="G5" s="7"/>
      <c r="I5" s="307"/>
      <c r="J5" s="307"/>
      <c r="K5" s="307"/>
      <c r="L5" s="307"/>
      <c r="M5" s="307"/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</row>
    <row r="6" spans="1:26" ht="17.399999999999999">
      <c r="A6" s="307"/>
      <c r="B6" s="49"/>
      <c r="C6" s="49"/>
      <c r="D6" s="50" t="s">
        <v>26</v>
      </c>
      <c r="E6" s="50" t="s">
        <v>27</v>
      </c>
      <c r="G6" s="51" t="s">
        <v>28</v>
      </c>
      <c r="I6" s="307"/>
      <c r="J6" s="307"/>
      <c r="K6" s="307"/>
      <c r="L6" s="307"/>
      <c r="M6" s="307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</row>
    <row r="7" spans="1:26" ht="17.399999999999999">
      <c r="A7" s="307"/>
      <c r="B7" s="8" t="s">
        <v>29</v>
      </c>
      <c r="D7" s="7" t="str">
        <f>CONCATENATE(ROUND(WACC!D17*100,1),"% - ",ROUND(WACC!E17*100,1),"%")</f>
        <v>6.4% - 8.2%</v>
      </c>
      <c r="E7" s="52">
        <f>WACC!D19</f>
        <v>7.2939116623051053E-2</v>
      </c>
      <c r="G7" s="51" t="str">
        <f>CONCATENATE(TEXT(ROUND(Master!$F$4,2),"#,##0.00;(#,##0.00)")," ",Master!$G$4)</f>
        <v>379.16 USD</v>
      </c>
      <c r="I7" s="307"/>
      <c r="J7" s="307"/>
      <c r="K7" s="307"/>
      <c r="L7" s="307"/>
      <c r="M7" s="307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</row>
    <row r="8" spans="1:26" ht="17.399999999999999">
      <c r="A8" s="307"/>
      <c r="B8" s="8" t="s">
        <v>77</v>
      </c>
      <c r="D8" s="10">
        <f>D44</f>
        <v>19200.316582507166</v>
      </c>
      <c r="E8" s="10">
        <f>D8</f>
        <v>19200.316582507166</v>
      </c>
      <c r="G8" s="7"/>
      <c r="I8" s="307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</row>
    <row r="9" spans="1:26" ht="17.399999999999999">
      <c r="A9" s="307"/>
      <c r="B9" s="53" t="s">
        <v>30</v>
      </c>
      <c r="D9" s="7" t="str">
        <f>TEXT(MIN(D60,E60),"#,##0.00;(#,##0.00)")&amp;" - "&amp;TEXT(MAX(E60,D60),"#,##0.00;(#,##0.00)")</f>
        <v>181.93 - 245.24</v>
      </c>
      <c r="E9" s="231">
        <f>AVERAGE(D60:E60)</f>
        <v>213.5861471412378</v>
      </c>
      <c r="G9" s="51" t="s">
        <v>30</v>
      </c>
      <c r="I9" s="307"/>
      <c r="J9" s="307"/>
      <c r="K9" s="307"/>
      <c r="L9" s="307"/>
      <c r="M9" s="307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</row>
    <row r="10" spans="1:26" ht="17.399999999999999">
      <c r="A10" s="307"/>
      <c r="B10" s="53" t="s">
        <v>25</v>
      </c>
      <c r="D10" s="43" t="str">
        <f>CONCATENATE(ROUND((MIN(D60,E60)/Master!F4-1)*100,1),"% - ",ROUND((MAX(D60,E60)/Master!F4-1)*100,1),"%")</f>
        <v>-52% - -35.3%</v>
      </c>
      <c r="E10" s="55">
        <f>E9/Master!F4-1</f>
        <v>-0.43668597124897723</v>
      </c>
      <c r="G10" s="51" t="str">
        <f>CONCATENATE(TEXT(ROUND(E9,2),"#,##0.00;(#,##0.00)")," ",Master!$G$4)</f>
        <v>213.59 USD</v>
      </c>
      <c r="I10" s="307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W10" s="307"/>
      <c r="X10" s="307"/>
      <c r="Y10" s="307"/>
      <c r="Z10" s="307"/>
    </row>
    <row r="11" spans="1:26" ht="17.399999999999999">
      <c r="A11" s="307"/>
      <c r="B11" s="307"/>
      <c r="C11" s="307"/>
      <c r="D11" s="233"/>
      <c r="E11" s="233"/>
      <c r="F11" s="233"/>
      <c r="G11" s="233"/>
      <c r="H11" s="233"/>
      <c r="I11" s="307"/>
      <c r="J11" s="307"/>
      <c r="K11" s="307"/>
      <c r="L11" s="307"/>
      <c r="M11" s="307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  <c r="Z11" s="307"/>
    </row>
    <row r="12" spans="1:26" ht="17.399999999999999">
      <c r="A12" s="307"/>
      <c r="B12" s="307"/>
      <c r="C12" s="307"/>
      <c r="D12" s="233"/>
      <c r="E12" s="233"/>
      <c r="F12" s="233"/>
      <c r="G12" s="233"/>
      <c r="H12" s="233"/>
      <c r="I12" s="307"/>
      <c r="J12" s="307"/>
      <c r="K12" s="307"/>
      <c r="L12" s="307"/>
      <c r="M12" s="307"/>
      <c r="N12" s="307"/>
      <c r="O12" s="307"/>
      <c r="P12" s="307"/>
      <c r="Q12" s="307"/>
      <c r="R12" s="307"/>
      <c r="S12" s="307"/>
      <c r="T12" s="307"/>
      <c r="U12" s="307"/>
      <c r="V12" s="307"/>
      <c r="W12" s="307"/>
      <c r="X12" s="307"/>
      <c r="Y12" s="307"/>
      <c r="Z12" s="307"/>
    </row>
    <row r="13" spans="1:26" ht="17.399999999999999">
      <c r="A13" s="307"/>
      <c r="B13" s="307"/>
      <c r="D13" s="307"/>
      <c r="E13" s="422" t="s">
        <v>45</v>
      </c>
      <c r="F13" s="421"/>
      <c r="G13" s="421"/>
      <c r="H13" s="421"/>
      <c r="I13" s="421"/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</row>
    <row r="14" spans="1:26" ht="18">
      <c r="A14" s="307"/>
      <c r="B14" s="59" t="str">
        <f>'Rev &amp; Exp'!B4</f>
        <v>(USD in millions)</v>
      </c>
      <c r="D14" s="234"/>
      <c r="E14" s="15"/>
      <c r="F14" s="15"/>
      <c r="G14" s="15"/>
      <c r="H14" s="15"/>
      <c r="I14" s="15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  <c r="Z14" s="307"/>
    </row>
    <row r="15" spans="1:26" ht="17.399999999999999">
      <c r="A15" s="307"/>
      <c r="B15" s="61"/>
      <c r="C15" s="61"/>
      <c r="D15" s="61"/>
      <c r="E15" s="148" t="str">
        <f>Financials!C5</f>
        <v>Feb-2021</v>
      </c>
      <c r="F15" s="148" t="str">
        <f>Financials!D5</f>
        <v>Feb-2022</v>
      </c>
      <c r="G15" s="148" t="str">
        <f>Financials!E5</f>
        <v>Feb-2023</v>
      </c>
      <c r="H15" s="148" t="str">
        <f>Financials!F5</f>
        <v>Feb-2024</v>
      </c>
      <c r="I15" s="148" t="str">
        <f>Financials!G5</f>
        <v>Feb-2025</v>
      </c>
      <c r="J15" s="307"/>
      <c r="K15" s="307"/>
      <c r="L15" s="307"/>
      <c r="M15" s="307"/>
      <c r="N15" s="307"/>
      <c r="O15" s="307"/>
      <c r="P15" s="307"/>
      <c r="Q15" s="307"/>
      <c r="R15" s="307"/>
      <c r="S15" s="307"/>
      <c r="T15" s="307"/>
      <c r="U15" s="307"/>
      <c r="V15" s="307"/>
      <c r="W15" s="307"/>
      <c r="X15" s="307"/>
      <c r="Y15" s="307"/>
      <c r="Z15" s="307"/>
    </row>
    <row r="16" spans="1:26" ht="17.399999999999999">
      <c r="A16" s="307"/>
      <c r="B16" s="19"/>
      <c r="C16" s="8"/>
      <c r="D16" s="63"/>
      <c r="E16" s="63"/>
      <c r="F16" s="63"/>
      <c r="G16" s="63"/>
      <c r="H16" s="63"/>
      <c r="I16" s="63"/>
      <c r="J16" s="307"/>
      <c r="K16" s="307"/>
      <c r="L16" s="307"/>
      <c r="M16" s="307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  <c r="Z16" s="307"/>
    </row>
    <row r="17" spans="1:26" ht="17.399999999999999">
      <c r="A17" s="307"/>
      <c r="B17" s="19" t="s">
        <v>78</v>
      </c>
      <c r="C17" s="8"/>
      <c r="D17" s="63"/>
      <c r="E17" s="63">
        <f>Financials!C61</f>
        <v>132110</v>
      </c>
      <c r="F17" s="63">
        <f>Financials!D61</f>
        <v>151157</v>
      </c>
      <c r="G17" s="63">
        <f>Financials!E61</f>
        <v>157403</v>
      </c>
      <c r="H17" s="63">
        <f>Financials!F61</f>
        <v>152669</v>
      </c>
      <c r="I17" s="63">
        <f>Financials!G61</f>
        <v>159514</v>
      </c>
      <c r="J17" s="307"/>
      <c r="K17" s="307"/>
      <c r="L17" s="307"/>
      <c r="M17" s="307"/>
      <c r="N17" s="307"/>
      <c r="O17" s="307"/>
      <c r="P17" s="307"/>
      <c r="Q17" s="307"/>
      <c r="R17" s="307"/>
      <c r="S17" s="307"/>
      <c r="T17" s="307"/>
      <c r="U17" s="307"/>
      <c r="V17" s="307"/>
      <c r="W17" s="307"/>
      <c r="X17" s="307"/>
      <c r="Y17" s="307"/>
      <c r="Z17" s="307"/>
    </row>
    <row r="18" spans="1:26" ht="17.399999999999999">
      <c r="A18" s="307"/>
      <c r="B18" s="19" t="s">
        <v>79</v>
      </c>
      <c r="C18" s="8"/>
      <c r="D18" s="63">
        <f>AVERAGEIF(G17:I17,"&lt;&gt;0")</f>
        <v>156528.66666666666</v>
      </c>
      <c r="E18" s="235"/>
      <c r="F18" s="235"/>
      <c r="G18" s="235"/>
      <c r="H18" s="235"/>
      <c r="I18" s="235"/>
      <c r="J18" s="307"/>
      <c r="K18" s="307"/>
      <c r="L18" s="307"/>
      <c r="M18" s="307"/>
      <c r="N18" s="307"/>
      <c r="O18" s="307"/>
      <c r="P18" s="307"/>
      <c r="Q18" s="307"/>
      <c r="R18" s="307"/>
      <c r="S18" s="307"/>
      <c r="T18" s="307"/>
      <c r="U18" s="307"/>
      <c r="V18" s="307"/>
      <c r="W18" s="307"/>
      <c r="X18" s="307"/>
      <c r="Y18" s="307"/>
      <c r="Z18" s="307"/>
    </row>
    <row r="19" spans="1:26" ht="17.399999999999999">
      <c r="A19" s="307"/>
      <c r="B19" s="307"/>
      <c r="C19" s="8"/>
      <c r="D19" s="235"/>
      <c r="E19" s="235"/>
      <c r="F19" s="235"/>
      <c r="G19" s="235"/>
      <c r="H19" s="235"/>
      <c r="I19" s="235"/>
      <c r="J19" s="307"/>
      <c r="K19" s="307"/>
      <c r="L19" s="307"/>
      <c r="M19" s="307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</row>
    <row r="20" spans="1:26" ht="18">
      <c r="A20" s="307"/>
      <c r="B20" s="14" t="s">
        <v>80</v>
      </c>
      <c r="C20" s="8"/>
      <c r="D20" s="191"/>
      <c r="E20" s="236">
        <f>Financials!C80</f>
        <v>0.33951252743925514</v>
      </c>
      <c r="F20" s="236">
        <f>Financials!D80</f>
        <v>0.33628611311417927</v>
      </c>
      <c r="G20" s="236">
        <f>Financials!E80</f>
        <v>0.33530491794946732</v>
      </c>
      <c r="H20" s="236">
        <f>Financials!F80</f>
        <v>0.33379402498215094</v>
      </c>
      <c r="I20" s="236">
        <f>Financials!G80</f>
        <v>0.33419010243614983</v>
      </c>
      <c r="J20" s="307"/>
      <c r="K20" s="307"/>
      <c r="L20" s="307"/>
      <c r="M20" s="307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  <c r="Z20" s="307"/>
    </row>
    <row r="21" spans="1:26" ht="18">
      <c r="A21" s="307"/>
      <c r="B21" s="14" t="s">
        <v>81</v>
      </c>
      <c r="C21" s="8"/>
      <c r="D21" s="236">
        <f>AVERAGEIF(G20:I20,"&lt;&gt;0")</f>
        <v>0.33442968178925603</v>
      </c>
      <c r="E21" s="237"/>
      <c r="F21" s="237"/>
      <c r="G21" s="237"/>
      <c r="H21" s="237"/>
      <c r="I21" s="237"/>
      <c r="J21" s="307"/>
      <c r="K21" s="307"/>
      <c r="L21" s="307"/>
      <c r="M21" s="307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</row>
    <row r="22" spans="1:26" ht="9" customHeight="1">
      <c r="A22" s="307"/>
      <c r="B22" s="307"/>
      <c r="C22" s="8"/>
      <c r="D22" s="235"/>
      <c r="E22" s="235"/>
      <c r="F22" s="235"/>
      <c r="G22" s="235"/>
      <c r="H22" s="235"/>
      <c r="I22" s="235"/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07"/>
      <c r="V22" s="307"/>
      <c r="W22" s="307"/>
      <c r="X22" s="307"/>
      <c r="Y22" s="307"/>
      <c r="Z22" s="307"/>
    </row>
    <row r="23" spans="1:26" ht="17.399999999999999">
      <c r="A23" s="307"/>
      <c r="B23" s="65" t="s">
        <v>82</v>
      </c>
      <c r="C23" s="206"/>
      <c r="D23" s="66">
        <f>D18*D21</f>
        <v>52347.832184229854</v>
      </c>
      <c r="E23" s="235"/>
      <c r="F23" s="235"/>
      <c r="G23" s="235"/>
      <c r="H23" s="235"/>
      <c r="I23" s="235"/>
      <c r="J23" s="307"/>
      <c r="K23" s="307"/>
      <c r="L23" s="307"/>
      <c r="M23" s="307"/>
      <c r="N23" s="307"/>
      <c r="O23" s="307"/>
      <c r="P23" s="307"/>
      <c r="Q23" s="307"/>
      <c r="R23" s="307"/>
      <c r="S23" s="307"/>
      <c r="T23" s="307"/>
      <c r="U23" s="307"/>
      <c r="V23" s="307"/>
      <c r="W23" s="307"/>
      <c r="X23" s="307"/>
      <c r="Y23" s="307"/>
      <c r="Z23" s="307"/>
    </row>
    <row r="24" spans="1:26" ht="17.399999999999999">
      <c r="A24" s="307"/>
      <c r="B24" s="307"/>
      <c r="C24" s="8"/>
      <c r="D24" s="235"/>
      <c r="E24" s="235"/>
      <c r="F24" s="235"/>
      <c r="G24" s="235"/>
      <c r="H24" s="235"/>
      <c r="I24" s="235"/>
      <c r="J24" s="307"/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  <c r="Z24" s="307"/>
    </row>
    <row r="25" spans="1:26" ht="17.399999999999999">
      <c r="A25" s="307"/>
      <c r="B25" s="19" t="s">
        <v>83</v>
      </c>
      <c r="C25" s="8"/>
      <c r="D25" s="63"/>
      <c r="E25" s="63">
        <f>-Financials!C66</f>
        <v>0</v>
      </c>
      <c r="F25" s="63">
        <f>-Financials!D66</f>
        <v>0</v>
      </c>
      <c r="G25" s="63">
        <f>-Financials!E66</f>
        <v>0</v>
      </c>
      <c r="H25" s="63">
        <f>-Financials!F66</f>
        <v>0</v>
      </c>
      <c r="I25" s="63">
        <f>-Financials!G66</f>
        <v>0</v>
      </c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</row>
    <row r="26" spans="1:26" ht="17.399999999999999">
      <c r="A26" s="307"/>
      <c r="B26" s="19" t="s">
        <v>84</v>
      </c>
      <c r="C26" s="8"/>
      <c r="D26" s="63"/>
      <c r="E26" s="63">
        <f>-Financials!C65</f>
        <v>22447</v>
      </c>
      <c r="F26" s="63">
        <f>-Financials!D65</f>
        <v>25144</v>
      </c>
      <c r="G26" s="63">
        <f>-Financials!E65</f>
        <v>26284</v>
      </c>
      <c r="H26" s="63">
        <f>-Financials!F65</f>
        <v>26598</v>
      </c>
      <c r="I26" s="63">
        <f>-Financials!G65</f>
        <v>28748</v>
      </c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Y26" s="307"/>
      <c r="Z26" s="307"/>
    </row>
    <row r="27" spans="1:26" ht="17.399999999999999">
      <c r="A27" s="307"/>
      <c r="B27" s="67" t="s">
        <v>85</v>
      </c>
      <c r="C27" s="8"/>
      <c r="D27" s="63"/>
      <c r="E27" s="66">
        <f t="shared" ref="E27:I27" si="0">E25+E26</f>
        <v>22447</v>
      </c>
      <c r="F27" s="66">
        <f t="shared" si="0"/>
        <v>25144</v>
      </c>
      <c r="G27" s="66">
        <f t="shared" si="0"/>
        <v>26284</v>
      </c>
      <c r="H27" s="66">
        <f t="shared" si="0"/>
        <v>26598</v>
      </c>
      <c r="I27" s="66">
        <f t="shared" si="0"/>
        <v>28748</v>
      </c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Y27" s="307"/>
      <c r="Z27" s="307"/>
    </row>
    <row r="28" spans="1:26" ht="18">
      <c r="A28" s="307"/>
      <c r="B28" s="14" t="s">
        <v>44</v>
      </c>
      <c r="C28" s="8"/>
      <c r="D28" s="63"/>
      <c r="E28" s="236">
        <f t="shared" ref="E28:I28" si="1">E27/E17</f>
        <v>0.16991143743849821</v>
      </c>
      <c r="F28" s="236">
        <f t="shared" si="1"/>
        <v>0.1663436030087922</v>
      </c>
      <c r="G28" s="236">
        <f t="shared" si="1"/>
        <v>0.16698538147303418</v>
      </c>
      <c r="H28" s="236">
        <f t="shared" si="1"/>
        <v>0.17422004467180632</v>
      </c>
      <c r="I28" s="236">
        <f t="shared" si="1"/>
        <v>0.1802224256178141</v>
      </c>
      <c r="J28" s="307"/>
      <c r="K28" s="307"/>
      <c r="L28" s="307"/>
      <c r="M28" s="307"/>
      <c r="N28" s="307"/>
      <c r="O28" s="307"/>
      <c r="P28" s="307"/>
      <c r="Q28" s="307"/>
      <c r="R28" s="307"/>
      <c r="S28" s="307"/>
      <c r="T28" s="307"/>
      <c r="U28" s="307"/>
      <c r="V28" s="307"/>
      <c r="W28" s="307"/>
      <c r="X28" s="307"/>
      <c r="Y28" s="307"/>
      <c r="Z28" s="307"/>
    </row>
    <row r="29" spans="1:26" ht="17.399999999999999">
      <c r="A29" s="307"/>
      <c r="B29" s="307"/>
      <c r="C29" s="8"/>
      <c r="D29" s="235"/>
      <c r="E29" s="235"/>
      <c r="F29" s="235"/>
      <c r="G29" s="235"/>
      <c r="H29" s="235"/>
      <c r="I29" s="235"/>
      <c r="J29" s="307"/>
      <c r="K29" s="307"/>
      <c r="L29" s="307"/>
      <c r="M29" s="307"/>
      <c r="N29" s="307"/>
      <c r="O29" s="307"/>
      <c r="P29" s="307"/>
      <c r="Q29" s="307"/>
      <c r="R29" s="307"/>
      <c r="S29" s="307"/>
      <c r="T29" s="307"/>
      <c r="U29" s="307"/>
      <c r="V29" s="307"/>
      <c r="W29" s="307"/>
      <c r="X29" s="307"/>
      <c r="Y29" s="307"/>
      <c r="Z29" s="307"/>
    </row>
    <row r="30" spans="1:26" s="221" customFormat="1" ht="22.05" customHeight="1">
      <c r="A30" s="217"/>
      <c r="B30" s="222" t="s">
        <v>86</v>
      </c>
      <c r="C30" s="267"/>
      <c r="D30" s="224">
        <f>AVERAGEIF(G27:I27,"&lt;&gt;0")</f>
        <v>27210</v>
      </c>
      <c r="E30" s="224"/>
      <c r="F30" s="224"/>
      <c r="G30" s="224"/>
      <c r="H30" s="224"/>
      <c r="I30" s="224"/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</row>
    <row r="31" spans="1:26" s="221" customFormat="1" ht="22.95" customHeight="1">
      <c r="A31" s="217"/>
      <c r="B31" s="225" t="s">
        <v>87</v>
      </c>
      <c r="C31" s="268"/>
      <c r="D31" s="227">
        <f>D23-D30</f>
        <v>25137.832184229854</v>
      </c>
      <c r="E31" s="224"/>
      <c r="F31" s="224"/>
      <c r="G31" s="224"/>
      <c r="H31" s="224"/>
      <c r="I31" s="224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</row>
    <row r="32" spans="1:26" ht="17.399999999999999">
      <c r="A32" s="307"/>
      <c r="B32" s="307"/>
      <c r="C32" s="8"/>
      <c r="D32" s="235"/>
      <c r="E32" s="235"/>
      <c r="F32" s="235"/>
      <c r="G32" s="235"/>
      <c r="H32" s="235"/>
      <c r="I32" s="235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</row>
    <row r="33" spans="1:26" ht="18">
      <c r="A33" s="307"/>
      <c r="B33" s="14" t="s">
        <v>88</v>
      </c>
      <c r="C33" s="8"/>
      <c r="D33" s="236"/>
      <c r="E33" s="236">
        <f>Financials!C84</f>
        <v>0.24219578277771234</v>
      </c>
      <c r="F33" s="236">
        <f>Financials!D84</f>
        <v>0.244007912775452</v>
      </c>
      <c r="G33" s="236">
        <f>Financials!E84</f>
        <v>0.23899986653023089</v>
      </c>
      <c r="H33" s="236">
        <f>Financials!F84</f>
        <v>0.23996185504918691</v>
      </c>
      <c r="I33" s="236">
        <f>Financials!G84</f>
        <v>0.23704009069359991</v>
      </c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</row>
    <row r="34" spans="1:26" ht="18">
      <c r="A34" s="307"/>
      <c r="B34" s="14" t="s">
        <v>89</v>
      </c>
      <c r="C34" s="8"/>
      <c r="D34" s="236">
        <v>0.24021624289110077</v>
      </c>
      <c r="E34" s="238"/>
      <c r="F34" s="238"/>
      <c r="G34" s="238"/>
      <c r="H34" s="238"/>
      <c r="I34" s="238"/>
      <c r="J34" s="307"/>
      <c r="K34" s="307"/>
      <c r="L34" s="307"/>
      <c r="M34" s="307"/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7"/>
      <c r="Y34" s="307"/>
      <c r="Z34" s="307"/>
    </row>
    <row r="35" spans="1:26" ht="17.399999999999999">
      <c r="A35" s="307"/>
      <c r="B35" s="307"/>
      <c r="C35" s="8"/>
      <c r="D35" s="235"/>
      <c r="E35" s="235"/>
      <c r="F35" s="235"/>
      <c r="G35" s="235"/>
      <c r="H35" s="235"/>
      <c r="I35" s="235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  <c r="Z35" s="307"/>
    </row>
    <row r="36" spans="1:26" s="221" customFormat="1" ht="21" customHeight="1">
      <c r="A36" s="217"/>
      <c r="B36" s="225" t="s">
        <v>90</v>
      </c>
      <c r="C36" s="268"/>
      <c r="D36" s="227">
        <f>D31*(1-D34)</f>
        <v>19099.316582507166</v>
      </c>
      <c r="E36" s="224"/>
      <c r="F36" s="224"/>
      <c r="G36" s="224"/>
      <c r="H36" s="224"/>
      <c r="I36" s="224"/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</row>
    <row r="37" spans="1:26" ht="17.399999999999999">
      <c r="A37" s="307"/>
      <c r="B37" s="307"/>
      <c r="C37" s="8"/>
      <c r="D37" s="235"/>
      <c r="E37" s="235"/>
      <c r="F37" s="235"/>
      <c r="G37" s="235"/>
      <c r="H37" s="235"/>
      <c r="I37" s="235"/>
      <c r="J37" s="307"/>
      <c r="K37" s="307"/>
      <c r="L37" s="307"/>
      <c r="M37" s="307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  <c r="Z37" s="307"/>
    </row>
    <row r="38" spans="1:26" ht="17.399999999999999">
      <c r="A38" s="307"/>
      <c r="B38" s="307"/>
      <c r="C38" s="8"/>
      <c r="D38" s="235"/>
      <c r="E38" s="235"/>
      <c r="F38" s="235"/>
      <c r="G38" s="235"/>
      <c r="H38" s="235"/>
      <c r="I38" s="235"/>
      <c r="J38" s="307"/>
      <c r="K38" s="307"/>
      <c r="L38" s="307"/>
      <c r="M38" s="307"/>
      <c r="N38" s="307"/>
      <c r="O38" s="307"/>
      <c r="P38" s="307"/>
      <c r="Q38" s="307"/>
      <c r="R38" s="307"/>
      <c r="S38" s="307"/>
      <c r="T38" s="307"/>
      <c r="U38" s="307"/>
      <c r="V38" s="307"/>
      <c r="W38" s="307"/>
      <c r="X38" s="307"/>
      <c r="Y38" s="307"/>
      <c r="Z38" s="307"/>
    </row>
    <row r="39" spans="1:26" ht="17.399999999999999">
      <c r="A39" s="307"/>
      <c r="B39" s="19" t="s">
        <v>43</v>
      </c>
      <c r="C39" s="8"/>
      <c r="D39" s="63"/>
      <c r="E39" s="63">
        <f>'NWC &amp; Capex'!G37</f>
        <v>2463</v>
      </c>
      <c r="F39" s="63">
        <f>'NWC &amp; Capex'!H37</f>
        <v>2566</v>
      </c>
      <c r="G39" s="63">
        <f>'NWC &amp; Capex'!I37</f>
        <v>3119</v>
      </c>
      <c r="H39" s="63">
        <f>'NWC &amp; Capex'!J37</f>
        <v>3226</v>
      </c>
      <c r="I39" s="63">
        <f>'NWC &amp; Capex'!K37</f>
        <v>3485</v>
      </c>
      <c r="J39" s="307"/>
      <c r="K39" s="307"/>
      <c r="L39" s="307"/>
      <c r="M39" s="307"/>
      <c r="N39" s="307"/>
      <c r="O39" s="307"/>
      <c r="P39" s="307"/>
      <c r="Q39" s="307"/>
      <c r="R39" s="307"/>
      <c r="S39" s="307"/>
      <c r="T39" s="307"/>
      <c r="U39" s="307"/>
      <c r="V39" s="307"/>
      <c r="W39" s="307"/>
      <c r="X39" s="307"/>
      <c r="Y39" s="307"/>
      <c r="Z39" s="307"/>
    </row>
    <row r="40" spans="1:26" ht="17.399999999999999">
      <c r="A40" s="307"/>
      <c r="B40" s="19" t="s">
        <v>91</v>
      </c>
      <c r="C40" s="8"/>
      <c r="D40" s="63"/>
      <c r="E40" s="63">
        <f>Financials!C69</f>
        <v>2519</v>
      </c>
      <c r="F40" s="63">
        <f>Financials!D69</f>
        <v>2862</v>
      </c>
      <c r="G40" s="63">
        <f>Financials!E69</f>
        <v>2975</v>
      </c>
      <c r="H40" s="63">
        <f>Financials!F69</f>
        <v>3247</v>
      </c>
      <c r="I40" s="63">
        <f>Financials!G69</f>
        <v>3761</v>
      </c>
      <c r="J40" s="307"/>
      <c r="K40" s="307"/>
      <c r="L40" s="307"/>
      <c r="M40" s="307"/>
      <c r="N40" s="307"/>
      <c r="O40" s="307"/>
      <c r="P40" s="307"/>
      <c r="Q40" s="307"/>
      <c r="R40" s="307"/>
      <c r="S40" s="307"/>
      <c r="T40" s="307"/>
      <c r="U40" s="307"/>
      <c r="V40" s="307"/>
      <c r="W40" s="307"/>
      <c r="X40" s="307"/>
      <c r="Y40" s="307"/>
      <c r="Z40" s="307"/>
    </row>
    <row r="41" spans="1:26" ht="17.399999999999999">
      <c r="A41" s="307"/>
      <c r="B41" s="67" t="s">
        <v>92</v>
      </c>
      <c r="C41" s="8"/>
      <c r="D41" s="63"/>
      <c r="E41" s="66">
        <f t="shared" ref="E41:I41" si="2">E39-E40</f>
        <v>-56</v>
      </c>
      <c r="F41" s="66">
        <f t="shared" si="2"/>
        <v>-296</v>
      </c>
      <c r="G41" s="66">
        <f t="shared" si="2"/>
        <v>144</v>
      </c>
      <c r="H41" s="66">
        <f t="shared" si="2"/>
        <v>-21</v>
      </c>
      <c r="I41" s="66">
        <f t="shared" si="2"/>
        <v>-276</v>
      </c>
      <c r="J41" s="307"/>
      <c r="K41" s="307"/>
      <c r="L41" s="307"/>
      <c r="M41" s="307"/>
      <c r="N41" s="307"/>
      <c r="O41" s="307"/>
      <c r="P41" s="307"/>
      <c r="Q41" s="307"/>
      <c r="R41" s="307"/>
      <c r="S41" s="307"/>
      <c r="T41" s="307"/>
      <c r="U41" s="307"/>
      <c r="V41" s="307"/>
      <c r="W41" s="307"/>
      <c r="X41" s="307"/>
      <c r="Y41" s="307"/>
      <c r="Z41" s="307"/>
    </row>
    <row r="42" spans="1:26" ht="17.399999999999999">
      <c r="A42" s="307"/>
      <c r="B42" s="19" t="s">
        <v>93</v>
      </c>
      <c r="C42" s="8"/>
      <c r="D42" s="63">
        <f>AVERAGEIF(E41:I41,"&lt;&gt;0")</f>
        <v>-101</v>
      </c>
      <c r="E42" s="235"/>
      <c r="F42" s="235"/>
      <c r="G42" s="235"/>
      <c r="H42" s="235"/>
      <c r="I42" s="235"/>
      <c r="J42" s="307"/>
      <c r="K42" s="307"/>
      <c r="L42" s="307"/>
      <c r="M42" s="307"/>
      <c r="N42" s="307"/>
      <c r="O42" s="307"/>
      <c r="P42" s="307"/>
      <c r="Q42" s="307"/>
      <c r="R42" s="307"/>
      <c r="S42" s="307"/>
      <c r="T42" s="307"/>
      <c r="U42" s="307"/>
      <c r="V42" s="307"/>
      <c r="W42" s="307"/>
      <c r="X42" s="307"/>
      <c r="Y42" s="307"/>
      <c r="Z42" s="307"/>
    </row>
    <row r="43" spans="1:26" ht="17.399999999999999">
      <c r="A43" s="307"/>
      <c r="B43" s="307"/>
      <c r="C43" s="8"/>
      <c r="D43" s="235"/>
      <c r="E43" s="235"/>
      <c r="F43" s="235"/>
      <c r="G43" s="235"/>
      <c r="H43" s="235"/>
      <c r="I43" s="235"/>
      <c r="J43" s="307"/>
      <c r="K43" s="307"/>
      <c r="L43" s="307"/>
      <c r="M43" s="307"/>
      <c r="N43" s="307"/>
      <c r="O43" s="307"/>
      <c r="P43" s="307"/>
      <c r="Q43" s="307"/>
      <c r="R43" s="307"/>
      <c r="S43" s="307"/>
      <c r="T43" s="307"/>
      <c r="U43" s="307"/>
      <c r="V43" s="307"/>
      <c r="W43" s="307"/>
      <c r="X43" s="307"/>
      <c r="Y43" s="307"/>
      <c r="Z43" s="307"/>
    </row>
    <row r="44" spans="1:26" s="221" customFormat="1" ht="25.05" customHeight="1">
      <c r="A44" s="217"/>
      <c r="B44" s="218" t="s">
        <v>77</v>
      </c>
      <c r="C44" s="269"/>
      <c r="D44" s="220">
        <f>D36-D42</f>
        <v>19200.316582507166</v>
      </c>
      <c r="E44" s="270"/>
      <c r="F44" s="270"/>
      <c r="G44" s="270"/>
      <c r="H44" s="270"/>
      <c r="I44" s="270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</row>
    <row r="45" spans="1:26" ht="17.399999999999999">
      <c r="A45" s="307"/>
      <c r="B45" s="307"/>
      <c r="C45" s="8"/>
      <c r="D45" s="122"/>
      <c r="E45" s="122"/>
      <c r="F45" s="122"/>
      <c r="G45" s="122"/>
      <c r="H45" s="122"/>
      <c r="I45" s="122"/>
      <c r="J45" s="307"/>
      <c r="K45" s="307"/>
      <c r="L45" s="307"/>
      <c r="M45" s="307"/>
      <c r="N45" s="307"/>
      <c r="O45" s="307"/>
      <c r="P45" s="307"/>
      <c r="Q45" s="307"/>
      <c r="R45" s="307"/>
      <c r="S45" s="307"/>
      <c r="T45" s="307"/>
      <c r="U45" s="307"/>
      <c r="V45" s="307"/>
      <c r="W45" s="307"/>
      <c r="X45" s="307"/>
      <c r="Y45" s="307"/>
      <c r="Z45" s="307"/>
    </row>
    <row r="46" spans="1:26" ht="17.399999999999999">
      <c r="A46" s="307"/>
      <c r="B46" s="307"/>
      <c r="C46" s="8"/>
      <c r="D46" s="122"/>
      <c r="E46" s="122"/>
      <c r="F46" s="122"/>
      <c r="G46" s="122"/>
      <c r="H46" s="122"/>
      <c r="I46" s="122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7"/>
      <c r="Z46" s="307"/>
    </row>
    <row r="47" spans="1:26" ht="17.399999999999999">
      <c r="A47" s="307"/>
      <c r="B47" s="307"/>
      <c r="C47" s="8"/>
      <c r="D47" s="122"/>
      <c r="E47" s="122"/>
      <c r="F47" s="122"/>
      <c r="G47" s="122"/>
      <c r="H47" s="122"/>
      <c r="I47" s="122"/>
      <c r="J47" s="307"/>
      <c r="K47" s="307"/>
      <c r="L47" s="307"/>
      <c r="M47" s="307"/>
      <c r="N47" s="307"/>
      <c r="O47" s="307"/>
      <c r="P47" s="307"/>
      <c r="Q47" s="307"/>
      <c r="R47" s="307"/>
      <c r="S47" s="307"/>
      <c r="T47" s="307"/>
      <c r="U47" s="307"/>
      <c r="V47" s="307"/>
      <c r="W47" s="307"/>
      <c r="X47" s="307"/>
      <c r="Y47" s="307"/>
      <c r="Z47" s="307"/>
    </row>
    <row r="48" spans="1:26" ht="17.399999999999999">
      <c r="A48" s="307"/>
      <c r="B48" s="307"/>
      <c r="C48" s="8"/>
      <c r="D48" s="239" t="s">
        <v>13</v>
      </c>
      <c r="E48" s="239" t="s">
        <v>14</v>
      </c>
      <c r="F48" s="122"/>
      <c r="G48" s="122"/>
      <c r="H48" s="122"/>
      <c r="I48" s="122"/>
      <c r="J48" s="307"/>
      <c r="K48" s="307"/>
      <c r="L48" s="307"/>
      <c r="M48" s="307"/>
      <c r="N48" s="307"/>
      <c r="O48" s="307"/>
      <c r="P48" s="307"/>
      <c r="Q48" s="307"/>
      <c r="R48" s="307"/>
      <c r="S48" s="307"/>
      <c r="T48" s="307"/>
      <c r="U48" s="307"/>
      <c r="V48" s="307"/>
      <c r="W48" s="307"/>
      <c r="X48" s="307"/>
      <c r="Y48" s="307"/>
      <c r="Z48" s="307"/>
    </row>
    <row r="49" spans="1:26" ht="9" customHeight="1">
      <c r="A49" s="307"/>
      <c r="B49" s="307"/>
      <c r="C49" s="8"/>
      <c r="D49" s="122"/>
      <c r="E49" s="122"/>
      <c r="F49" s="122"/>
      <c r="G49" s="122"/>
      <c r="H49" s="122"/>
      <c r="I49" s="122"/>
      <c r="J49" s="307"/>
      <c r="K49" s="307"/>
      <c r="L49" s="307"/>
      <c r="M49" s="307"/>
      <c r="N49" s="307"/>
      <c r="O49" s="307"/>
      <c r="P49" s="307"/>
      <c r="Q49" s="307"/>
      <c r="R49" s="307"/>
      <c r="S49" s="307"/>
      <c r="T49" s="307"/>
      <c r="U49" s="307"/>
      <c r="V49" s="307"/>
      <c r="W49" s="307"/>
      <c r="X49" s="307"/>
      <c r="Y49" s="307"/>
      <c r="Z49" s="307"/>
    </row>
    <row r="50" spans="1:26" ht="17.399999999999999">
      <c r="A50" s="307"/>
      <c r="B50" s="19" t="s">
        <v>77</v>
      </c>
      <c r="C50" s="8"/>
      <c r="D50" s="63">
        <f>D44</f>
        <v>19200.316582507166</v>
      </c>
      <c r="E50" s="63">
        <f>D44</f>
        <v>19200.316582507166</v>
      </c>
      <c r="F50" s="122"/>
      <c r="G50" s="122"/>
      <c r="H50" s="122"/>
      <c r="I50" s="122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7"/>
      <c r="V50" s="307"/>
      <c r="W50" s="307"/>
      <c r="X50" s="307"/>
      <c r="Y50" s="307"/>
      <c r="Z50" s="307"/>
    </row>
    <row r="51" spans="1:26" ht="17.399999999999999">
      <c r="A51" s="307"/>
      <c r="B51" s="19" t="s">
        <v>94</v>
      </c>
      <c r="C51" s="8"/>
      <c r="D51" s="191">
        <f>WACC!E17</f>
        <v>8.1548772479152196E-2</v>
      </c>
      <c r="E51" s="191">
        <f>WACC!D17</f>
        <v>6.4329460766949911E-2</v>
      </c>
      <c r="F51" s="122"/>
      <c r="G51" s="122"/>
      <c r="H51" s="122"/>
      <c r="I51" s="122"/>
      <c r="J51" s="307"/>
      <c r="K51" s="307"/>
      <c r="L51" s="307"/>
      <c r="M51" s="307"/>
      <c r="N51" s="307"/>
      <c r="O51" s="307"/>
      <c r="P51" s="307"/>
      <c r="Q51" s="307"/>
      <c r="R51" s="307"/>
      <c r="S51" s="307"/>
      <c r="T51" s="307"/>
      <c r="U51" s="307"/>
      <c r="V51" s="307"/>
      <c r="W51" s="307"/>
      <c r="X51" s="307"/>
      <c r="Y51" s="307"/>
      <c r="Z51" s="307"/>
    </row>
    <row r="52" spans="1:26" ht="9.75" customHeight="1">
      <c r="A52" s="307"/>
      <c r="B52" s="307"/>
      <c r="C52" s="8"/>
      <c r="D52" s="235"/>
      <c r="E52" s="235"/>
      <c r="F52" s="122"/>
      <c r="G52" s="122"/>
      <c r="H52" s="122"/>
      <c r="I52" s="122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307"/>
      <c r="Z52" s="307"/>
    </row>
    <row r="53" spans="1:26" ht="17.399999999999999">
      <c r="A53" s="307"/>
      <c r="B53" s="65" t="s">
        <v>95</v>
      </c>
      <c r="C53" s="206"/>
      <c r="D53" s="66">
        <f t="shared" ref="D53:E53" si="3">D50/D51</f>
        <v>235445.80744505621</v>
      </c>
      <c r="E53" s="66">
        <f t="shared" si="3"/>
        <v>298468.48323609104</v>
      </c>
      <c r="F53" s="122"/>
      <c r="G53" s="122"/>
      <c r="H53" s="122"/>
      <c r="I53" s="122"/>
      <c r="J53" s="307"/>
      <c r="K53" s="307"/>
      <c r="L53" s="307"/>
      <c r="M53" s="307"/>
      <c r="N53" s="307"/>
      <c r="O53" s="307"/>
      <c r="P53" s="307"/>
      <c r="Q53" s="307"/>
      <c r="R53" s="307"/>
      <c r="S53" s="307"/>
      <c r="T53" s="307"/>
      <c r="U53" s="307"/>
      <c r="V53" s="307"/>
      <c r="W53" s="307"/>
      <c r="X53" s="307"/>
      <c r="Y53" s="307"/>
      <c r="Z53" s="307"/>
    </row>
    <row r="54" spans="1:26" ht="17.399999999999999">
      <c r="A54" s="307"/>
      <c r="B54" s="19" t="s">
        <v>96</v>
      </c>
      <c r="C54" s="8"/>
      <c r="D54" s="63">
        <f>'Terminal Value'!C29</f>
        <v>54330</v>
      </c>
      <c r="E54" s="63">
        <f>D54</f>
        <v>54330</v>
      </c>
      <c r="F54" s="122"/>
      <c r="G54" s="122"/>
      <c r="H54" s="122"/>
      <c r="I54" s="122"/>
      <c r="J54" s="307"/>
      <c r="K54" s="307"/>
      <c r="L54" s="307"/>
      <c r="M54" s="307"/>
      <c r="N54" s="307"/>
      <c r="O54" s="307"/>
      <c r="P54" s="307"/>
      <c r="Q54" s="307"/>
      <c r="R54" s="307"/>
      <c r="S54" s="307"/>
      <c r="T54" s="307"/>
      <c r="U54" s="307"/>
      <c r="V54" s="307"/>
      <c r="W54" s="307"/>
      <c r="X54" s="307"/>
      <c r="Y54" s="307"/>
      <c r="Z54" s="307"/>
    </row>
    <row r="55" spans="1:26" ht="9.75" customHeight="1">
      <c r="A55" s="307"/>
      <c r="B55" s="307"/>
      <c r="C55" s="8"/>
      <c r="D55" s="235"/>
      <c r="E55" s="235"/>
      <c r="F55" s="122"/>
      <c r="G55" s="122"/>
      <c r="H55" s="122"/>
      <c r="I55" s="122"/>
      <c r="J55" s="307"/>
      <c r="K55" s="307"/>
      <c r="L55" s="307"/>
      <c r="M55" s="307"/>
      <c r="N55" s="307"/>
      <c r="O55" s="307"/>
      <c r="P55" s="307"/>
      <c r="Q55" s="307"/>
      <c r="R55" s="307"/>
      <c r="S55" s="307"/>
      <c r="T55" s="307"/>
      <c r="U55" s="307"/>
      <c r="V55" s="307"/>
      <c r="W55" s="307"/>
      <c r="X55" s="307"/>
      <c r="Y55" s="307"/>
      <c r="Z55" s="307"/>
    </row>
    <row r="56" spans="1:26" ht="17.399999999999999">
      <c r="A56" s="307"/>
      <c r="B56" s="65" t="s">
        <v>97</v>
      </c>
      <c r="C56" s="206"/>
      <c r="D56" s="66">
        <f t="shared" ref="D56:E56" si="4">D53-D54</f>
        <v>181115.80744505621</v>
      </c>
      <c r="E56" s="66">
        <f t="shared" si="4"/>
        <v>244138.48323609104</v>
      </c>
      <c r="F56" s="122"/>
      <c r="G56" s="122"/>
      <c r="H56" s="122"/>
      <c r="I56" s="122"/>
      <c r="J56" s="307"/>
      <c r="K56" s="307"/>
      <c r="L56" s="307"/>
      <c r="M56" s="307"/>
      <c r="N56" s="307"/>
      <c r="O56" s="307"/>
      <c r="P56" s="307"/>
      <c r="Q56" s="307"/>
      <c r="R56" s="307"/>
      <c r="S56" s="307"/>
      <c r="T56" s="307"/>
      <c r="U56" s="307"/>
      <c r="V56" s="307"/>
      <c r="W56" s="307"/>
      <c r="X56" s="307"/>
      <c r="Y56" s="307"/>
      <c r="Z56" s="307"/>
    </row>
    <row r="57" spans="1:26" ht="17.399999999999999">
      <c r="A57" s="307"/>
      <c r="B57" s="19" t="s">
        <v>72</v>
      </c>
      <c r="C57" s="8"/>
      <c r="D57" s="63">
        <f>Master!E12</f>
        <v>995.51</v>
      </c>
      <c r="E57" s="63">
        <f>D57</f>
        <v>995.51</v>
      </c>
      <c r="F57" s="122"/>
      <c r="G57" s="122"/>
      <c r="H57" s="122"/>
      <c r="I57" s="122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7"/>
      <c r="Z57" s="307"/>
    </row>
    <row r="58" spans="1:26" ht="6.75" customHeight="1">
      <c r="A58" s="307"/>
      <c r="B58" s="307"/>
      <c r="C58" s="8"/>
      <c r="D58" s="235"/>
      <c r="E58" s="235"/>
      <c r="F58" s="122"/>
      <c r="G58" s="122"/>
      <c r="H58" s="122"/>
      <c r="I58" s="122"/>
      <c r="J58" s="307"/>
      <c r="K58" s="307"/>
      <c r="L58" s="307"/>
      <c r="M58" s="307"/>
      <c r="N58" s="307"/>
      <c r="O58" s="307"/>
      <c r="P58" s="307"/>
      <c r="Q58" s="307"/>
      <c r="R58" s="307"/>
      <c r="S58" s="307"/>
      <c r="T58" s="307"/>
      <c r="U58" s="307"/>
      <c r="V58" s="307"/>
      <c r="W58" s="307"/>
      <c r="X58" s="307"/>
      <c r="Y58" s="307"/>
      <c r="Z58" s="307"/>
    </row>
    <row r="59" spans="1:26" ht="17.399999999999999">
      <c r="A59" s="307"/>
      <c r="B59" s="65" t="str">
        <f>IF(Appendix!$H$11="Yes", "Fair price", _xludf.concat(_xludf.concat("Fair price (",Master!$E$11),")"))</f>
        <v>Fair price</v>
      </c>
      <c r="C59" s="206"/>
      <c r="D59" s="75">
        <f t="shared" ref="D59:E59" si="5">D56/D57</f>
        <v>181.93268520161146</v>
      </c>
      <c r="E59" s="75">
        <f t="shared" si="5"/>
        <v>245.23960908086411</v>
      </c>
      <c r="F59" s="122"/>
      <c r="G59" s="122"/>
      <c r="H59" s="122"/>
      <c r="I59" s="122"/>
      <c r="J59" s="307"/>
      <c r="K59" s="307"/>
      <c r="L59" s="307"/>
      <c r="M59" s="307"/>
      <c r="N59" s="307"/>
      <c r="O59" s="307"/>
      <c r="P59" s="307"/>
      <c r="Q59" s="307"/>
      <c r="R59" s="307"/>
      <c r="S59" s="307"/>
      <c r="T59" s="307"/>
      <c r="U59" s="307"/>
      <c r="V59" s="307"/>
      <c r="W59" s="307"/>
      <c r="X59" s="307"/>
      <c r="Y59" s="307"/>
      <c r="Z59" s="307"/>
    </row>
    <row r="60" spans="1:26" ht="17.399999999999999">
      <c r="A60" s="307"/>
      <c r="B60" s="76" t="str">
        <f>_xlfn.CONCAT(_xlfn.CONCAT("Fair price (",Master!$G$4),")")</f>
        <v>Fair price (USD)</v>
      </c>
      <c r="D60" s="77">
        <f>D59/Appendix!$H$13</f>
        <v>181.93268520161146</v>
      </c>
      <c r="E60" s="77">
        <f>E59/Appendix!$H$13</f>
        <v>245.23960908086411</v>
      </c>
      <c r="F60" s="77"/>
      <c r="G60" s="77"/>
      <c r="H60" s="122"/>
      <c r="I60" s="122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Z60" s="307"/>
    </row>
    <row r="61" spans="1:26" ht="17.399999999999999">
      <c r="A61" s="307"/>
      <c r="B61" s="307"/>
      <c r="C61" s="307"/>
      <c r="D61" s="122"/>
      <c r="E61" s="122"/>
      <c r="F61" s="122"/>
      <c r="G61" s="122"/>
      <c r="H61" s="122"/>
      <c r="I61" s="122"/>
      <c r="J61" s="307"/>
      <c r="K61" s="307"/>
      <c r="L61" s="307"/>
      <c r="M61" s="307"/>
      <c r="N61" s="307"/>
      <c r="O61" s="307"/>
      <c r="P61" s="307"/>
      <c r="Q61" s="307"/>
      <c r="R61" s="307"/>
      <c r="S61" s="307"/>
      <c r="T61" s="307"/>
      <c r="U61" s="307"/>
      <c r="V61" s="307"/>
      <c r="W61" s="307"/>
      <c r="X61" s="307"/>
      <c r="Y61" s="307"/>
      <c r="Z61" s="307"/>
    </row>
    <row r="62" spans="1:26" ht="17.399999999999999">
      <c r="A62" s="307"/>
      <c r="B62" s="307"/>
      <c r="C62" s="307"/>
      <c r="D62" s="122"/>
      <c r="E62" s="122"/>
      <c r="F62" s="122"/>
      <c r="G62" s="122"/>
      <c r="H62" s="122"/>
      <c r="I62" s="122"/>
      <c r="J62" s="307"/>
      <c r="K62" s="307"/>
      <c r="L62" s="307"/>
      <c r="M62" s="307"/>
      <c r="N62" s="307"/>
      <c r="O62" s="307"/>
      <c r="P62" s="307"/>
      <c r="Q62" s="307"/>
      <c r="R62" s="307"/>
      <c r="S62" s="307"/>
      <c r="T62" s="307"/>
      <c r="U62" s="307"/>
      <c r="V62" s="307"/>
      <c r="W62" s="307"/>
      <c r="X62" s="307"/>
      <c r="Y62" s="307"/>
      <c r="Z62" s="307"/>
    </row>
    <row r="63" spans="1:26" ht="17.399999999999999">
      <c r="A63" s="307"/>
      <c r="B63" s="307"/>
      <c r="C63" s="307"/>
      <c r="D63" s="122"/>
      <c r="E63" s="122"/>
      <c r="F63" s="122"/>
      <c r="G63" s="122"/>
      <c r="H63" s="122"/>
      <c r="I63" s="122"/>
      <c r="J63" s="307"/>
      <c r="K63" s="307"/>
      <c r="L63" s="307"/>
      <c r="M63" s="307"/>
      <c r="N63" s="307"/>
      <c r="O63" s="307"/>
      <c r="P63" s="307"/>
      <c r="Q63" s="307"/>
      <c r="R63" s="307"/>
      <c r="S63" s="307"/>
      <c r="T63" s="307"/>
      <c r="U63" s="307"/>
      <c r="V63" s="307"/>
      <c r="W63" s="307"/>
      <c r="X63" s="307"/>
      <c r="Y63" s="307"/>
      <c r="Z63" s="307"/>
    </row>
    <row r="64" spans="1:26" ht="17.399999999999999">
      <c r="A64" s="307"/>
      <c r="B64" s="307"/>
      <c r="C64" s="307"/>
      <c r="D64" s="122"/>
      <c r="E64" s="122"/>
      <c r="F64" s="122"/>
      <c r="G64" s="122"/>
      <c r="H64" s="122"/>
      <c r="I64" s="122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Z64" s="307"/>
    </row>
    <row r="65" spans="1:26" ht="17.399999999999999">
      <c r="A65" s="307"/>
      <c r="B65" s="307"/>
      <c r="C65" s="307"/>
      <c r="D65" s="122"/>
      <c r="E65" s="122"/>
      <c r="F65" s="122"/>
      <c r="G65" s="122"/>
      <c r="H65" s="122"/>
      <c r="I65" s="122"/>
      <c r="J65" s="307"/>
      <c r="K65" s="307"/>
      <c r="L65" s="307"/>
      <c r="M65" s="307"/>
      <c r="N65" s="307"/>
      <c r="O65" s="307"/>
      <c r="P65" s="307"/>
      <c r="Q65" s="307"/>
      <c r="R65" s="307"/>
      <c r="S65" s="307"/>
      <c r="T65" s="307"/>
      <c r="U65" s="307"/>
      <c r="V65" s="307"/>
      <c r="W65" s="307"/>
      <c r="X65" s="307"/>
      <c r="Y65" s="307"/>
      <c r="Z65" s="307"/>
    </row>
    <row r="66" spans="1:26" ht="17.399999999999999">
      <c r="A66" s="307"/>
      <c r="B66" s="307"/>
      <c r="C66" s="307"/>
      <c r="D66" s="122"/>
      <c r="E66" s="122"/>
      <c r="F66" s="122"/>
      <c r="G66" s="122"/>
      <c r="H66" s="122"/>
      <c r="I66" s="122"/>
      <c r="J66" s="307"/>
      <c r="K66" s="307"/>
      <c r="L66" s="307"/>
      <c r="M66" s="307"/>
      <c r="N66" s="307"/>
      <c r="O66" s="307"/>
      <c r="P66" s="307"/>
      <c r="Q66" s="307"/>
      <c r="R66" s="307"/>
      <c r="S66" s="307"/>
      <c r="T66" s="307"/>
      <c r="U66" s="307"/>
      <c r="V66" s="307"/>
      <c r="W66" s="307"/>
      <c r="X66" s="307"/>
      <c r="Y66" s="307"/>
      <c r="Z66" s="307"/>
    </row>
    <row r="67" spans="1:26" ht="17.399999999999999">
      <c r="A67" s="307"/>
      <c r="B67" s="307"/>
      <c r="C67" s="307"/>
      <c r="D67" s="122"/>
      <c r="E67" s="122"/>
      <c r="F67" s="122"/>
      <c r="G67" s="122"/>
      <c r="H67" s="122"/>
      <c r="I67" s="122"/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307"/>
      <c r="V67" s="307"/>
      <c r="W67" s="307"/>
      <c r="X67" s="307"/>
      <c r="Y67" s="307"/>
      <c r="Z67" s="307"/>
    </row>
    <row r="68" spans="1:26" ht="17.399999999999999">
      <c r="A68" s="307"/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  <c r="P68" s="307"/>
      <c r="Q68" s="307"/>
      <c r="R68" s="307"/>
      <c r="S68" s="307"/>
      <c r="T68" s="307"/>
      <c r="U68" s="307"/>
      <c r="V68" s="307"/>
      <c r="W68" s="307"/>
      <c r="X68" s="307"/>
      <c r="Y68" s="307"/>
      <c r="Z68" s="307"/>
    </row>
    <row r="69" spans="1:26" ht="17.399999999999999">
      <c r="A69" s="307"/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  <c r="Z69" s="307"/>
    </row>
    <row r="70" spans="1:26" ht="17.399999999999999">
      <c r="A70" s="307"/>
      <c r="B70" s="307"/>
      <c r="C70" s="307"/>
      <c r="D70" s="307"/>
      <c r="E70" s="307"/>
      <c r="F70" s="307"/>
      <c r="G70" s="307"/>
      <c r="H70" s="307"/>
      <c r="I70" s="307"/>
      <c r="J70" s="307"/>
      <c r="K70" s="307"/>
      <c r="L70" s="307"/>
      <c r="M70" s="307"/>
      <c r="N70" s="307"/>
      <c r="O70" s="307"/>
      <c r="P70" s="307"/>
      <c r="Q70" s="307"/>
      <c r="R70" s="307"/>
      <c r="S70" s="307"/>
      <c r="T70" s="307"/>
      <c r="U70" s="307"/>
      <c r="V70" s="307"/>
      <c r="W70" s="307"/>
      <c r="X70" s="307"/>
      <c r="Y70" s="307"/>
      <c r="Z70" s="307"/>
    </row>
    <row r="71" spans="1:26" ht="17.399999999999999">
      <c r="A71" s="307"/>
      <c r="B71" s="307"/>
      <c r="C71" s="307"/>
      <c r="D71" s="307"/>
      <c r="E71" s="307"/>
      <c r="F71" s="307"/>
      <c r="G71" s="307"/>
      <c r="H71" s="307"/>
      <c r="I71" s="307"/>
      <c r="J71" s="307"/>
      <c r="K71" s="307"/>
      <c r="L71" s="307"/>
      <c r="M71" s="307"/>
      <c r="N71" s="307"/>
      <c r="O71" s="307"/>
      <c r="P71" s="307"/>
      <c r="Q71" s="307"/>
      <c r="R71" s="307"/>
      <c r="S71" s="307"/>
      <c r="T71" s="307"/>
      <c r="U71" s="307"/>
      <c r="V71" s="307"/>
      <c r="W71" s="307"/>
      <c r="X71" s="307"/>
      <c r="Y71" s="307"/>
      <c r="Z71" s="307"/>
    </row>
    <row r="72" spans="1:26" ht="17.399999999999999">
      <c r="A72" s="307"/>
      <c r="B72" s="307"/>
      <c r="C72" s="307"/>
      <c r="D72" s="307"/>
      <c r="E72" s="307"/>
      <c r="F72" s="307"/>
      <c r="G72" s="307"/>
      <c r="H72" s="307"/>
      <c r="I72" s="307"/>
      <c r="J72" s="307"/>
      <c r="K72" s="307"/>
      <c r="L72" s="307"/>
      <c r="M72" s="307"/>
      <c r="N72" s="307"/>
      <c r="O72" s="307"/>
      <c r="P72" s="307"/>
      <c r="Q72" s="307"/>
      <c r="R72" s="307"/>
      <c r="S72" s="307"/>
      <c r="T72" s="307"/>
      <c r="U72" s="307"/>
      <c r="V72" s="307"/>
      <c r="W72" s="307"/>
      <c r="X72" s="307"/>
      <c r="Y72" s="307"/>
      <c r="Z72" s="307"/>
    </row>
    <row r="73" spans="1:26" ht="17.399999999999999">
      <c r="A73" s="307"/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307"/>
      <c r="P73" s="307"/>
      <c r="Q73" s="307"/>
      <c r="R73" s="307"/>
      <c r="S73" s="307"/>
      <c r="T73" s="307"/>
      <c r="U73" s="307"/>
      <c r="V73" s="307"/>
      <c r="W73" s="307"/>
      <c r="X73" s="307"/>
      <c r="Y73" s="307"/>
      <c r="Z73" s="307"/>
    </row>
    <row r="74" spans="1:26" ht="17.399999999999999">
      <c r="A74" s="307"/>
      <c r="B74" s="307"/>
      <c r="C74" s="307"/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7"/>
      <c r="Q74" s="307"/>
      <c r="R74" s="307"/>
      <c r="S74" s="307"/>
      <c r="T74" s="307"/>
      <c r="U74" s="307"/>
      <c r="V74" s="307"/>
      <c r="W74" s="307"/>
      <c r="X74" s="307"/>
      <c r="Y74" s="307"/>
      <c r="Z74" s="307"/>
    </row>
    <row r="75" spans="1:26" ht="17.399999999999999">
      <c r="A75" s="307"/>
      <c r="B75" s="307"/>
      <c r="C75" s="307"/>
      <c r="D75" s="307"/>
      <c r="E75" s="307"/>
      <c r="F75" s="307"/>
      <c r="G75" s="307"/>
      <c r="H75" s="307"/>
      <c r="I75" s="307"/>
      <c r="J75" s="307"/>
      <c r="K75" s="307"/>
      <c r="L75" s="307"/>
      <c r="M75" s="307"/>
      <c r="N75" s="307"/>
      <c r="O75" s="307"/>
      <c r="P75" s="307"/>
      <c r="Q75" s="307"/>
      <c r="R75" s="307"/>
      <c r="S75" s="307"/>
      <c r="T75" s="307"/>
      <c r="U75" s="307"/>
      <c r="V75" s="307"/>
      <c r="W75" s="307"/>
      <c r="X75" s="307"/>
      <c r="Y75" s="307"/>
      <c r="Z75" s="307"/>
    </row>
    <row r="76" spans="1:26" ht="17.399999999999999">
      <c r="A76" s="307"/>
      <c r="B76" s="307"/>
      <c r="C76" s="307"/>
      <c r="D76" s="307"/>
      <c r="E76" s="307"/>
      <c r="F76" s="307"/>
      <c r="G76" s="307"/>
      <c r="H76" s="307"/>
      <c r="I76" s="307"/>
      <c r="J76" s="307"/>
      <c r="K76" s="307"/>
      <c r="L76" s="307"/>
      <c r="M76" s="307"/>
      <c r="N76" s="307"/>
      <c r="O76" s="307"/>
      <c r="P76" s="307"/>
      <c r="Q76" s="307"/>
      <c r="R76" s="307"/>
      <c r="S76" s="307"/>
      <c r="T76" s="307"/>
      <c r="U76" s="307"/>
      <c r="V76" s="307"/>
      <c r="W76" s="307"/>
      <c r="X76" s="307"/>
      <c r="Y76" s="307"/>
      <c r="Z76" s="307"/>
    </row>
    <row r="77" spans="1:26" ht="17.399999999999999">
      <c r="A77" s="307"/>
      <c r="B77" s="307"/>
      <c r="C77" s="307"/>
      <c r="D77" s="307"/>
      <c r="E77" s="307"/>
      <c r="F77" s="307"/>
      <c r="G77" s="307"/>
      <c r="H77" s="307"/>
      <c r="I77" s="307"/>
      <c r="J77" s="307"/>
      <c r="K77" s="307"/>
      <c r="L77" s="307"/>
      <c r="M77" s="307"/>
      <c r="N77" s="307"/>
      <c r="O77" s="307"/>
      <c r="P77" s="307"/>
      <c r="Q77" s="307"/>
      <c r="R77" s="307"/>
      <c r="S77" s="307"/>
      <c r="T77" s="307"/>
      <c r="U77" s="307"/>
      <c r="V77" s="307"/>
      <c r="W77" s="307"/>
      <c r="X77" s="307"/>
      <c r="Y77" s="307"/>
      <c r="Z77" s="307"/>
    </row>
    <row r="78" spans="1:26" ht="17.399999999999999">
      <c r="A78" s="307"/>
      <c r="B78" s="307"/>
      <c r="C78" s="307"/>
      <c r="D78" s="307"/>
      <c r="E78" s="307"/>
      <c r="F78" s="307"/>
      <c r="G78" s="307"/>
      <c r="H78" s="307"/>
      <c r="I78" s="307"/>
      <c r="J78" s="307"/>
      <c r="K78" s="307"/>
      <c r="L78" s="307"/>
      <c r="M78" s="307"/>
      <c r="N78" s="307"/>
      <c r="O78" s="307"/>
      <c r="P78" s="307"/>
      <c r="Q78" s="307"/>
      <c r="R78" s="307"/>
      <c r="S78" s="307"/>
      <c r="T78" s="307"/>
      <c r="U78" s="307"/>
      <c r="V78" s="307"/>
      <c r="W78" s="307"/>
      <c r="X78" s="307"/>
      <c r="Y78" s="307"/>
      <c r="Z78" s="307"/>
    </row>
    <row r="79" spans="1:26" ht="17.399999999999999">
      <c r="A79" s="307"/>
      <c r="B79" s="307"/>
      <c r="C79" s="307"/>
      <c r="D79" s="307"/>
      <c r="E79" s="307"/>
      <c r="F79" s="307"/>
      <c r="G79" s="307"/>
      <c r="H79" s="307"/>
      <c r="I79" s="307"/>
      <c r="J79" s="307"/>
      <c r="K79" s="307"/>
      <c r="L79" s="307"/>
      <c r="M79" s="307"/>
      <c r="N79" s="307"/>
      <c r="O79" s="307"/>
      <c r="P79" s="307"/>
      <c r="Q79" s="307"/>
      <c r="R79" s="307"/>
      <c r="S79" s="307"/>
      <c r="T79" s="307"/>
      <c r="U79" s="307"/>
      <c r="V79" s="307"/>
      <c r="W79" s="307"/>
      <c r="X79" s="307"/>
      <c r="Y79" s="307"/>
      <c r="Z79" s="307"/>
    </row>
    <row r="80" spans="1:26" ht="17.399999999999999">
      <c r="A80" s="307"/>
      <c r="B80" s="307"/>
      <c r="C80" s="307"/>
      <c r="D80" s="307"/>
      <c r="E80" s="307"/>
      <c r="F80" s="307"/>
      <c r="G80" s="307"/>
      <c r="H80" s="307"/>
      <c r="I80" s="307"/>
      <c r="J80" s="307"/>
      <c r="K80" s="307"/>
      <c r="L80" s="307"/>
      <c r="M80" s="307"/>
      <c r="N80" s="307"/>
      <c r="O80" s="307"/>
      <c r="P80" s="307"/>
      <c r="Q80" s="307"/>
      <c r="R80" s="307"/>
      <c r="S80" s="307"/>
      <c r="T80" s="307"/>
      <c r="U80" s="307"/>
      <c r="V80" s="307"/>
      <c r="W80" s="307"/>
      <c r="X80" s="307"/>
      <c r="Y80" s="307"/>
      <c r="Z80" s="307"/>
    </row>
    <row r="81" spans="1:26" ht="17.399999999999999">
      <c r="A81" s="307"/>
      <c r="B81" s="307"/>
      <c r="C81" s="307"/>
      <c r="D81" s="307"/>
      <c r="E81" s="307"/>
      <c r="F81" s="307"/>
      <c r="G81" s="307"/>
      <c r="H81" s="307"/>
      <c r="I81" s="307"/>
      <c r="J81" s="307"/>
      <c r="K81" s="307"/>
      <c r="L81" s="307"/>
      <c r="M81" s="307"/>
      <c r="N81" s="307"/>
      <c r="O81" s="307"/>
      <c r="P81" s="307"/>
      <c r="Q81" s="307"/>
      <c r="R81" s="307"/>
      <c r="S81" s="307"/>
      <c r="T81" s="307"/>
      <c r="U81" s="307"/>
      <c r="V81" s="307"/>
      <c r="W81" s="307"/>
      <c r="X81" s="307"/>
      <c r="Y81" s="307"/>
      <c r="Z81" s="307"/>
    </row>
    <row r="82" spans="1:26" ht="17.399999999999999">
      <c r="A82" s="307"/>
      <c r="B82" s="307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  <c r="U82" s="307"/>
      <c r="V82" s="307"/>
      <c r="W82" s="307"/>
      <c r="X82" s="307"/>
      <c r="Y82" s="307"/>
      <c r="Z82" s="307"/>
    </row>
    <row r="83" spans="1:26" ht="17.399999999999999">
      <c r="A83" s="307"/>
      <c r="B83" s="307"/>
      <c r="C83" s="307"/>
      <c r="D83" s="307"/>
      <c r="E83" s="307"/>
      <c r="F83" s="307"/>
      <c r="G83" s="307"/>
      <c r="H83" s="307"/>
      <c r="I83" s="307"/>
      <c r="J83" s="307"/>
      <c r="K83" s="307"/>
      <c r="L83" s="307"/>
      <c r="M83" s="307"/>
      <c r="N83" s="307"/>
      <c r="O83" s="307"/>
      <c r="P83" s="307"/>
      <c r="Q83" s="307"/>
      <c r="R83" s="307"/>
      <c r="S83" s="307"/>
      <c r="T83" s="307"/>
      <c r="U83" s="307"/>
      <c r="V83" s="307"/>
      <c r="W83" s="307"/>
      <c r="X83" s="307"/>
      <c r="Y83" s="307"/>
      <c r="Z83" s="307"/>
    </row>
    <row r="84" spans="1:26" ht="17.399999999999999">
      <c r="A84" s="307"/>
      <c r="B84" s="307"/>
      <c r="C84" s="307"/>
      <c r="D84" s="307"/>
      <c r="E84" s="307"/>
      <c r="F84" s="307"/>
      <c r="G84" s="307"/>
      <c r="H84" s="307"/>
      <c r="I84" s="307"/>
      <c r="J84" s="307"/>
      <c r="K84" s="307"/>
      <c r="L84" s="307"/>
      <c r="M84" s="307"/>
      <c r="N84" s="307"/>
      <c r="O84" s="307"/>
      <c r="P84" s="307"/>
      <c r="Q84" s="307"/>
      <c r="R84" s="307"/>
      <c r="S84" s="307"/>
      <c r="T84" s="307"/>
      <c r="U84" s="307"/>
      <c r="V84" s="307"/>
      <c r="W84" s="307"/>
      <c r="X84" s="307"/>
      <c r="Y84" s="307"/>
      <c r="Z84" s="307"/>
    </row>
    <row r="85" spans="1:26" ht="17.399999999999999">
      <c r="A85" s="307"/>
      <c r="B85" s="307"/>
      <c r="C85" s="307"/>
      <c r="D85" s="307"/>
      <c r="E85" s="307"/>
      <c r="F85" s="307"/>
      <c r="G85" s="307"/>
      <c r="H85" s="307"/>
      <c r="I85" s="307"/>
      <c r="J85" s="307"/>
      <c r="K85" s="307"/>
      <c r="L85" s="307"/>
      <c r="M85" s="307"/>
      <c r="N85" s="307"/>
      <c r="O85" s="307"/>
      <c r="P85" s="307"/>
      <c r="Q85" s="307"/>
      <c r="R85" s="307"/>
      <c r="S85" s="307"/>
      <c r="T85" s="307"/>
      <c r="U85" s="307"/>
      <c r="V85" s="307"/>
      <c r="W85" s="307"/>
      <c r="X85" s="307"/>
      <c r="Y85" s="307"/>
      <c r="Z85" s="307"/>
    </row>
    <row r="86" spans="1:26" ht="17.399999999999999">
      <c r="A86" s="307"/>
      <c r="B86" s="307"/>
      <c r="C86" s="307"/>
      <c r="D86" s="307"/>
      <c r="E86" s="307"/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307"/>
      <c r="Q86" s="307"/>
      <c r="R86" s="307"/>
      <c r="S86" s="307"/>
      <c r="T86" s="307"/>
      <c r="U86" s="307"/>
      <c r="V86" s="307"/>
      <c r="W86" s="307"/>
      <c r="X86" s="307"/>
      <c r="Y86" s="307"/>
      <c r="Z86" s="307"/>
    </row>
    <row r="87" spans="1:26" ht="17.399999999999999">
      <c r="A87" s="307"/>
      <c r="B87" s="307"/>
      <c r="C87" s="307"/>
      <c r="D87" s="307"/>
      <c r="E87" s="307"/>
      <c r="F87" s="307"/>
      <c r="G87" s="307"/>
      <c r="H87" s="307"/>
      <c r="I87" s="307"/>
      <c r="J87" s="307"/>
      <c r="K87" s="307"/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  <c r="Z87" s="307"/>
    </row>
    <row r="88" spans="1:26" ht="17.399999999999999">
      <c r="A88" s="307"/>
      <c r="B88" s="307"/>
      <c r="C88" s="307"/>
      <c r="D88" s="307"/>
      <c r="E88" s="307"/>
      <c r="F88" s="307"/>
      <c r="G88" s="307"/>
      <c r="H88" s="307"/>
      <c r="I88" s="307"/>
      <c r="J88" s="307"/>
      <c r="K88" s="307"/>
      <c r="L88" s="307"/>
      <c r="M88" s="307"/>
      <c r="N88" s="307"/>
      <c r="O88" s="307"/>
      <c r="P88" s="307"/>
      <c r="Q88" s="307"/>
      <c r="R88" s="307"/>
      <c r="S88" s="307"/>
      <c r="T88" s="307"/>
      <c r="U88" s="307"/>
      <c r="V88" s="307"/>
      <c r="W88" s="307"/>
      <c r="X88" s="307"/>
      <c r="Y88" s="307"/>
      <c r="Z88" s="307"/>
    </row>
    <row r="89" spans="1:26" ht="17.399999999999999">
      <c r="A89" s="307"/>
      <c r="B89" s="307"/>
      <c r="C89" s="307"/>
      <c r="D89" s="307"/>
      <c r="E89" s="307"/>
      <c r="F89" s="307"/>
      <c r="G89" s="307"/>
      <c r="H89" s="307"/>
      <c r="I89" s="307"/>
      <c r="J89" s="307"/>
      <c r="K89" s="307"/>
      <c r="L89" s="307"/>
      <c r="M89" s="307"/>
      <c r="N89" s="307"/>
      <c r="O89" s="307"/>
      <c r="P89" s="307"/>
      <c r="Q89" s="307"/>
      <c r="R89" s="307"/>
      <c r="S89" s="307"/>
      <c r="T89" s="307"/>
      <c r="U89" s="307"/>
      <c r="V89" s="307"/>
      <c r="W89" s="307"/>
      <c r="X89" s="307"/>
      <c r="Y89" s="307"/>
      <c r="Z89" s="307"/>
    </row>
    <row r="90" spans="1:26" ht="17.399999999999999">
      <c r="A90" s="307"/>
      <c r="B90" s="307"/>
      <c r="C90" s="307"/>
      <c r="D90" s="307"/>
      <c r="E90" s="307"/>
      <c r="F90" s="307"/>
      <c r="G90" s="307"/>
      <c r="H90" s="307"/>
      <c r="I90" s="307"/>
      <c r="J90" s="307"/>
      <c r="K90" s="307"/>
      <c r="L90" s="307"/>
      <c r="M90" s="307"/>
      <c r="N90" s="307"/>
      <c r="O90" s="307"/>
      <c r="P90" s="307"/>
      <c r="Q90" s="307"/>
      <c r="R90" s="307"/>
      <c r="S90" s="307"/>
      <c r="T90" s="307"/>
      <c r="U90" s="307"/>
      <c r="V90" s="307"/>
      <c r="W90" s="307"/>
      <c r="X90" s="307"/>
      <c r="Y90" s="307"/>
      <c r="Z90" s="307"/>
    </row>
    <row r="91" spans="1:26" ht="17.399999999999999">
      <c r="A91" s="307"/>
      <c r="B91" s="307"/>
      <c r="C91" s="307"/>
      <c r="D91" s="307"/>
      <c r="E91" s="307"/>
      <c r="F91" s="307"/>
      <c r="G91" s="307"/>
      <c r="H91" s="307"/>
      <c r="I91" s="307"/>
      <c r="J91" s="307"/>
      <c r="K91" s="307"/>
      <c r="L91" s="307"/>
      <c r="M91" s="307"/>
      <c r="N91" s="307"/>
      <c r="O91" s="307"/>
      <c r="P91" s="307"/>
      <c r="Q91" s="307"/>
      <c r="R91" s="307"/>
      <c r="S91" s="307"/>
      <c r="T91" s="307"/>
      <c r="U91" s="307"/>
      <c r="V91" s="307"/>
      <c r="W91" s="307"/>
      <c r="X91" s="307"/>
      <c r="Y91" s="307"/>
      <c r="Z91" s="307"/>
    </row>
    <row r="92" spans="1:26" ht="17.399999999999999">
      <c r="A92" s="307"/>
      <c r="B92" s="307"/>
      <c r="C92" s="307"/>
      <c r="D92" s="307"/>
      <c r="E92" s="307"/>
      <c r="F92" s="307"/>
      <c r="G92" s="307"/>
      <c r="H92" s="307"/>
      <c r="I92" s="307"/>
      <c r="J92" s="307"/>
      <c r="K92" s="307"/>
      <c r="L92" s="307"/>
      <c r="M92" s="307"/>
      <c r="N92" s="307"/>
      <c r="O92" s="307"/>
      <c r="P92" s="307"/>
      <c r="Q92" s="307"/>
      <c r="R92" s="307"/>
      <c r="S92" s="307"/>
      <c r="T92" s="307"/>
      <c r="U92" s="307"/>
      <c r="V92" s="307"/>
      <c r="W92" s="307"/>
      <c r="X92" s="307"/>
      <c r="Y92" s="307"/>
      <c r="Z92" s="307"/>
    </row>
    <row r="93" spans="1:26" ht="17.399999999999999">
      <c r="A93" s="307"/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07"/>
      <c r="R93" s="307"/>
      <c r="S93" s="307"/>
      <c r="T93" s="307"/>
      <c r="U93" s="307"/>
      <c r="V93" s="307"/>
      <c r="W93" s="307"/>
      <c r="X93" s="307"/>
      <c r="Y93" s="307"/>
      <c r="Z93" s="307"/>
    </row>
    <row r="94" spans="1:26" ht="17.399999999999999">
      <c r="A94" s="307"/>
      <c r="B94" s="307"/>
      <c r="C94" s="307"/>
      <c r="D94" s="307"/>
      <c r="E94" s="307"/>
      <c r="F94" s="307"/>
      <c r="G94" s="307"/>
      <c r="H94" s="307"/>
      <c r="I94" s="307"/>
      <c r="J94" s="307"/>
      <c r="K94" s="307"/>
      <c r="L94" s="307"/>
      <c r="M94" s="307"/>
      <c r="N94" s="307"/>
      <c r="O94" s="307"/>
      <c r="P94" s="307"/>
      <c r="Q94" s="307"/>
      <c r="R94" s="307"/>
      <c r="S94" s="307"/>
      <c r="T94" s="307"/>
      <c r="U94" s="307"/>
      <c r="V94" s="307"/>
      <c r="W94" s="307"/>
      <c r="X94" s="307"/>
      <c r="Y94" s="307"/>
      <c r="Z94" s="307"/>
    </row>
    <row r="95" spans="1:26" ht="17.399999999999999">
      <c r="A95" s="307"/>
      <c r="B95" s="307"/>
      <c r="C95" s="307"/>
      <c r="D95" s="307"/>
      <c r="E95" s="307"/>
      <c r="F95" s="307"/>
      <c r="G95" s="307"/>
      <c r="H95" s="307"/>
      <c r="I95" s="307"/>
      <c r="J95" s="307"/>
      <c r="K95" s="307"/>
      <c r="L95" s="307"/>
      <c r="M95" s="307"/>
      <c r="N95" s="307"/>
      <c r="O95" s="307"/>
      <c r="P95" s="307"/>
      <c r="Q95" s="307"/>
      <c r="R95" s="307"/>
      <c r="S95" s="307"/>
      <c r="T95" s="307"/>
      <c r="U95" s="307"/>
      <c r="V95" s="307"/>
      <c r="W95" s="307"/>
      <c r="X95" s="307"/>
      <c r="Y95" s="307"/>
      <c r="Z95" s="307"/>
    </row>
    <row r="96" spans="1:26" ht="17.399999999999999">
      <c r="A96" s="307"/>
      <c r="B96" s="307"/>
      <c r="C96" s="307"/>
      <c r="D96" s="307"/>
      <c r="E96" s="307"/>
      <c r="F96" s="307"/>
      <c r="G96" s="307"/>
      <c r="H96" s="307"/>
      <c r="I96" s="307"/>
      <c r="J96" s="307"/>
      <c r="K96" s="307"/>
      <c r="L96" s="307"/>
      <c r="M96" s="307"/>
      <c r="N96" s="307"/>
      <c r="O96" s="307"/>
      <c r="P96" s="307"/>
      <c r="Q96" s="307"/>
      <c r="R96" s="307"/>
      <c r="S96" s="307"/>
      <c r="T96" s="307"/>
      <c r="U96" s="307"/>
      <c r="V96" s="307"/>
      <c r="W96" s="307"/>
      <c r="X96" s="307"/>
      <c r="Y96" s="307"/>
      <c r="Z96" s="307"/>
    </row>
    <row r="97" spans="1:26" ht="17.399999999999999">
      <c r="A97" s="307"/>
      <c r="B97" s="307"/>
      <c r="C97" s="307"/>
      <c r="D97" s="307"/>
      <c r="E97" s="307"/>
      <c r="F97" s="307"/>
      <c r="G97" s="307"/>
      <c r="H97" s="307"/>
      <c r="I97" s="307"/>
      <c r="J97" s="307"/>
      <c r="K97" s="307"/>
      <c r="L97" s="307"/>
      <c r="M97" s="307"/>
      <c r="N97" s="307"/>
      <c r="O97" s="307"/>
      <c r="P97" s="307"/>
      <c r="Q97" s="307"/>
      <c r="R97" s="307"/>
      <c r="S97" s="307"/>
      <c r="T97" s="307"/>
      <c r="U97" s="307"/>
      <c r="V97" s="307"/>
      <c r="W97" s="307"/>
      <c r="X97" s="307"/>
      <c r="Y97" s="307"/>
      <c r="Z97" s="307"/>
    </row>
    <row r="98" spans="1:26" ht="17.399999999999999">
      <c r="A98" s="307"/>
      <c r="B98" s="307"/>
      <c r="C98" s="307"/>
      <c r="D98" s="307"/>
      <c r="E98" s="307"/>
      <c r="F98" s="307"/>
      <c r="G98" s="307"/>
      <c r="H98" s="307"/>
      <c r="I98" s="307"/>
      <c r="J98" s="307"/>
      <c r="K98" s="307"/>
      <c r="L98" s="307"/>
      <c r="M98" s="307"/>
      <c r="N98" s="307"/>
      <c r="O98" s="307"/>
      <c r="P98" s="307"/>
      <c r="Q98" s="307"/>
      <c r="R98" s="307"/>
      <c r="S98" s="307"/>
      <c r="T98" s="307"/>
      <c r="U98" s="307"/>
      <c r="V98" s="307"/>
      <c r="W98" s="307"/>
      <c r="X98" s="307"/>
      <c r="Y98" s="307"/>
      <c r="Z98" s="307"/>
    </row>
    <row r="99" spans="1:26" ht="17.399999999999999">
      <c r="A99" s="307"/>
      <c r="B99" s="307"/>
      <c r="C99" s="307"/>
      <c r="D99" s="307"/>
      <c r="E99" s="307"/>
      <c r="F99" s="307"/>
      <c r="G99" s="307"/>
      <c r="H99" s="307"/>
      <c r="I99" s="307"/>
      <c r="J99" s="307"/>
      <c r="K99" s="307"/>
      <c r="L99" s="307"/>
      <c r="M99" s="307"/>
      <c r="N99" s="307"/>
      <c r="O99" s="307"/>
      <c r="P99" s="307"/>
      <c r="Q99" s="307"/>
      <c r="R99" s="307"/>
      <c r="S99" s="307"/>
      <c r="T99" s="307"/>
      <c r="U99" s="307"/>
      <c r="V99" s="307"/>
      <c r="W99" s="307"/>
      <c r="X99" s="307"/>
      <c r="Y99" s="307"/>
      <c r="Z99" s="307"/>
    </row>
    <row r="100" spans="1:26" ht="17.399999999999999">
      <c r="A100" s="307"/>
      <c r="B100" s="307"/>
      <c r="C100" s="307"/>
      <c r="D100" s="307"/>
      <c r="E100" s="307"/>
      <c r="F100" s="307"/>
      <c r="G100" s="307"/>
      <c r="H100" s="307"/>
      <c r="I100" s="307"/>
      <c r="J100" s="307"/>
      <c r="K100" s="307"/>
      <c r="L100" s="307"/>
      <c r="M100" s="307"/>
      <c r="N100" s="307"/>
      <c r="O100" s="307"/>
      <c r="P100" s="307"/>
      <c r="Q100" s="307"/>
      <c r="R100" s="307"/>
      <c r="S100" s="307"/>
      <c r="T100" s="307"/>
      <c r="U100" s="307"/>
      <c r="V100" s="307"/>
      <c r="W100" s="307"/>
      <c r="X100" s="307"/>
      <c r="Y100" s="307"/>
      <c r="Z100" s="307"/>
    </row>
    <row r="101" spans="1:26" ht="17.399999999999999">
      <c r="A101" s="307"/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  <c r="P101" s="307"/>
      <c r="Q101" s="307"/>
      <c r="R101" s="307"/>
      <c r="S101" s="307"/>
      <c r="T101" s="307"/>
      <c r="U101" s="307"/>
      <c r="V101" s="307"/>
      <c r="W101" s="307"/>
      <c r="X101" s="307"/>
      <c r="Y101" s="307"/>
      <c r="Z101" s="307"/>
    </row>
    <row r="102" spans="1:26" ht="17.399999999999999">
      <c r="A102" s="307"/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  <c r="P102" s="307"/>
      <c r="Q102" s="307"/>
      <c r="R102" s="307"/>
      <c r="S102" s="307"/>
      <c r="T102" s="307"/>
      <c r="U102" s="307"/>
      <c r="V102" s="307"/>
      <c r="W102" s="307"/>
      <c r="X102" s="307"/>
      <c r="Y102" s="307"/>
      <c r="Z102" s="307"/>
    </row>
    <row r="103" spans="1:26" ht="17.399999999999999">
      <c r="A103" s="307"/>
      <c r="B103" s="307"/>
      <c r="C103" s="307"/>
      <c r="D103" s="307"/>
      <c r="E103" s="307"/>
      <c r="F103" s="307"/>
      <c r="G103" s="307"/>
      <c r="H103" s="307"/>
      <c r="I103" s="307"/>
      <c r="J103" s="307"/>
      <c r="K103" s="307"/>
      <c r="L103" s="307"/>
      <c r="M103" s="307"/>
      <c r="N103" s="307"/>
      <c r="O103" s="307"/>
      <c r="P103" s="307"/>
      <c r="Q103" s="307"/>
      <c r="R103" s="307"/>
      <c r="S103" s="307"/>
      <c r="T103" s="307"/>
      <c r="U103" s="307"/>
      <c r="V103" s="307"/>
      <c r="W103" s="307"/>
      <c r="X103" s="307"/>
      <c r="Y103" s="307"/>
      <c r="Z103" s="307"/>
    </row>
    <row r="104" spans="1:26" ht="17.399999999999999">
      <c r="A104" s="307"/>
      <c r="B104" s="307"/>
      <c r="C104" s="307"/>
      <c r="D104" s="307"/>
      <c r="E104" s="307"/>
      <c r="F104" s="307"/>
      <c r="G104" s="307"/>
      <c r="H104" s="307"/>
      <c r="I104" s="307"/>
      <c r="J104" s="307"/>
      <c r="K104" s="307"/>
      <c r="L104" s="307"/>
      <c r="M104" s="307"/>
      <c r="N104" s="307"/>
      <c r="O104" s="307"/>
      <c r="P104" s="307"/>
      <c r="Q104" s="307"/>
      <c r="R104" s="307"/>
      <c r="S104" s="307"/>
      <c r="T104" s="307"/>
      <c r="U104" s="307"/>
      <c r="V104" s="307"/>
      <c r="W104" s="307"/>
      <c r="X104" s="307"/>
      <c r="Y104" s="307"/>
      <c r="Z104" s="307"/>
    </row>
    <row r="105" spans="1:26" ht="17.399999999999999">
      <c r="A105" s="307"/>
      <c r="B105" s="307"/>
      <c r="C105" s="307"/>
      <c r="D105" s="307"/>
      <c r="E105" s="307"/>
      <c r="F105" s="307"/>
      <c r="G105" s="307"/>
      <c r="H105" s="307"/>
      <c r="I105" s="307"/>
      <c r="J105" s="307"/>
      <c r="K105" s="307"/>
      <c r="L105" s="307"/>
      <c r="M105" s="307"/>
      <c r="N105" s="307"/>
      <c r="O105" s="307"/>
      <c r="P105" s="307"/>
      <c r="Q105" s="307"/>
      <c r="R105" s="307"/>
      <c r="S105" s="307"/>
      <c r="T105" s="307"/>
      <c r="U105" s="307"/>
      <c r="V105" s="307"/>
      <c r="W105" s="307"/>
      <c r="X105" s="307"/>
      <c r="Y105" s="307"/>
      <c r="Z105" s="307"/>
    </row>
    <row r="106" spans="1:26" ht="17.399999999999999">
      <c r="A106" s="307"/>
      <c r="B106" s="307"/>
      <c r="C106" s="307"/>
      <c r="D106" s="307"/>
      <c r="E106" s="307"/>
      <c r="F106" s="307"/>
      <c r="G106" s="307"/>
      <c r="H106" s="307"/>
      <c r="I106" s="307"/>
      <c r="J106" s="307"/>
      <c r="K106" s="307"/>
      <c r="L106" s="307"/>
      <c r="M106" s="307"/>
      <c r="N106" s="307"/>
      <c r="O106" s="307"/>
      <c r="P106" s="307"/>
      <c r="Q106" s="307"/>
      <c r="R106" s="307"/>
      <c r="S106" s="307"/>
      <c r="T106" s="307"/>
      <c r="U106" s="307"/>
      <c r="V106" s="307"/>
      <c r="W106" s="307"/>
      <c r="X106" s="307"/>
      <c r="Y106" s="307"/>
      <c r="Z106" s="307"/>
    </row>
    <row r="107" spans="1:26" ht="17.399999999999999">
      <c r="A107" s="307"/>
      <c r="B107" s="307"/>
      <c r="C107" s="307"/>
      <c r="D107" s="307"/>
      <c r="E107" s="307"/>
      <c r="F107" s="307"/>
      <c r="G107" s="307"/>
      <c r="H107" s="307"/>
      <c r="I107" s="307"/>
      <c r="J107" s="307"/>
      <c r="K107" s="307"/>
      <c r="L107" s="307"/>
      <c r="M107" s="307"/>
      <c r="N107" s="307"/>
      <c r="O107" s="307"/>
      <c r="P107" s="307"/>
      <c r="Q107" s="307"/>
      <c r="R107" s="307"/>
      <c r="S107" s="307"/>
      <c r="T107" s="307"/>
      <c r="U107" s="307"/>
      <c r="V107" s="307"/>
      <c r="W107" s="307"/>
      <c r="X107" s="307"/>
      <c r="Y107" s="307"/>
      <c r="Z107" s="307"/>
    </row>
    <row r="108" spans="1:26" ht="17.399999999999999">
      <c r="A108" s="307"/>
      <c r="B108" s="307"/>
      <c r="C108" s="307"/>
      <c r="D108" s="307"/>
      <c r="E108" s="307"/>
      <c r="F108" s="307"/>
      <c r="G108" s="307"/>
      <c r="H108" s="307"/>
      <c r="I108" s="307"/>
      <c r="J108" s="307"/>
      <c r="K108" s="307"/>
      <c r="L108" s="307"/>
      <c r="M108" s="307"/>
      <c r="N108" s="307"/>
      <c r="O108" s="307"/>
      <c r="P108" s="307"/>
      <c r="Q108" s="307"/>
      <c r="R108" s="307"/>
      <c r="S108" s="307"/>
      <c r="T108" s="307"/>
      <c r="U108" s="307"/>
      <c r="V108" s="307"/>
      <c r="W108" s="307"/>
      <c r="X108" s="307"/>
      <c r="Y108" s="307"/>
      <c r="Z108" s="307"/>
    </row>
    <row r="109" spans="1:26" ht="17.399999999999999">
      <c r="A109" s="307"/>
      <c r="B109" s="307"/>
      <c r="C109" s="307"/>
      <c r="D109" s="307"/>
      <c r="E109" s="307"/>
      <c r="F109" s="307"/>
      <c r="G109" s="307"/>
      <c r="H109" s="307"/>
      <c r="I109" s="307"/>
      <c r="J109" s="307"/>
      <c r="K109" s="307"/>
      <c r="L109" s="307"/>
      <c r="M109" s="307"/>
      <c r="N109" s="307"/>
      <c r="O109" s="307"/>
      <c r="P109" s="307"/>
      <c r="Q109" s="307"/>
      <c r="R109" s="307"/>
      <c r="S109" s="307"/>
      <c r="T109" s="307"/>
      <c r="U109" s="307"/>
      <c r="V109" s="307"/>
      <c r="W109" s="307"/>
      <c r="X109" s="307"/>
      <c r="Y109" s="307"/>
      <c r="Z109" s="307"/>
    </row>
    <row r="110" spans="1:26" ht="17.399999999999999">
      <c r="A110" s="307"/>
      <c r="B110" s="307"/>
      <c r="C110" s="307"/>
      <c r="D110" s="307"/>
      <c r="E110" s="307"/>
      <c r="F110" s="307"/>
      <c r="G110" s="307"/>
      <c r="H110" s="307"/>
      <c r="I110" s="307"/>
      <c r="J110" s="307"/>
      <c r="K110" s="307"/>
      <c r="L110" s="307"/>
      <c r="M110" s="307"/>
      <c r="N110" s="307"/>
      <c r="O110" s="307"/>
      <c r="P110" s="307"/>
      <c r="Q110" s="307"/>
      <c r="R110" s="307"/>
      <c r="S110" s="307"/>
      <c r="T110" s="307"/>
      <c r="U110" s="307"/>
      <c r="V110" s="307"/>
      <c r="W110" s="307"/>
      <c r="X110" s="307"/>
      <c r="Y110" s="307"/>
      <c r="Z110" s="307"/>
    </row>
    <row r="111" spans="1:26" ht="17.399999999999999">
      <c r="A111" s="307"/>
      <c r="B111" s="307"/>
      <c r="C111" s="307"/>
      <c r="D111" s="307"/>
      <c r="E111" s="307"/>
      <c r="F111" s="307"/>
      <c r="G111" s="307"/>
      <c r="H111" s="307"/>
      <c r="I111" s="307"/>
      <c r="J111" s="307"/>
      <c r="K111" s="307"/>
      <c r="L111" s="307"/>
      <c r="M111" s="307"/>
      <c r="N111" s="307"/>
      <c r="O111" s="307"/>
      <c r="P111" s="307"/>
      <c r="Q111" s="307"/>
      <c r="R111" s="307"/>
      <c r="S111" s="307"/>
      <c r="T111" s="307"/>
      <c r="U111" s="307"/>
      <c r="V111" s="307"/>
      <c r="W111" s="307"/>
      <c r="X111" s="307"/>
      <c r="Y111" s="307"/>
      <c r="Z111" s="307"/>
    </row>
    <row r="112" spans="1:26" ht="17.399999999999999">
      <c r="A112" s="307"/>
      <c r="B112" s="307"/>
      <c r="C112" s="307"/>
      <c r="D112" s="307"/>
      <c r="E112" s="307"/>
      <c r="F112" s="307"/>
      <c r="G112" s="307"/>
      <c r="H112" s="307"/>
      <c r="I112" s="307"/>
      <c r="J112" s="307"/>
      <c r="K112" s="307"/>
      <c r="L112" s="307"/>
      <c r="M112" s="307"/>
      <c r="N112" s="307"/>
      <c r="O112" s="307"/>
      <c r="P112" s="307"/>
      <c r="Q112" s="307"/>
      <c r="R112" s="307"/>
      <c r="S112" s="307"/>
      <c r="T112" s="307"/>
      <c r="U112" s="307"/>
      <c r="V112" s="307"/>
      <c r="W112" s="307"/>
      <c r="X112" s="307"/>
      <c r="Y112" s="307"/>
      <c r="Z112" s="307"/>
    </row>
    <row r="113" spans="1:26" ht="17.399999999999999">
      <c r="A113" s="307"/>
      <c r="B113" s="307"/>
      <c r="C113" s="307"/>
      <c r="D113" s="307"/>
      <c r="E113" s="307"/>
      <c r="F113" s="307"/>
      <c r="G113" s="307"/>
      <c r="H113" s="307"/>
      <c r="I113" s="307"/>
      <c r="J113" s="307"/>
      <c r="K113" s="307"/>
      <c r="L113" s="307"/>
      <c r="M113" s="307"/>
      <c r="N113" s="307"/>
      <c r="O113" s="307"/>
      <c r="P113" s="307"/>
      <c r="Q113" s="307"/>
      <c r="R113" s="307"/>
      <c r="S113" s="307"/>
      <c r="T113" s="307"/>
      <c r="U113" s="307"/>
      <c r="V113" s="307"/>
      <c r="W113" s="307"/>
      <c r="X113" s="307"/>
      <c r="Y113" s="307"/>
      <c r="Z113" s="307"/>
    </row>
    <row r="114" spans="1:26" ht="17.399999999999999">
      <c r="A114" s="307"/>
      <c r="B114" s="307"/>
      <c r="C114" s="307"/>
      <c r="D114" s="307"/>
      <c r="E114" s="307"/>
      <c r="F114" s="307"/>
      <c r="G114" s="307"/>
      <c r="H114" s="307"/>
      <c r="I114" s="307"/>
      <c r="J114" s="307"/>
      <c r="K114" s="307"/>
      <c r="L114" s="307"/>
      <c r="M114" s="307"/>
      <c r="N114" s="307"/>
      <c r="O114" s="307"/>
      <c r="P114" s="307"/>
      <c r="Q114" s="307"/>
      <c r="R114" s="307"/>
      <c r="S114" s="307"/>
      <c r="T114" s="307"/>
      <c r="U114" s="307"/>
      <c r="V114" s="307"/>
      <c r="W114" s="307"/>
      <c r="X114" s="307"/>
      <c r="Y114" s="307"/>
      <c r="Z114" s="307"/>
    </row>
    <row r="115" spans="1:26" ht="17.399999999999999">
      <c r="A115" s="307"/>
      <c r="B115" s="307"/>
      <c r="C115" s="307"/>
      <c r="D115" s="307"/>
      <c r="E115" s="307"/>
      <c r="F115" s="307"/>
      <c r="G115" s="307"/>
      <c r="H115" s="307"/>
      <c r="I115" s="307"/>
      <c r="J115" s="307"/>
      <c r="K115" s="307"/>
      <c r="L115" s="307"/>
      <c r="M115" s="307"/>
      <c r="N115" s="307"/>
      <c r="O115" s="307"/>
      <c r="P115" s="307"/>
      <c r="Q115" s="307"/>
      <c r="R115" s="307"/>
      <c r="S115" s="307"/>
      <c r="T115" s="307"/>
      <c r="U115" s="307"/>
      <c r="V115" s="307"/>
      <c r="W115" s="307"/>
      <c r="X115" s="307"/>
      <c r="Y115" s="307"/>
      <c r="Z115" s="307"/>
    </row>
    <row r="116" spans="1:26" ht="17.399999999999999">
      <c r="A116" s="307"/>
      <c r="B116" s="307"/>
      <c r="C116" s="307"/>
      <c r="D116" s="307"/>
      <c r="E116" s="307"/>
      <c r="F116" s="307"/>
      <c r="G116" s="307"/>
      <c r="H116" s="307"/>
      <c r="I116" s="307"/>
      <c r="J116" s="307"/>
      <c r="K116" s="307"/>
      <c r="L116" s="307"/>
      <c r="M116" s="307"/>
      <c r="N116" s="307"/>
      <c r="O116" s="307"/>
      <c r="P116" s="307"/>
      <c r="Q116" s="307"/>
      <c r="R116" s="307"/>
      <c r="S116" s="307"/>
      <c r="T116" s="307"/>
      <c r="U116" s="307"/>
      <c r="V116" s="307"/>
      <c r="W116" s="307"/>
      <c r="X116" s="307"/>
      <c r="Y116" s="307"/>
      <c r="Z116" s="307"/>
    </row>
    <row r="117" spans="1:26" ht="17.399999999999999">
      <c r="A117" s="307"/>
      <c r="B117" s="307"/>
      <c r="C117" s="307"/>
      <c r="D117" s="307"/>
      <c r="E117" s="307"/>
      <c r="F117" s="307"/>
      <c r="G117" s="307"/>
      <c r="H117" s="307"/>
      <c r="I117" s="307"/>
      <c r="J117" s="307"/>
      <c r="K117" s="307"/>
      <c r="L117" s="307"/>
      <c r="M117" s="307"/>
      <c r="N117" s="307"/>
      <c r="O117" s="307"/>
      <c r="P117" s="307"/>
      <c r="Q117" s="307"/>
      <c r="R117" s="307"/>
      <c r="S117" s="307"/>
      <c r="T117" s="307"/>
      <c r="U117" s="307"/>
      <c r="V117" s="307"/>
      <c r="W117" s="307"/>
      <c r="X117" s="307"/>
      <c r="Y117" s="307"/>
      <c r="Z117" s="307"/>
    </row>
    <row r="118" spans="1:26" ht="17.399999999999999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07"/>
      <c r="P118" s="307"/>
      <c r="Q118" s="307"/>
      <c r="R118" s="307"/>
      <c r="S118" s="307"/>
      <c r="T118" s="307"/>
      <c r="U118" s="307"/>
      <c r="V118" s="307"/>
      <c r="W118" s="307"/>
      <c r="X118" s="307"/>
      <c r="Y118" s="307"/>
      <c r="Z118" s="307"/>
    </row>
    <row r="119" spans="1:26" ht="17.399999999999999">
      <c r="A119" s="307"/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07"/>
      <c r="P119" s="307"/>
      <c r="Q119" s="307"/>
      <c r="R119" s="307"/>
      <c r="S119" s="307"/>
      <c r="T119" s="307"/>
      <c r="U119" s="307"/>
      <c r="V119" s="307"/>
      <c r="W119" s="307"/>
      <c r="X119" s="307"/>
      <c r="Y119" s="307"/>
      <c r="Z119" s="307"/>
    </row>
    <row r="120" spans="1:26" ht="17.399999999999999">
      <c r="A120" s="307"/>
      <c r="B120" s="307"/>
      <c r="C120" s="307"/>
      <c r="D120" s="307"/>
      <c r="E120" s="307"/>
      <c r="F120" s="307"/>
      <c r="G120" s="307"/>
      <c r="H120" s="307"/>
      <c r="I120" s="307"/>
      <c r="J120" s="307"/>
      <c r="K120" s="307"/>
      <c r="L120" s="307"/>
      <c r="M120" s="307"/>
      <c r="N120" s="307"/>
      <c r="O120" s="307"/>
      <c r="P120" s="307"/>
      <c r="Q120" s="307"/>
      <c r="R120" s="307"/>
      <c r="S120" s="307"/>
      <c r="T120" s="307"/>
      <c r="U120" s="307"/>
      <c r="V120" s="307"/>
      <c r="W120" s="307"/>
      <c r="X120" s="307"/>
      <c r="Y120" s="307"/>
      <c r="Z120" s="307"/>
    </row>
    <row r="121" spans="1:26" ht="17.399999999999999">
      <c r="A121" s="307"/>
      <c r="B121" s="307"/>
      <c r="C121" s="307"/>
      <c r="D121" s="307"/>
      <c r="E121" s="307"/>
      <c r="F121" s="307"/>
      <c r="G121" s="307"/>
      <c r="H121" s="307"/>
      <c r="I121" s="307"/>
      <c r="J121" s="307"/>
      <c r="K121" s="307"/>
      <c r="L121" s="307"/>
      <c r="M121" s="307"/>
      <c r="N121" s="307"/>
      <c r="O121" s="307"/>
      <c r="P121" s="307"/>
      <c r="Q121" s="307"/>
      <c r="R121" s="307"/>
      <c r="S121" s="307"/>
      <c r="T121" s="307"/>
      <c r="U121" s="307"/>
      <c r="V121" s="307"/>
      <c r="W121" s="307"/>
      <c r="X121" s="307"/>
      <c r="Y121" s="307"/>
      <c r="Z121" s="307"/>
    </row>
    <row r="122" spans="1:26" ht="17.399999999999999">
      <c r="A122" s="307"/>
      <c r="B122" s="307"/>
      <c r="C122" s="307"/>
      <c r="D122" s="307"/>
      <c r="E122" s="307"/>
      <c r="F122" s="307"/>
      <c r="G122" s="307"/>
      <c r="H122" s="307"/>
      <c r="I122" s="307"/>
      <c r="J122" s="307"/>
      <c r="K122" s="307"/>
      <c r="L122" s="307"/>
      <c r="M122" s="307"/>
      <c r="N122" s="307"/>
      <c r="O122" s="307"/>
      <c r="P122" s="307"/>
      <c r="Q122" s="307"/>
      <c r="R122" s="307"/>
      <c r="S122" s="307"/>
      <c r="T122" s="307"/>
      <c r="U122" s="307"/>
      <c r="V122" s="307"/>
      <c r="W122" s="307"/>
      <c r="X122" s="307"/>
      <c r="Y122" s="307"/>
      <c r="Z122" s="307"/>
    </row>
    <row r="123" spans="1:26" ht="17.399999999999999">
      <c r="A123" s="307"/>
      <c r="B123" s="307"/>
      <c r="C123" s="307"/>
      <c r="D123" s="307"/>
      <c r="E123" s="307"/>
      <c r="F123" s="307"/>
      <c r="G123" s="307"/>
      <c r="H123" s="307"/>
      <c r="I123" s="307"/>
      <c r="J123" s="307"/>
      <c r="K123" s="307"/>
      <c r="L123" s="307"/>
      <c r="M123" s="307"/>
      <c r="N123" s="307"/>
      <c r="O123" s="307"/>
      <c r="P123" s="307"/>
      <c r="Q123" s="307"/>
      <c r="R123" s="307"/>
      <c r="S123" s="307"/>
      <c r="T123" s="307"/>
      <c r="U123" s="307"/>
      <c r="V123" s="307"/>
      <c r="W123" s="307"/>
      <c r="X123" s="307"/>
      <c r="Y123" s="307"/>
      <c r="Z123" s="307"/>
    </row>
    <row r="124" spans="1:26" ht="17.399999999999999">
      <c r="A124" s="307"/>
      <c r="B124" s="307"/>
      <c r="C124" s="307"/>
      <c r="D124" s="307"/>
      <c r="E124" s="307"/>
      <c r="F124" s="307"/>
      <c r="G124" s="307"/>
      <c r="H124" s="307"/>
      <c r="I124" s="307"/>
      <c r="J124" s="307"/>
      <c r="K124" s="307"/>
      <c r="L124" s="307"/>
      <c r="M124" s="307"/>
      <c r="N124" s="307"/>
      <c r="O124" s="307"/>
      <c r="P124" s="307"/>
      <c r="Q124" s="307"/>
      <c r="R124" s="307"/>
      <c r="S124" s="307"/>
      <c r="T124" s="307"/>
      <c r="U124" s="307"/>
      <c r="V124" s="307"/>
      <c r="W124" s="307"/>
      <c r="X124" s="307"/>
      <c r="Y124" s="307"/>
      <c r="Z124" s="307"/>
    </row>
    <row r="125" spans="1:26" ht="17.399999999999999">
      <c r="A125" s="307"/>
      <c r="B125" s="307"/>
      <c r="C125" s="307"/>
      <c r="D125" s="307"/>
      <c r="E125" s="307"/>
      <c r="F125" s="307"/>
      <c r="G125" s="307"/>
      <c r="H125" s="307"/>
      <c r="I125" s="307"/>
      <c r="J125" s="307"/>
      <c r="K125" s="307"/>
      <c r="L125" s="307"/>
      <c r="M125" s="307"/>
      <c r="N125" s="307"/>
      <c r="O125" s="307"/>
      <c r="P125" s="307"/>
      <c r="Q125" s="307"/>
      <c r="R125" s="307"/>
      <c r="S125" s="307"/>
      <c r="T125" s="307"/>
      <c r="U125" s="307"/>
      <c r="V125" s="307"/>
      <c r="W125" s="307"/>
      <c r="X125" s="307"/>
      <c r="Y125" s="307"/>
      <c r="Z125" s="307"/>
    </row>
    <row r="126" spans="1:26" ht="17.399999999999999">
      <c r="A126" s="307"/>
      <c r="B126" s="307"/>
      <c r="C126" s="307"/>
      <c r="D126" s="307"/>
      <c r="E126" s="307"/>
      <c r="F126" s="307"/>
      <c r="G126" s="307"/>
      <c r="H126" s="307"/>
      <c r="I126" s="307"/>
      <c r="J126" s="307"/>
      <c r="K126" s="307"/>
      <c r="L126" s="307"/>
      <c r="M126" s="307"/>
      <c r="N126" s="307"/>
      <c r="O126" s="307"/>
      <c r="P126" s="307"/>
      <c r="Q126" s="307"/>
      <c r="R126" s="307"/>
      <c r="S126" s="307"/>
      <c r="T126" s="307"/>
      <c r="U126" s="307"/>
      <c r="V126" s="307"/>
      <c r="W126" s="307"/>
      <c r="X126" s="307"/>
      <c r="Y126" s="307"/>
      <c r="Z126" s="307"/>
    </row>
    <row r="127" spans="1:26" ht="17.399999999999999">
      <c r="A127" s="307"/>
      <c r="B127" s="307"/>
      <c r="C127" s="307"/>
      <c r="D127" s="307"/>
      <c r="E127" s="307"/>
      <c r="F127" s="307"/>
      <c r="G127" s="307"/>
      <c r="H127" s="307"/>
      <c r="I127" s="307"/>
      <c r="J127" s="307"/>
      <c r="K127" s="307"/>
      <c r="L127" s="307"/>
      <c r="M127" s="307"/>
      <c r="N127" s="307"/>
      <c r="O127" s="307"/>
      <c r="P127" s="307"/>
      <c r="Q127" s="307"/>
      <c r="R127" s="307"/>
      <c r="S127" s="307"/>
      <c r="T127" s="307"/>
      <c r="U127" s="307"/>
      <c r="V127" s="307"/>
      <c r="W127" s="307"/>
      <c r="X127" s="307"/>
      <c r="Y127" s="307"/>
      <c r="Z127" s="307"/>
    </row>
    <row r="128" spans="1:26" ht="17.399999999999999">
      <c r="A128" s="307"/>
      <c r="B128" s="307"/>
      <c r="C128" s="307"/>
      <c r="D128" s="307"/>
      <c r="E128" s="307"/>
      <c r="F128" s="307"/>
      <c r="G128" s="307"/>
      <c r="H128" s="307"/>
      <c r="I128" s="307"/>
      <c r="J128" s="307"/>
      <c r="K128" s="307"/>
      <c r="L128" s="307"/>
      <c r="M128" s="307"/>
      <c r="N128" s="307"/>
      <c r="O128" s="307"/>
      <c r="P128" s="307"/>
      <c r="Q128" s="307"/>
      <c r="R128" s="307"/>
      <c r="S128" s="307"/>
      <c r="T128" s="307"/>
      <c r="U128" s="307"/>
      <c r="V128" s="307"/>
      <c r="W128" s="307"/>
      <c r="X128" s="307"/>
      <c r="Y128" s="307"/>
      <c r="Z128" s="307"/>
    </row>
    <row r="129" spans="1:26" ht="17.399999999999999">
      <c r="A129" s="307"/>
      <c r="B129" s="307"/>
      <c r="C129" s="307"/>
      <c r="D129" s="307"/>
      <c r="E129" s="307"/>
      <c r="F129" s="307"/>
      <c r="G129" s="307"/>
      <c r="H129" s="307"/>
      <c r="I129" s="307"/>
      <c r="J129" s="307"/>
      <c r="K129" s="307"/>
      <c r="L129" s="307"/>
      <c r="M129" s="307"/>
      <c r="N129" s="307"/>
      <c r="O129" s="307"/>
      <c r="P129" s="307"/>
      <c r="Q129" s="307"/>
      <c r="R129" s="307"/>
      <c r="S129" s="307"/>
      <c r="T129" s="307"/>
      <c r="U129" s="307"/>
      <c r="V129" s="307"/>
      <c r="W129" s="307"/>
      <c r="X129" s="307"/>
      <c r="Y129" s="307"/>
      <c r="Z129" s="307"/>
    </row>
    <row r="130" spans="1:26" ht="17.399999999999999">
      <c r="A130" s="307"/>
      <c r="B130" s="307"/>
      <c r="C130" s="307"/>
      <c r="D130" s="307"/>
      <c r="E130" s="307"/>
      <c r="F130" s="307"/>
      <c r="G130" s="307"/>
      <c r="H130" s="307"/>
      <c r="I130" s="307"/>
      <c r="J130" s="307"/>
      <c r="K130" s="307"/>
      <c r="L130" s="307"/>
      <c r="M130" s="307"/>
      <c r="N130" s="307"/>
      <c r="O130" s="307"/>
      <c r="P130" s="307"/>
      <c r="Q130" s="307"/>
      <c r="R130" s="307"/>
      <c r="S130" s="307"/>
      <c r="T130" s="307"/>
      <c r="U130" s="307"/>
      <c r="V130" s="307"/>
      <c r="W130" s="307"/>
      <c r="X130" s="307"/>
      <c r="Y130" s="307"/>
      <c r="Z130" s="307"/>
    </row>
    <row r="131" spans="1:26" ht="17.399999999999999">
      <c r="A131" s="307"/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07"/>
      <c r="P131" s="307"/>
      <c r="Q131" s="307"/>
      <c r="R131" s="307"/>
      <c r="S131" s="307"/>
      <c r="T131" s="307"/>
      <c r="U131" s="307"/>
      <c r="V131" s="307"/>
      <c r="W131" s="307"/>
      <c r="X131" s="307"/>
      <c r="Y131" s="307"/>
      <c r="Z131" s="307"/>
    </row>
    <row r="132" spans="1:26" ht="17.399999999999999">
      <c r="A132" s="307"/>
      <c r="B132" s="307"/>
      <c r="C132" s="307"/>
      <c r="D132" s="307"/>
      <c r="E132" s="307"/>
      <c r="F132" s="307"/>
      <c r="G132" s="307"/>
      <c r="H132" s="307"/>
      <c r="I132" s="307"/>
      <c r="J132" s="307"/>
      <c r="K132" s="307"/>
      <c r="L132" s="307"/>
      <c r="M132" s="307"/>
      <c r="N132" s="307"/>
      <c r="O132" s="307"/>
      <c r="P132" s="307"/>
      <c r="Q132" s="307"/>
      <c r="R132" s="307"/>
      <c r="S132" s="307"/>
      <c r="T132" s="307"/>
      <c r="U132" s="307"/>
      <c r="V132" s="307"/>
      <c r="W132" s="307"/>
      <c r="X132" s="307"/>
      <c r="Y132" s="307"/>
      <c r="Z132" s="307"/>
    </row>
    <row r="133" spans="1:26" ht="17.399999999999999">
      <c r="A133" s="307"/>
      <c r="B133" s="307"/>
      <c r="C133" s="307"/>
      <c r="D133" s="307"/>
      <c r="E133" s="307"/>
      <c r="F133" s="307"/>
      <c r="G133" s="307"/>
      <c r="H133" s="307"/>
      <c r="I133" s="307"/>
      <c r="J133" s="307"/>
      <c r="K133" s="307"/>
      <c r="L133" s="307"/>
      <c r="M133" s="307"/>
      <c r="N133" s="307"/>
      <c r="O133" s="307"/>
      <c r="P133" s="307"/>
      <c r="Q133" s="307"/>
      <c r="R133" s="307"/>
      <c r="S133" s="307"/>
      <c r="T133" s="307"/>
      <c r="U133" s="307"/>
      <c r="V133" s="307"/>
      <c r="W133" s="307"/>
      <c r="X133" s="307"/>
      <c r="Y133" s="307"/>
      <c r="Z133" s="307"/>
    </row>
    <row r="134" spans="1:26" ht="17.399999999999999">
      <c r="A134" s="307"/>
      <c r="B134" s="307"/>
      <c r="C134" s="307"/>
      <c r="D134" s="307"/>
      <c r="E134" s="307"/>
      <c r="F134" s="307"/>
      <c r="G134" s="307"/>
      <c r="H134" s="307"/>
      <c r="I134" s="307"/>
      <c r="J134" s="307"/>
      <c r="K134" s="307"/>
      <c r="L134" s="307"/>
      <c r="M134" s="307"/>
      <c r="N134" s="307"/>
      <c r="O134" s="307"/>
      <c r="P134" s="307"/>
      <c r="Q134" s="307"/>
      <c r="R134" s="307"/>
      <c r="S134" s="307"/>
      <c r="T134" s="307"/>
      <c r="U134" s="307"/>
      <c r="V134" s="307"/>
      <c r="W134" s="307"/>
      <c r="X134" s="307"/>
      <c r="Y134" s="307"/>
      <c r="Z134" s="307"/>
    </row>
    <row r="135" spans="1:26" ht="17.399999999999999">
      <c r="A135" s="307"/>
      <c r="B135" s="307"/>
      <c r="C135" s="307"/>
      <c r="D135" s="307"/>
      <c r="E135" s="307"/>
      <c r="F135" s="307"/>
      <c r="G135" s="307"/>
      <c r="H135" s="307"/>
      <c r="I135" s="307"/>
      <c r="J135" s="307"/>
      <c r="K135" s="307"/>
      <c r="L135" s="307"/>
      <c r="M135" s="307"/>
      <c r="N135" s="307"/>
      <c r="O135" s="307"/>
      <c r="P135" s="307"/>
      <c r="Q135" s="307"/>
      <c r="R135" s="307"/>
      <c r="S135" s="307"/>
      <c r="T135" s="307"/>
      <c r="U135" s="307"/>
      <c r="V135" s="307"/>
      <c r="W135" s="307"/>
      <c r="X135" s="307"/>
      <c r="Y135" s="307"/>
      <c r="Z135" s="307"/>
    </row>
    <row r="136" spans="1:26" ht="17.399999999999999">
      <c r="A136" s="307"/>
      <c r="B136" s="307"/>
      <c r="C136" s="307"/>
      <c r="D136" s="307"/>
      <c r="E136" s="307"/>
      <c r="F136" s="307"/>
      <c r="G136" s="307"/>
      <c r="H136" s="307"/>
      <c r="I136" s="307"/>
      <c r="J136" s="307"/>
      <c r="K136" s="307"/>
      <c r="L136" s="307"/>
      <c r="M136" s="307"/>
      <c r="N136" s="307"/>
      <c r="O136" s="307"/>
      <c r="P136" s="307"/>
      <c r="Q136" s="307"/>
      <c r="R136" s="307"/>
      <c r="S136" s="307"/>
      <c r="T136" s="307"/>
      <c r="U136" s="307"/>
      <c r="V136" s="307"/>
      <c r="W136" s="307"/>
      <c r="X136" s="307"/>
      <c r="Y136" s="307"/>
      <c r="Z136" s="307"/>
    </row>
    <row r="137" spans="1:26" ht="17.399999999999999">
      <c r="A137" s="307"/>
      <c r="B137" s="307"/>
      <c r="C137" s="307"/>
      <c r="D137" s="307"/>
      <c r="E137" s="307"/>
      <c r="F137" s="307"/>
      <c r="G137" s="307"/>
      <c r="H137" s="307"/>
      <c r="I137" s="307"/>
      <c r="J137" s="307"/>
      <c r="K137" s="307"/>
      <c r="L137" s="307"/>
      <c r="M137" s="307"/>
      <c r="N137" s="307"/>
      <c r="O137" s="307"/>
      <c r="P137" s="307"/>
      <c r="Q137" s="307"/>
      <c r="R137" s="307"/>
      <c r="S137" s="307"/>
      <c r="T137" s="307"/>
      <c r="U137" s="307"/>
      <c r="V137" s="307"/>
      <c r="W137" s="307"/>
      <c r="X137" s="307"/>
      <c r="Y137" s="307"/>
      <c r="Z137" s="307"/>
    </row>
    <row r="138" spans="1:26" ht="17.399999999999999">
      <c r="A138" s="307"/>
      <c r="B138" s="307"/>
      <c r="C138" s="307"/>
      <c r="D138" s="307"/>
      <c r="E138" s="307"/>
      <c r="F138" s="307"/>
      <c r="G138" s="307"/>
      <c r="H138" s="307"/>
      <c r="I138" s="307"/>
      <c r="J138" s="307"/>
      <c r="K138" s="307"/>
      <c r="L138" s="307"/>
      <c r="M138" s="307"/>
      <c r="N138" s="307"/>
      <c r="O138" s="307"/>
      <c r="P138" s="307"/>
      <c r="Q138" s="307"/>
      <c r="R138" s="307"/>
      <c r="S138" s="307"/>
      <c r="T138" s="307"/>
      <c r="U138" s="307"/>
      <c r="V138" s="307"/>
      <c r="W138" s="307"/>
      <c r="X138" s="307"/>
      <c r="Y138" s="307"/>
      <c r="Z138" s="307"/>
    </row>
    <row r="139" spans="1:26" ht="17.399999999999999">
      <c r="A139" s="307"/>
      <c r="B139" s="307"/>
      <c r="C139" s="307"/>
      <c r="D139" s="307"/>
      <c r="E139" s="307"/>
      <c r="F139" s="307"/>
      <c r="G139" s="307"/>
      <c r="H139" s="307"/>
      <c r="I139" s="307"/>
      <c r="J139" s="307"/>
      <c r="K139" s="307"/>
      <c r="L139" s="307"/>
      <c r="M139" s="307"/>
      <c r="N139" s="307"/>
      <c r="O139" s="307"/>
      <c r="P139" s="307"/>
      <c r="Q139" s="307"/>
      <c r="R139" s="307"/>
      <c r="S139" s="307"/>
      <c r="T139" s="307"/>
      <c r="U139" s="307"/>
      <c r="V139" s="307"/>
      <c r="W139" s="307"/>
      <c r="X139" s="307"/>
      <c r="Y139" s="307"/>
      <c r="Z139" s="307"/>
    </row>
    <row r="140" spans="1:26" ht="17.399999999999999">
      <c r="A140" s="307"/>
      <c r="B140" s="307"/>
      <c r="C140" s="307"/>
      <c r="D140" s="307"/>
      <c r="E140" s="307"/>
      <c r="F140" s="307"/>
      <c r="G140" s="307"/>
      <c r="H140" s="307"/>
      <c r="I140" s="307"/>
      <c r="J140" s="307"/>
      <c r="K140" s="307"/>
      <c r="L140" s="307"/>
      <c r="M140" s="307"/>
      <c r="N140" s="307"/>
      <c r="O140" s="307"/>
      <c r="P140" s="307"/>
      <c r="Q140" s="307"/>
      <c r="R140" s="307"/>
      <c r="S140" s="307"/>
      <c r="T140" s="307"/>
      <c r="U140" s="307"/>
      <c r="V140" s="307"/>
      <c r="W140" s="307"/>
      <c r="X140" s="307"/>
      <c r="Y140" s="307"/>
      <c r="Z140" s="307"/>
    </row>
    <row r="141" spans="1:26" ht="17.399999999999999">
      <c r="A141" s="307"/>
      <c r="B141" s="307"/>
      <c r="C141" s="307"/>
      <c r="D141" s="307"/>
      <c r="E141" s="307"/>
      <c r="F141" s="307"/>
      <c r="G141" s="307"/>
      <c r="H141" s="307"/>
      <c r="I141" s="307"/>
      <c r="J141" s="307"/>
      <c r="K141" s="307"/>
      <c r="L141" s="307"/>
      <c r="M141" s="307"/>
      <c r="N141" s="307"/>
      <c r="O141" s="307"/>
      <c r="P141" s="307"/>
      <c r="Q141" s="307"/>
      <c r="R141" s="307"/>
      <c r="S141" s="307"/>
      <c r="T141" s="307"/>
      <c r="U141" s="307"/>
      <c r="V141" s="307"/>
      <c r="W141" s="307"/>
      <c r="X141" s="307"/>
      <c r="Y141" s="307"/>
      <c r="Z141" s="307"/>
    </row>
    <row r="142" spans="1:26" ht="17.399999999999999">
      <c r="A142" s="307"/>
      <c r="B142" s="307"/>
      <c r="C142" s="307"/>
      <c r="D142" s="307"/>
      <c r="E142" s="307"/>
      <c r="F142" s="307"/>
      <c r="G142" s="307"/>
      <c r="H142" s="307"/>
      <c r="I142" s="307"/>
      <c r="J142" s="307"/>
      <c r="K142" s="307"/>
      <c r="L142" s="307"/>
      <c r="M142" s="307"/>
      <c r="N142" s="307"/>
      <c r="O142" s="307"/>
      <c r="P142" s="307"/>
      <c r="Q142" s="307"/>
      <c r="R142" s="307"/>
      <c r="S142" s="307"/>
      <c r="T142" s="307"/>
      <c r="U142" s="307"/>
      <c r="V142" s="307"/>
      <c r="W142" s="307"/>
      <c r="X142" s="307"/>
      <c r="Y142" s="307"/>
      <c r="Z142" s="307"/>
    </row>
    <row r="143" spans="1:26" ht="17.399999999999999">
      <c r="A143" s="307"/>
      <c r="B143" s="307"/>
      <c r="C143" s="307"/>
      <c r="D143" s="307"/>
      <c r="E143" s="307"/>
      <c r="F143" s="307"/>
      <c r="G143" s="307"/>
      <c r="H143" s="307"/>
      <c r="I143" s="307"/>
      <c r="J143" s="307"/>
      <c r="K143" s="307"/>
      <c r="L143" s="307"/>
      <c r="M143" s="307"/>
      <c r="N143" s="307"/>
      <c r="O143" s="307"/>
      <c r="P143" s="307"/>
      <c r="Q143" s="307"/>
      <c r="R143" s="307"/>
      <c r="S143" s="307"/>
      <c r="T143" s="307"/>
      <c r="U143" s="307"/>
      <c r="V143" s="307"/>
      <c r="W143" s="307"/>
      <c r="X143" s="307"/>
      <c r="Y143" s="307"/>
      <c r="Z143" s="307"/>
    </row>
    <row r="144" spans="1:26" ht="17.399999999999999">
      <c r="A144" s="307"/>
      <c r="B144" s="307"/>
      <c r="C144" s="307"/>
      <c r="D144" s="307"/>
      <c r="E144" s="307"/>
      <c r="F144" s="307"/>
      <c r="G144" s="307"/>
      <c r="H144" s="307"/>
      <c r="I144" s="307"/>
      <c r="J144" s="307"/>
      <c r="K144" s="307"/>
      <c r="L144" s="307"/>
      <c r="M144" s="307"/>
      <c r="N144" s="307"/>
      <c r="O144" s="307"/>
      <c r="P144" s="307"/>
      <c r="Q144" s="307"/>
      <c r="R144" s="307"/>
      <c r="S144" s="307"/>
      <c r="T144" s="307"/>
      <c r="U144" s="307"/>
      <c r="V144" s="307"/>
      <c r="W144" s="307"/>
      <c r="X144" s="307"/>
      <c r="Y144" s="307"/>
      <c r="Z144" s="307"/>
    </row>
    <row r="145" spans="1:26" ht="17.399999999999999">
      <c r="A145" s="307"/>
      <c r="B145" s="307"/>
      <c r="C145" s="307"/>
      <c r="D145" s="307"/>
      <c r="E145" s="307"/>
      <c r="F145" s="307"/>
      <c r="G145" s="307"/>
      <c r="H145" s="307"/>
      <c r="I145" s="307"/>
      <c r="J145" s="307"/>
      <c r="K145" s="307"/>
      <c r="L145" s="307"/>
      <c r="M145" s="307"/>
      <c r="N145" s="307"/>
      <c r="O145" s="307"/>
      <c r="P145" s="307"/>
      <c r="Q145" s="307"/>
      <c r="R145" s="307"/>
      <c r="S145" s="307"/>
      <c r="T145" s="307"/>
      <c r="U145" s="307"/>
      <c r="V145" s="307"/>
      <c r="W145" s="307"/>
      <c r="X145" s="307"/>
      <c r="Y145" s="307"/>
      <c r="Z145" s="307"/>
    </row>
    <row r="146" spans="1:26" ht="17.399999999999999">
      <c r="A146" s="307"/>
      <c r="B146" s="307"/>
      <c r="C146" s="307"/>
      <c r="D146" s="307"/>
      <c r="E146" s="307"/>
      <c r="F146" s="307"/>
      <c r="G146" s="307"/>
      <c r="H146" s="307"/>
      <c r="I146" s="307"/>
      <c r="J146" s="307"/>
      <c r="K146" s="307"/>
      <c r="L146" s="307"/>
      <c r="M146" s="307"/>
      <c r="N146" s="307"/>
      <c r="O146" s="307"/>
      <c r="P146" s="307"/>
      <c r="Q146" s="307"/>
      <c r="R146" s="307"/>
      <c r="S146" s="307"/>
      <c r="T146" s="307"/>
      <c r="U146" s="307"/>
      <c r="V146" s="307"/>
      <c r="W146" s="307"/>
      <c r="X146" s="307"/>
      <c r="Y146" s="307"/>
      <c r="Z146" s="307"/>
    </row>
    <row r="147" spans="1:26" ht="17.399999999999999">
      <c r="A147" s="307"/>
      <c r="B147" s="307"/>
      <c r="C147" s="307"/>
      <c r="D147" s="307"/>
      <c r="E147" s="307"/>
      <c r="F147" s="307"/>
      <c r="G147" s="307"/>
      <c r="H147" s="307"/>
      <c r="I147" s="307"/>
      <c r="J147" s="307"/>
      <c r="K147" s="307"/>
      <c r="L147" s="307"/>
      <c r="M147" s="307"/>
      <c r="N147" s="307"/>
      <c r="O147" s="307"/>
      <c r="P147" s="307"/>
      <c r="Q147" s="307"/>
      <c r="R147" s="307"/>
      <c r="S147" s="307"/>
      <c r="T147" s="307"/>
      <c r="U147" s="307"/>
      <c r="V147" s="307"/>
      <c r="W147" s="307"/>
      <c r="X147" s="307"/>
      <c r="Y147" s="307"/>
      <c r="Z147" s="307"/>
    </row>
    <row r="148" spans="1:26" ht="17.399999999999999">
      <c r="A148" s="307"/>
      <c r="B148" s="307"/>
      <c r="C148" s="307"/>
      <c r="D148" s="307"/>
      <c r="E148" s="307"/>
      <c r="F148" s="307"/>
      <c r="G148" s="307"/>
      <c r="H148" s="307"/>
      <c r="I148" s="307"/>
      <c r="J148" s="307"/>
      <c r="K148" s="307"/>
      <c r="L148" s="307"/>
      <c r="M148" s="307"/>
      <c r="N148" s="307"/>
      <c r="O148" s="307"/>
      <c r="P148" s="307"/>
      <c r="Q148" s="307"/>
      <c r="R148" s="307"/>
      <c r="S148" s="307"/>
      <c r="T148" s="307"/>
      <c r="U148" s="307"/>
      <c r="V148" s="307"/>
      <c r="W148" s="307"/>
      <c r="X148" s="307"/>
      <c r="Y148" s="307"/>
      <c r="Z148" s="307"/>
    </row>
    <row r="149" spans="1:26" ht="17.399999999999999">
      <c r="A149" s="307"/>
      <c r="B149" s="307"/>
      <c r="C149" s="307"/>
      <c r="D149" s="307"/>
      <c r="E149" s="307"/>
      <c r="F149" s="307"/>
      <c r="G149" s="307"/>
      <c r="H149" s="307"/>
      <c r="I149" s="307"/>
      <c r="J149" s="307"/>
      <c r="K149" s="307"/>
      <c r="L149" s="307"/>
      <c r="M149" s="307"/>
      <c r="N149" s="307"/>
      <c r="O149" s="307"/>
      <c r="P149" s="307"/>
      <c r="Q149" s="307"/>
      <c r="R149" s="307"/>
      <c r="S149" s="307"/>
      <c r="T149" s="307"/>
      <c r="U149" s="307"/>
      <c r="V149" s="307"/>
      <c r="W149" s="307"/>
      <c r="X149" s="307"/>
      <c r="Y149" s="307"/>
      <c r="Z149" s="307"/>
    </row>
    <row r="150" spans="1:26" ht="17.399999999999999">
      <c r="A150" s="307"/>
      <c r="B150" s="307"/>
      <c r="C150" s="307"/>
      <c r="D150" s="307"/>
      <c r="E150" s="307"/>
      <c r="F150" s="307"/>
      <c r="G150" s="307"/>
      <c r="H150" s="307"/>
      <c r="I150" s="307"/>
      <c r="J150" s="307"/>
      <c r="K150" s="307"/>
      <c r="L150" s="307"/>
      <c r="M150" s="307"/>
      <c r="N150" s="307"/>
      <c r="O150" s="307"/>
      <c r="P150" s="307"/>
      <c r="Q150" s="307"/>
      <c r="R150" s="307"/>
      <c r="S150" s="307"/>
      <c r="T150" s="307"/>
      <c r="U150" s="307"/>
      <c r="V150" s="307"/>
      <c r="W150" s="307"/>
      <c r="X150" s="307"/>
      <c r="Y150" s="307"/>
      <c r="Z150" s="307"/>
    </row>
    <row r="151" spans="1:26" ht="17.399999999999999">
      <c r="A151" s="307"/>
      <c r="B151" s="307"/>
      <c r="C151" s="307"/>
      <c r="D151" s="307"/>
      <c r="E151" s="307"/>
      <c r="F151" s="307"/>
      <c r="G151" s="307"/>
      <c r="H151" s="307"/>
      <c r="I151" s="307"/>
      <c r="J151" s="307"/>
      <c r="K151" s="307"/>
      <c r="L151" s="307"/>
      <c r="M151" s="307"/>
      <c r="N151" s="307"/>
      <c r="O151" s="307"/>
      <c r="P151" s="307"/>
      <c r="Q151" s="307"/>
      <c r="R151" s="307"/>
      <c r="S151" s="307"/>
      <c r="T151" s="307"/>
      <c r="U151" s="307"/>
      <c r="V151" s="307"/>
      <c r="W151" s="307"/>
      <c r="X151" s="307"/>
      <c r="Y151" s="307"/>
      <c r="Z151" s="307"/>
    </row>
    <row r="152" spans="1:26" ht="17.399999999999999">
      <c r="A152" s="307"/>
      <c r="B152" s="307"/>
      <c r="C152" s="307"/>
      <c r="D152" s="307"/>
      <c r="E152" s="307"/>
      <c r="F152" s="307"/>
      <c r="G152" s="307"/>
      <c r="H152" s="307"/>
      <c r="I152" s="307"/>
      <c r="J152" s="307"/>
      <c r="K152" s="307"/>
      <c r="L152" s="307"/>
      <c r="M152" s="307"/>
      <c r="N152" s="307"/>
      <c r="O152" s="307"/>
      <c r="P152" s="307"/>
      <c r="Q152" s="307"/>
      <c r="R152" s="307"/>
      <c r="S152" s="307"/>
      <c r="T152" s="307"/>
      <c r="U152" s="307"/>
      <c r="V152" s="307"/>
      <c r="W152" s="307"/>
      <c r="X152" s="307"/>
      <c r="Y152" s="307"/>
      <c r="Z152" s="307"/>
    </row>
    <row r="153" spans="1:26" ht="17.399999999999999">
      <c r="A153" s="307"/>
      <c r="B153" s="307"/>
      <c r="C153" s="307"/>
      <c r="D153" s="307"/>
      <c r="E153" s="307"/>
      <c r="F153" s="307"/>
      <c r="G153" s="307"/>
      <c r="H153" s="307"/>
      <c r="I153" s="307"/>
      <c r="J153" s="307"/>
      <c r="K153" s="307"/>
      <c r="L153" s="307"/>
      <c r="M153" s="307"/>
      <c r="N153" s="307"/>
      <c r="O153" s="307"/>
      <c r="P153" s="307"/>
      <c r="Q153" s="307"/>
      <c r="R153" s="307"/>
      <c r="S153" s="307"/>
      <c r="T153" s="307"/>
      <c r="U153" s="307"/>
      <c r="V153" s="307"/>
      <c r="W153" s="307"/>
      <c r="X153" s="307"/>
      <c r="Y153" s="307"/>
      <c r="Z153" s="307"/>
    </row>
    <row r="154" spans="1:26" ht="17.399999999999999">
      <c r="A154" s="307"/>
      <c r="B154" s="307"/>
      <c r="C154" s="307"/>
      <c r="D154" s="307"/>
      <c r="E154" s="307"/>
      <c r="F154" s="307"/>
      <c r="G154" s="307"/>
      <c r="H154" s="307"/>
      <c r="I154" s="307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  <c r="U154" s="307"/>
      <c r="V154" s="307"/>
      <c r="W154" s="307"/>
      <c r="X154" s="307"/>
      <c r="Y154" s="307"/>
      <c r="Z154" s="307"/>
    </row>
    <row r="155" spans="1:26" ht="17.399999999999999">
      <c r="A155" s="307"/>
      <c r="B155" s="307"/>
      <c r="C155" s="307"/>
      <c r="D155" s="307"/>
      <c r="E155" s="307"/>
      <c r="F155" s="307"/>
      <c r="G155" s="307"/>
      <c r="H155" s="307"/>
      <c r="I155" s="307"/>
      <c r="J155" s="307"/>
      <c r="K155" s="307"/>
      <c r="L155" s="307"/>
      <c r="M155" s="307"/>
      <c r="N155" s="307"/>
      <c r="O155" s="307"/>
      <c r="P155" s="307"/>
      <c r="Q155" s="307"/>
      <c r="R155" s="307"/>
      <c r="S155" s="307"/>
      <c r="T155" s="307"/>
      <c r="U155" s="307"/>
      <c r="V155" s="307"/>
      <c r="W155" s="307"/>
      <c r="X155" s="307"/>
      <c r="Y155" s="307"/>
      <c r="Z155" s="307"/>
    </row>
    <row r="156" spans="1:26" ht="17.399999999999999">
      <c r="A156" s="307"/>
      <c r="B156" s="307"/>
      <c r="C156" s="307"/>
      <c r="D156" s="307"/>
      <c r="E156" s="307"/>
      <c r="F156" s="307"/>
      <c r="G156" s="307"/>
      <c r="H156" s="307"/>
      <c r="I156" s="307"/>
      <c r="J156" s="307"/>
      <c r="K156" s="307"/>
      <c r="L156" s="307"/>
      <c r="M156" s="307"/>
      <c r="N156" s="307"/>
      <c r="O156" s="307"/>
      <c r="P156" s="307"/>
      <c r="Q156" s="307"/>
      <c r="R156" s="307"/>
      <c r="S156" s="307"/>
      <c r="T156" s="307"/>
      <c r="U156" s="307"/>
      <c r="V156" s="307"/>
      <c r="W156" s="307"/>
      <c r="X156" s="307"/>
      <c r="Y156" s="307"/>
      <c r="Z156" s="307"/>
    </row>
    <row r="157" spans="1:26" ht="17.399999999999999">
      <c r="A157" s="307"/>
      <c r="B157" s="307"/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  <c r="M157" s="307"/>
      <c r="N157" s="307"/>
      <c r="O157" s="307"/>
      <c r="P157" s="307"/>
      <c r="Q157" s="307"/>
      <c r="R157" s="307"/>
      <c r="S157" s="307"/>
      <c r="T157" s="307"/>
      <c r="U157" s="307"/>
      <c r="V157" s="307"/>
      <c r="W157" s="307"/>
      <c r="X157" s="307"/>
      <c r="Y157" s="307"/>
      <c r="Z157" s="307"/>
    </row>
    <row r="158" spans="1:26" ht="17.399999999999999">
      <c r="A158" s="307"/>
      <c r="B158" s="307"/>
      <c r="C158" s="307"/>
      <c r="D158" s="307"/>
      <c r="E158" s="307"/>
      <c r="F158" s="307"/>
      <c r="G158" s="307"/>
      <c r="H158" s="307"/>
      <c r="I158" s="307"/>
      <c r="J158" s="307"/>
      <c r="K158" s="307"/>
      <c r="L158" s="307"/>
      <c r="M158" s="307"/>
      <c r="N158" s="307"/>
      <c r="O158" s="307"/>
      <c r="P158" s="307"/>
      <c r="Q158" s="307"/>
      <c r="R158" s="307"/>
      <c r="S158" s="307"/>
      <c r="T158" s="307"/>
      <c r="U158" s="307"/>
      <c r="V158" s="307"/>
      <c r="W158" s="307"/>
      <c r="X158" s="307"/>
      <c r="Y158" s="307"/>
      <c r="Z158" s="307"/>
    </row>
    <row r="159" spans="1:26" ht="17.399999999999999">
      <c r="A159" s="307"/>
      <c r="B159" s="307"/>
      <c r="C159" s="307"/>
      <c r="D159" s="307"/>
      <c r="E159" s="307"/>
      <c r="F159" s="307"/>
      <c r="G159" s="307"/>
      <c r="H159" s="307"/>
      <c r="I159" s="307"/>
      <c r="J159" s="307"/>
      <c r="K159" s="307"/>
      <c r="L159" s="307"/>
      <c r="M159" s="307"/>
      <c r="N159" s="307"/>
      <c r="O159" s="307"/>
      <c r="P159" s="307"/>
      <c r="Q159" s="307"/>
      <c r="R159" s="307"/>
      <c r="S159" s="307"/>
      <c r="T159" s="307"/>
      <c r="U159" s="307"/>
      <c r="V159" s="307"/>
      <c r="W159" s="307"/>
      <c r="X159" s="307"/>
      <c r="Y159" s="307"/>
      <c r="Z159" s="307"/>
    </row>
    <row r="160" spans="1:26" ht="17.399999999999999">
      <c r="A160" s="307"/>
      <c r="B160" s="307"/>
      <c r="C160" s="307"/>
      <c r="D160" s="307"/>
      <c r="E160" s="307"/>
      <c r="F160" s="307"/>
      <c r="G160" s="307"/>
      <c r="H160" s="307"/>
      <c r="I160" s="307"/>
      <c r="J160" s="307"/>
      <c r="K160" s="307"/>
      <c r="L160" s="307"/>
      <c r="M160" s="307"/>
      <c r="N160" s="307"/>
      <c r="O160" s="307"/>
      <c r="P160" s="307"/>
      <c r="Q160" s="307"/>
      <c r="R160" s="307"/>
      <c r="S160" s="307"/>
      <c r="T160" s="307"/>
      <c r="U160" s="307"/>
      <c r="V160" s="307"/>
      <c r="W160" s="307"/>
      <c r="X160" s="307"/>
      <c r="Y160" s="307"/>
      <c r="Z160" s="307"/>
    </row>
    <row r="161" spans="1:26" ht="17.399999999999999">
      <c r="A161" s="307"/>
      <c r="B161" s="307"/>
      <c r="C161" s="307"/>
      <c r="D161" s="307"/>
      <c r="E161" s="307"/>
      <c r="F161" s="307"/>
      <c r="G161" s="307"/>
      <c r="H161" s="307"/>
      <c r="I161" s="307"/>
      <c r="J161" s="307"/>
      <c r="K161" s="307"/>
      <c r="L161" s="307"/>
      <c r="M161" s="307"/>
      <c r="N161" s="307"/>
      <c r="O161" s="307"/>
      <c r="P161" s="307"/>
      <c r="Q161" s="307"/>
      <c r="R161" s="307"/>
      <c r="S161" s="307"/>
      <c r="T161" s="307"/>
      <c r="U161" s="307"/>
      <c r="V161" s="307"/>
      <c r="W161" s="307"/>
      <c r="X161" s="307"/>
      <c r="Y161" s="307"/>
      <c r="Z161" s="307"/>
    </row>
    <row r="162" spans="1:26" ht="17.399999999999999">
      <c r="A162" s="307"/>
      <c r="B162" s="307"/>
      <c r="C162" s="307"/>
      <c r="D162" s="307"/>
      <c r="E162" s="307"/>
      <c r="F162" s="307"/>
      <c r="G162" s="307"/>
      <c r="H162" s="307"/>
      <c r="I162" s="307"/>
      <c r="J162" s="307"/>
      <c r="K162" s="307"/>
      <c r="L162" s="307"/>
      <c r="M162" s="307"/>
      <c r="N162" s="307"/>
      <c r="O162" s="307"/>
      <c r="P162" s="307"/>
      <c r="Q162" s="307"/>
      <c r="R162" s="307"/>
      <c r="S162" s="307"/>
      <c r="T162" s="307"/>
      <c r="U162" s="307"/>
      <c r="V162" s="307"/>
      <c r="W162" s="307"/>
      <c r="X162" s="307"/>
      <c r="Y162" s="307"/>
      <c r="Z162" s="307"/>
    </row>
    <row r="163" spans="1:26" ht="17.399999999999999">
      <c r="A163" s="307"/>
      <c r="B163" s="307"/>
      <c r="C163" s="307"/>
      <c r="D163" s="307"/>
      <c r="E163" s="307"/>
      <c r="F163" s="307"/>
      <c r="G163" s="307"/>
      <c r="H163" s="307"/>
      <c r="I163" s="307"/>
      <c r="J163" s="307"/>
      <c r="K163" s="307"/>
      <c r="L163" s="307"/>
      <c r="M163" s="307"/>
      <c r="N163" s="307"/>
      <c r="O163" s="307"/>
      <c r="P163" s="307"/>
      <c r="Q163" s="307"/>
      <c r="R163" s="307"/>
      <c r="S163" s="307"/>
      <c r="T163" s="307"/>
      <c r="U163" s="307"/>
      <c r="V163" s="307"/>
      <c r="W163" s="307"/>
      <c r="X163" s="307"/>
      <c r="Y163" s="307"/>
      <c r="Z163" s="307"/>
    </row>
    <row r="164" spans="1:26" ht="17.399999999999999">
      <c r="A164" s="307"/>
      <c r="B164" s="307"/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  <c r="M164" s="307"/>
      <c r="N164" s="307"/>
      <c r="O164" s="307"/>
      <c r="P164" s="307"/>
      <c r="Q164" s="307"/>
      <c r="R164" s="307"/>
      <c r="S164" s="307"/>
      <c r="T164" s="307"/>
      <c r="U164" s="307"/>
      <c r="V164" s="307"/>
      <c r="W164" s="307"/>
      <c r="X164" s="307"/>
      <c r="Y164" s="307"/>
      <c r="Z164" s="307"/>
    </row>
    <row r="165" spans="1:26" ht="17.399999999999999">
      <c r="A165" s="307"/>
      <c r="B165" s="307"/>
      <c r="C165" s="307"/>
      <c r="D165" s="307"/>
      <c r="E165" s="307"/>
      <c r="F165" s="307"/>
      <c r="G165" s="307"/>
      <c r="H165" s="307"/>
      <c r="I165" s="307"/>
      <c r="J165" s="307"/>
      <c r="K165" s="307"/>
      <c r="L165" s="307"/>
      <c r="M165" s="307"/>
      <c r="N165" s="307"/>
      <c r="O165" s="307"/>
      <c r="P165" s="307"/>
      <c r="Q165" s="307"/>
      <c r="R165" s="307"/>
      <c r="S165" s="307"/>
      <c r="T165" s="307"/>
      <c r="U165" s="307"/>
      <c r="V165" s="307"/>
      <c r="W165" s="307"/>
      <c r="X165" s="307"/>
      <c r="Y165" s="307"/>
      <c r="Z165" s="307"/>
    </row>
    <row r="166" spans="1:26" ht="17.399999999999999">
      <c r="A166" s="307"/>
      <c r="B166" s="307"/>
      <c r="C166" s="307"/>
      <c r="D166" s="307"/>
      <c r="E166" s="307"/>
      <c r="F166" s="307"/>
      <c r="G166" s="307"/>
      <c r="H166" s="307"/>
      <c r="I166" s="307"/>
      <c r="J166" s="307"/>
      <c r="K166" s="307"/>
      <c r="L166" s="307"/>
      <c r="M166" s="307"/>
      <c r="N166" s="307"/>
      <c r="O166" s="307"/>
      <c r="P166" s="307"/>
      <c r="Q166" s="307"/>
      <c r="R166" s="307"/>
      <c r="S166" s="307"/>
      <c r="T166" s="307"/>
      <c r="U166" s="307"/>
      <c r="V166" s="307"/>
      <c r="W166" s="307"/>
      <c r="X166" s="307"/>
      <c r="Y166" s="307"/>
      <c r="Z166" s="307"/>
    </row>
    <row r="167" spans="1:26" ht="17.399999999999999">
      <c r="A167" s="307"/>
      <c r="B167" s="307"/>
      <c r="C167" s="307"/>
      <c r="D167" s="307"/>
      <c r="E167" s="307"/>
      <c r="F167" s="307"/>
      <c r="G167" s="307"/>
      <c r="H167" s="307"/>
      <c r="I167" s="307"/>
      <c r="J167" s="307"/>
      <c r="K167" s="307"/>
      <c r="L167" s="307"/>
      <c r="M167" s="307"/>
      <c r="N167" s="307"/>
      <c r="O167" s="307"/>
      <c r="P167" s="307"/>
      <c r="Q167" s="307"/>
      <c r="R167" s="307"/>
      <c r="S167" s="307"/>
      <c r="T167" s="307"/>
      <c r="U167" s="307"/>
      <c r="V167" s="307"/>
      <c r="W167" s="307"/>
      <c r="X167" s="307"/>
      <c r="Y167" s="307"/>
      <c r="Z167" s="307"/>
    </row>
    <row r="168" spans="1:26" ht="17.399999999999999">
      <c r="A168" s="307"/>
      <c r="B168" s="307"/>
      <c r="C168" s="307"/>
      <c r="D168" s="307"/>
      <c r="E168" s="307"/>
      <c r="F168" s="307"/>
      <c r="G168" s="307"/>
      <c r="H168" s="307"/>
      <c r="I168" s="307"/>
      <c r="J168" s="307"/>
      <c r="K168" s="307"/>
      <c r="L168" s="307"/>
      <c r="M168" s="307"/>
      <c r="N168" s="307"/>
      <c r="O168" s="307"/>
      <c r="P168" s="307"/>
      <c r="Q168" s="307"/>
      <c r="R168" s="307"/>
      <c r="S168" s="307"/>
      <c r="T168" s="307"/>
      <c r="U168" s="307"/>
      <c r="V168" s="307"/>
      <c r="W168" s="307"/>
      <c r="X168" s="307"/>
      <c r="Y168" s="307"/>
      <c r="Z168" s="307"/>
    </row>
    <row r="169" spans="1:26" ht="17.399999999999999">
      <c r="A169" s="307"/>
      <c r="B169" s="307"/>
      <c r="C169" s="307"/>
      <c r="D169" s="307"/>
      <c r="E169" s="307"/>
      <c r="F169" s="307"/>
      <c r="G169" s="307"/>
      <c r="H169" s="307"/>
      <c r="I169" s="307"/>
      <c r="J169" s="307"/>
      <c r="K169" s="307"/>
      <c r="L169" s="307"/>
      <c r="M169" s="307"/>
      <c r="N169" s="307"/>
      <c r="O169" s="307"/>
      <c r="P169" s="307"/>
      <c r="Q169" s="307"/>
      <c r="R169" s="307"/>
      <c r="S169" s="307"/>
      <c r="T169" s="307"/>
      <c r="U169" s="307"/>
      <c r="V169" s="307"/>
      <c r="W169" s="307"/>
      <c r="X169" s="307"/>
      <c r="Y169" s="307"/>
      <c r="Z169" s="307"/>
    </row>
    <row r="170" spans="1:26" ht="17.399999999999999">
      <c r="A170" s="307"/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7"/>
      <c r="V170" s="307"/>
      <c r="W170" s="307"/>
      <c r="X170" s="307"/>
      <c r="Y170" s="307"/>
      <c r="Z170" s="307"/>
    </row>
    <row r="171" spans="1:26" ht="17.399999999999999">
      <c r="A171" s="307"/>
      <c r="B171" s="307"/>
      <c r="C171" s="307"/>
      <c r="D171" s="307"/>
      <c r="E171" s="307"/>
      <c r="F171" s="307"/>
      <c r="G171" s="307"/>
      <c r="H171" s="307"/>
      <c r="I171" s="307"/>
      <c r="J171" s="307"/>
      <c r="K171" s="307"/>
      <c r="L171" s="307"/>
      <c r="M171" s="307"/>
      <c r="N171" s="307"/>
      <c r="O171" s="307"/>
      <c r="P171" s="307"/>
      <c r="Q171" s="307"/>
      <c r="R171" s="307"/>
      <c r="S171" s="307"/>
      <c r="T171" s="307"/>
      <c r="U171" s="307"/>
      <c r="V171" s="307"/>
      <c r="W171" s="307"/>
      <c r="X171" s="307"/>
      <c r="Y171" s="307"/>
      <c r="Z171" s="307"/>
    </row>
    <row r="172" spans="1:26" ht="17.399999999999999">
      <c r="A172" s="307"/>
      <c r="B172" s="307"/>
      <c r="C172" s="307"/>
      <c r="D172" s="307"/>
      <c r="E172" s="307"/>
      <c r="F172" s="307"/>
      <c r="G172" s="307"/>
      <c r="H172" s="307"/>
      <c r="I172" s="307"/>
      <c r="J172" s="307"/>
      <c r="K172" s="307"/>
      <c r="L172" s="307"/>
      <c r="M172" s="307"/>
      <c r="N172" s="307"/>
      <c r="O172" s="307"/>
      <c r="P172" s="307"/>
      <c r="Q172" s="307"/>
      <c r="R172" s="307"/>
      <c r="S172" s="307"/>
      <c r="T172" s="307"/>
      <c r="U172" s="307"/>
      <c r="V172" s="307"/>
      <c r="W172" s="307"/>
      <c r="X172" s="307"/>
      <c r="Y172" s="307"/>
      <c r="Z172" s="307"/>
    </row>
    <row r="173" spans="1:26" ht="17.399999999999999">
      <c r="A173" s="307"/>
      <c r="B173" s="307"/>
      <c r="C173" s="307"/>
      <c r="D173" s="307"/>
      <c r="E173" s="307"/>
      <c r="F173" s="307"/>
      <c r="G173" s="307"/>
      <c r="H173" s="307"/>
      <c r="I173" s="307"/>
      <c r="J173" s="307"/>
      <c r="K173" s="307"/>
      <c r="L173" s="307"/>
      <c r="M173" s="307"/>
      <c r="N173" s="307"/>
      <c r="O173" s="307"/>
      <c r="P173" s="307"/>
      <c r="Q173" s="307"/>
      <c r="R173" s="307"/>
      <c r="S173" s="307"/>
      <c r="T173" s="307"/>
      <c r="U173" s="307"/>
      <c r="V173" s="307"/>
      <c r="W173" s="307"/>
      <c r="X173" s="307"/>
      <c r="Y173" s="307"/>
      <c r="Z173" s="307"/>
    </row>
    <row r="174" spans="1:26" ht="17.399999999999999">
      <c r="A174" s="307"/>
      <c r="B174" s="307"/>
      <c r="C174" s="307"/>
      <c r="D174" s="307"/>
      <c r="E174" s="307"/>
      <c r="F174" s="307"/>
      <c r="G174" s="307"/>
      <c r="H174" s="307"/>
      <c r="I174" s="307"/>
      <c r="J174" s="307"/>
      <c r="K174" s="307"/>
      <c r="L174" s="307"/>
      <c r="M174" s="307"/>
      <c r="N174" s="307"/>
      <c r="O174" s="307"/>
      <c r="P174" s="307"/>
      <c r="Q174" s="307"/>
      <c r="R174" s="307"/>
      <c r="S174" s="307"/>
      <c r="T174" s="307"/>
      <c r="U174" s="307"/>
      <c r="V174" s="307"/>
      <c r="W174" s="307"/>
      <c r="X174" s="307"/>
      <c r="Y174" s="307"/>
      <c r="Z174" s="307"/>
    </row>
    <row r="175" spans="1:26" ht="17.399999999999999">
      <c r="A175" s="307"/>
      <c r="B175" s="307"/>
      <c r="C175" s="307"/>
      <c r="D175" s="307"/>
      <c r="E175" s="307"/>
      <c r="F175" s="307"/>
      <c r="G175" s="307"/>
      <c r="H175" s="307"/>
      <c r="I175" s="307"/>
      <c r="J175" s="307"/>
      <c r="K175" s="307"/>
      <c r="L175" s="307"/>
      <c r="M175" s="307"/>
      <c r="N175" s="307"/>
      <c r="O175" s="307"/>
      <c r="P175" s="307"/>
      <c r="Q175" s="307"/>
      <c r="R175" s="307"/>
      <c r="S175" s="307"/>
      <c r="T175" s="307"/>
      <c r="U175" s="307"/>
      <c r="V175" s="307"/>
      <c r="W175" s="307"/>
      <c r="X175" s="307"/>
      <c r="Y175" s="307"/>
      <c r="Z175" s="307"/>
    </row>
    <row r="176" spans="1:26" ht="17.399999999999999">
      <c r="A176" s="307"/>
      <c r="B176" s="307"/>
      <c r="C176" s="307"/>
      <c r="D176" s="307"/>
      <c r="E176" s="307"/>
      <c r="F176" s="307"/>
      <c r="G176" s="307"/>
      <c r="H176" s="307"/>
      <c r="I176" s="307"/>
      <c r="J176" s="307"/>
      <c r="K176" s="307"/>
      <c r="L176" s="307"/>
      <c r="M176" s="307"/>
      <c r="N176" s="307"/>
      <c r="O176" s="307"/>
      <c r="P176" s="307"/>
      <c r="Q176" s="307"/>
      <c r="R176" s="307"/>
      <c r="S176" s="307"/>
      <c r="T176" s="307"/>
      <c r="U176" s="307"/>
      <c r="V176" s="307"/>
      <c r="W176" s="307"/>
      <c r="X176" s="307"/>
      <c r="Y176" s="307"/>
      <c r="Z176" s="307"/>
    </row>
    <row r="177" spans="1:26" ht="17.399999999999999">
      <c r="A177" s="307"/>
      <c r="B177" s="307"/>
      <c r="C177" s="307"/>
      <c r="D177" s="307"/>
      <c r="E177" s="307"/>
      <c r="F177" s="307"/>
      <c r="G177" s="307"/>
      <c r="H177" s="307"/>
      <c r="I177" s="307"/>
      <c r="J177" s="307"/>
      <c r="K177" s="307"/>
      <c r="L177" s="307"/>
      <c r="M177" s="307"/>
      <c r="N177" s="307"/>
      <c r="O177" s="307"/>
      <c r="P177" s="307"/>
      <c r="Q177" s="307"/>
      <c r="R177" s="307"/>
      <c r="S177" s="307"/>
      <c r="T177" s="307"/>
      <c r="U177" s="307"/>
      <c r="V177" s="307"/>
      <c r="W177" s="307"/>
      <c r="X177" s="307"/>
      <c r="Y177" s="307"/>
      <c r="Z177" s="307"/>
    </row>
    <row r="178" spans="1:26" ht="17.399999999999999">
      <c r="A178" s="307"/>
      <c r="B178" s="307"/>
      <c r="C178" s="307"/>
      <c r="D178" s="307"/>
      <c r="E178" s="307"/>
      <c r="F178" s="307"/>
      <c r="G178" s="307"/>
      <c r="H178" s="307"/>
      <c r="I178" s="307"/>
      <c r="J178" s="307"/>
      <c r="K178" s="307"/>
      <c r="L178" s="307"/>
      <c r="M178" s="307"/>
      <c r="N178" s="307"/>
      <c r="O178" s="307"/>
      <c r="P178" s="307"/>
      <c r="Q178" s="307"/>
      <c r="R178" s="307"/>
      <c r="S178" s="307"/>
      <c r="T178" s="307"/>
      <c r="U178" s="307"/>
      <c r="V178" s="307"/>
      <c r="W178" s="307"/>
      <c r="X178" s="307"/>
      <c r="Y178" s="307"/>
      <c r="Z178" s="307"/>
    </row>
    <row r="179" spans="1:26" ht="17.399999999999999">
      <c r="A179" s="307"/>
      <c r="B179" s="307"/>
      <c r="C179" s="307"/>
      <c r="D179" s="307"/>
      <c r="E179" s="307"/>
      <c r="F179" s="307"/>
      <c r="G179" s="307"/>
      <c r="H179" s="307"/>
      <c r="I179" s="307"/>
      <c r="J179" s="307"/>
      <c r="K179" s="307"/>
      <c r="L179" s="307"/>
      <c r="M179" s="307"/>
      <c r="N179" s="307"/>
      <c r="O179" s="307"/>
      <c r="P179" s="307"/>
      <c r="Q179" s="307"/>
      <c r="R179" s="307"/>
      <c r="S179" s="307"/>
      <c r="T179" s="307"/>
      <c r="U179" s="307"/>
      <c r="V179" s="307"/>
      <c r="W179" s="307"/>
      <c r="X179" s="307"/>
      <c r="Y179" s="307"/>
      <c r="Z179" s="307"/>
    </row>
    <row r="180" spans="1:26" ht="17.399999999999999">
      <c r="A180" s="307"/>
      <c r="B180" s="307"/>
      <c r="C180" s="307"/>
      <c r="D180" s="307"/>
      <c r="E180" s="307"/>
      <c r="F180" s="307"/>
      <c r="G180" s="307"/>
      <c r="H180" s="307"/>
      <c r="I180" s="307"/>
      <c r="J180" s="307"/>
      <c r="K180" s="307"/>
      <c r="L180" s="307"/>
      <c r="M180" s="307"/>
      <c r="N180" s="307"/>
      <c r="O180" s="307"/>
      <c r="P180" s="307"/>
      <c r="Q180" s="307"/>
      <c r="R180" s="307"/>
      <c r="S180" s="307"/>
      <c r="T180" s="307"/>
      <c r="U180" s="307"/>
      <c r="V180" s="307"/>
      <c r="W180" s="307"/>
      <c r="X180" s="307"/>
      <c r="Y180" s="307"/>
      <c r="Z180" s="307"/>
    </row>
    <row r="181" spans="1:26" ht="17.399999999999999">
      <c r="A181" s="307"/>
      <c r="B181" s="307"/>
      <c r="C181" s="307"/>
      <c r="D181" s="307"/>
      <c r="E181" s="307"/>
      <c r="F181" s="307"/>
      <c r="G181" s="307"/>
      <c r="H181" s="307"/>
      <c r="I181" s="307"/>
      <c r="J181" s="307"/>
      <c r="K181" s="307"/>
      <c r="L181" s="307"/>
      <c r="M181" s="307"/>
      <c r="N181" s="307"/>
      <c r="O181" s="307"/>
      <c r="P181" s="307"/>
      <c r="Q181" s="307"/>
      <c r="R181" s="307"/>
      <c r="S181" s="307"/>
      <c r="T181" s="307"/>
      <c r="U181" s="307"/>
      <c r="V181" s="307"/>
      <c r="W181" s="307"/>
      <c r="X181" s="307"/>
      <c r="Y181" s="307"/>
      <c r="Z181" s="307"/>
    </row>
    <row r="182" spans="1:26" ht="17.399999999999999">
      <c r="A182" s="307"/>
      <c r="B182" s="307"/>
      <c r="C182" s="307"/>
      <c r="D182" s="307"/>
      <c r="E182" s="307"/>
      <c r="F182" s="307"/>
      <c r="G182" s="307"/>
      <c r="H182" s="307"/>
      <c r="I182" s="307"/>
      <c r="J182" s="307"/>
      <c r="K182" s="307"/>
      <c r="L182" s="307"/>
      <c r="M182" s="307"/>
      <c r="N182" s="307"/>
      <c r="O182" s="307"/>
      <c r="P182" s="307"/>
      <c r="Q182" s="307"/>
      <c r="R182" s="307"/>
      <c r="S182" s="307"/>
      <c r="T182" s="307"/>
      <c r="U182" s="307"/>
      <c r="V182" s="307"/>
      <c r="W182" s="307"/>
      <c r="X182" s="307"/>
      <c r="Y182" s="307"/>
      <c r="Z182" s="307"/>
    </row>
    <row r="183" spans="1:26" ht="17.399999999999999">
      <c r="A183" s="307"/>
      <c r="B183" s="307"/>
      <c r="C183" s="307"/>
      <c r="D183" s="307"/>
      <c r="E183" s="307"/>
      <c r="F183" s="307"/>
      <c r="G183" s="307"/>
      <c r="H183" s="307"/>
      <c r="I183" s="307"/>
      <c r="J183" s="307"/>
      <c r="K183" s="307"/>
      <c r="L183" s="307"/>
      <c r="M183" s="307"/>
      <c r="N183" s="307"/>
      <c r="O183" s="307"/>
      <c r="P183" s="307"/>
      <c r="Q183" s="307"/>
      <c r="R183" s="307"/>
      <c r="S183" s="307"/>
      <c r="T183" s="307"/>
      <c r="U183" s="307"/>
      <c r="V183" s="307"/>
      <c r="W183" s="307"/>
      <c r="X183" s="307"/>
      <c r="Y183" s="307"/>
      <c r="Z183" s="307"/>
    </row>
    <row r="184" spans="1:26" ht="17.399999999999999">
      <c r="A184" s="307"/>
      <c r="B184" s="307"/>
      <c r="C184" s="307"/>
      <c r="D184" s="307"/>
      <c r="E184" s="307"/>
      <c r="F184" s="307"/>
      <c r="G184" s="307"/>
      <c r="H184" s="307"/>
      <c r="I184" s="307"/>
      <c r="J184" s="307"/>
      <c r="K184" s="307"/>
      <c r="L184" s="307"/>
      <c r="M184" s="307"/>
      <c r="N184" s="307"/>
      <c r="O184" s="307"/>
      <c r="P184" s="307"/>
      <c r="Q184" s="307"/>
      <c r="R184" s="307"/>
      <c r="S184" s="307"/>
      <c r="T184" s="307"/>
      <c r="U184" s="307"/>
      <c r="V184" s="307"/>
      <c r="W184" s="307"/>
      <c r="X184" s="307"/>
      <c r="Y184" s="307"/>
      <c r="Z184" s="307"/>
    </row>
    <row r="185" spans="1:26" ht="17.399999999999999">
      <c r="A185" s="307"/>
      <c r="B185" s="307"/>
      <c r="C185" s="307"/>
      <c r="D185" s="307"/>
      <c r="E185" s="307"/>
      <c r="F185" s="307"/>
      <c r="G185" s="307"/>
      <c r="H185" s="307"/>
      <c r="I185" s="307"/>
      <c r="J185" s="307"/>
      <c r="K185" s="307"/>
      <c r="L185" s="307"/>
      <c r="M185" s="307"/>
      <c r="N185" s="307"/>
      <c r="O185" s="307"/>
      <c r="P185" s="307"/>
      <c r="Q185" s="307"/>
      <c r="R185" s="307"/>
      <c r="S185" s="307"/>
      <c r="T185" s="307"/>
      <c r="U185" s="307"/>
      <c r="V185" s="307"/>
      <c r="W185" s="307"/>
      <c r="X185" s="307"/>
      <c r="Y185" s="307"/>
      <c r="Z185" s="307"/>
    </row>
    <row r="186" spans="1:26" ht="17.399999999999999">
      <c r="A186" s="307"/>
      <c r="B186" s="307"/>
      <c r="C186" s="307"/>
      <c r="D186" s="307"/>
      <c r="E186" s="307"/>
      <c r="F186" s="307"/>
      <c r="G186" s="307"/>
      <c r="H186" s="307"/>
      <c r="I186" s="307"/>
      <c r="J186" s="307"/>
      <c r="K186" s="307"/>
      <c r="L186" s="307"/>
      <c r="M186" s="307"/>
      <c r="N186" s="307"/>
      <c r="O186" s="307"/>
      <c r="P186" s="307"/>
      <c r="Q186" s="307"/>
      <c r="R186" s="307"/>
      <c r="S186" s="307"/>
      <c r="T186" s="307"/>
      <c r="U186" s="307"/>
      <c r="V186" s="307"/>
      <c r="W186" s="307"/>
      <c r="X186" s="307"/>
      <c r="Y186" s="307"/>
      <c r="Z186" s="307"/>
    </row>
    <row r="187" spans="1:26" ht="17.399999999999999">
      <c r="A187" s="307"/>
      <c r="B187" s="307"/>
      <c r="C187" s="307"/>
      <c r="D187" s="307"/>
      <c r="E187" s="307"/>
      <c r="F187" s="307"/>
      <c r="G187" s="307"/>
      <c r="H187" s="307"/>
      <c r="I187" s="307"/>
      <c r="J187" s="307"/>
      <c r="K187" s="307"/>
      <c r="L187" s="307"/>
      <c r="M187" s="307"/>
      <c r="N187" s="307"/>
      <c r="O187" s="307"/>
      <c r="P187" s="307"/>
      <c r="Q187" s="307"/>
      <c r="R187" s="307"/>
      <c r="S187" s="307"/>
      <c r="T187" s="307"/>
      <c r="U187" s="307"/>
      <c r="V187" s="307"/>
      <c r="W187" s="307"/>
      <c r="X187" s="307"/>
      <c r="Y187" s="307"/>
      <c r="Z187" s="307"/>
    </row>
    <row r="188" spans="1:26" ht="17.399999999999999">
      <c r="A188" s="307"/>
      <c r="B188" s="307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  <c r="M188" s="307"/>
      <c r="N188" s="307"/>
      <c r="O188" s="307"/>
      <c r="P188" s="307"/>
      <c r="Q188" s="307"/>
      <c r="R188" s="307"/>
      <c r="S188" s="307"/>
      <c r="T188" s="307"/>
      <c r="U188" s="307"/>
      <c r="V188" s="307"/>
      <c r="W188" s="307"/>
      <c r="X188" s="307"/>
      <c r="Y188" s="307"/>
      <c r="Z188" s="307"/>
    </row>
    <row r="189" spans="1:26" ht="17.399999999999999">
      <c r="A189" s="307"/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07"/>
      <c r="P189" s="307"/>
      <c r="Q189" s="307"/>
      <c r="R189" s="307"/>
      <c r="S189" s="307"/>
      <c r="T189" s="307"/>
      <c r="U189" s="307"/>
      <c r="V189" s="307"/>
      <c r="W189" s="307"/>
      <c r="X189" s="307"/>
      <c r="Y189" s="307"/>
      <c r="Z189" s="307"/>
    </row>
    <row r="190" spans="1:26" ht="17.399999999999999">
      <c r="A190" s="307"/>
      <c r="B190" s="307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  <c r="M190" s="307"/>
      <c r="N190" s="307"/>
      <c r="O190" s="307"/>
      <c r="P190" s="307"/>
      <c r="Q190" s="307"/>
      <c r="R190" s="307"/>
      <c r="S190" s="307"/>
      <c r="T190" s="307"/>
      <c r="U190" s="307"/>
      <c r="V190" s="307"/>
      <c r="W190" s="307"/>
      <c r="X190" s="307"/>
      <c r="Y190" s="307"/>
      <c r="Z190" s="307"/>
    </row>
    <row r="191" spans="1:26" ht="17.399999999999999">
      <c r="A191" s="307"/>
      <c r="B191" s="307"/>
      <c r="C191" s="307"/>
      <c r="D191" s="307"/>
      <c r="E191" s="307"/>
      <c r="F191" s="307"/>
      <c r="G191" s="307"/>
      <c r="H191" s="307"/>
      <c r="I191" s="307"/>
      <c r="J191" s="307"/>
      <c r="K191" s="307"/>
      <c r="L191" s="307"/>
      <c r="M191" s="307"/>
      <c r="N191" s="307"/>
      <c r="O191" s="307"/>
      <c r="P191" s="307"/>
      <c r="Q191" s="307"/>
      <c r="R191" s="307"/>
      <c r="S191" s="307"/>
      <c r="T191" s="307"/>
      <c r="U191" s="307"/>
      <c r="V191" s="307"/>
      <c r="W191" s="307"/>
      <c r="X191" s="307"/>
      <c r="Y191" s="307"/>
      <c r="Z191" s="307"/>
    </row>
    <row r="192" spans="1:26" ht="17.399999999999999">
      <c r="A192" s="307"/>
      <c r="B192" s="307"/>
      <c r="C192" s="307"/>
      <c r="D192" s="307"/>
      <c r="E192" s="307"/>
      <c r="F192" s="307"/>
      <c r="G192" s="307"/>
      <c r="H192" s="307"/>
      <c r="I192" s="307"/>
      <c r="J192" s="307"/>
      <c r="K192" s="307"/>
      <c r="L192" s="307"/>
      <c r="M192" s="307"/>
      <c r="N192" s="307"/>
      <c r="O192" s="307"/>
      <c r="P192" s="307"/>
      <c r="Q192" s="307"/>
      <c r="R192" s="307"/>
      <c r="S192" s="307"/>
      <c r="T192" s="307"/>
      <c r="U192" s="307"/>
      <c r="V192" s="307"/>
      <c r="W192" s="307"/>
      <c r="X192" s="307"/>
      <c r="Y192" s="307"/>
      <c r="Z192" s="307"/>
    </row>
    <row r="193" spans="1:26" ht="17.399999999999999">
      <c r="A193" s="307"/>
      <c r="B193" s="307"/>
      <c r="C193" s="307"/>
      <c r="D193" s="307"/>
      <c r="E193" s="307"/>
      <c r="F193" s="307"/>
      <c r="G193" s="307"/>
      <c r="H193" s="307"/>
      <c r="I193" s="307"/>
      <c r="J193" s="307"/>
      <c r="K193" s="307"/>
      <c r="L193" s="307"/>
      <c r="M193" s="307"/>
      <c r="N193" s="307"/>
      <c r="O193" s="307"/>
      <c r="P193" s="307"/>
      <c r="Q193" s="307"/>
      <c r="R193" s="307"/>
      <c r="S193" s="307"/>
      <c r="T193" s="307"/>
      <c r="U193" s="307"/>
      <c r="V193" s="307"/>
      <c r="W193" s="307"/>
      <c r="X193" s="307"/>
      <c r="Y193" s="307"/>
      <c r="Z193" s="307"/>
    </row>
    <row r="194" spans="1:26" ht="17.399999999999999">
      <c r="A194" s="307"/>
      <c r="B194" s="307"/>
      <c r="C194" s="307"/>
      <c r="D194" s="307"/>
      <c r="E194" s="307"/>
      <c r="F194" s="307"/>
      <c r="G194" s="307"/>
      <c r="H194" s="307"/>
      <c r="I194" s="307"/>
      <c r="J194" s="307"/>
      <c r="K194" s="307"/>
      <c r="L194" s="307"/>
      <c r="M194" s="307"/>
      <c r="N194" s="307"/>
      <c r="O194" s="307"/>
      <c r="P194" s="307"/>
      <c r="Q194" s="307"/>
      <c r="R194" s="307"/>
      <c r="S194" s="307"/>
      <c r="T194" s="307"/>
      <c r="U194" s="307"/>
      <c r="V194" s="307"/>
      <c r="W194" s="307"/>
      <c r="X194" s="307"/>
      <c r="Y194" s="307"/>
      <c r="Z194" s="307"/>
    </row>
    <row r="195" spans="1:26" ht="17.399999999999999">
      <c r="A195" s="307"/>
      <c r="B195" s="307"/>
      <c r="C195" s="307"/>
      <c r="D195" s="307"/>
      <c r="E195" s="307"/>
      <c r="F195" s="307"/>
      <c r="G195" s="307"/>
      <c r="H195" s="307"/>
      <c r="I195" s="307"/>
      <c r="J195" s="307"/>
      <c r="K195" s="307"/>
      <c r="L195" s="307"/>
      <c r="M195" s="307"/>
      <c r="N195" s="307"/>
      <c r="O195" s="307"/>
      <c r="P195" s="307"/>
      <c r="Q195" s="307"/>
      <c r="R195" s="307"/>
      <c r="S195" s="307"/>
      <c r="T195" s="307"/>
      <c r="U195" s="307"/>
      <c r="V195" s="307"/>
      <c r="W195" s="307"/>
      <c r="X195" s="307"/>
      <c r="Y195" s="307"/>
      <c r="Z195" s="307"/>
    </row>
    <row r="196" spans="1:26" ht="17.399999999999999">
      <c r="A196" s="307"/>
      <c r="B196" s="307"/>
      <c r="C196" s="307"/>
      <c r="D196" s="307"/>
      <c r="E196" s="307"/>
      <c r="F196" s="307"/>
      <c r="G196" s="307"/>
      <c r="H196" s="307"/>
      <c r="I196" s="307"/>
      <c r="J196" s="307"/>
      <c r="K196" s="307"/>
      <c r="L196" s="307"/>
      <c r="M196" s="307"/>
      <c r="N196" s="307"/>
      <c r="O196" s="307"/>
      <c r="P196" s="307"/>
      <c r="Q196" s="307"/>
      <c r="R196" s="307"/>
      <c r="S196" s="307"/>
      <c r="T196" s="307"/>
      <c r="U196" s="307"/>
      <c r="V196" s="307"/>
      <c r="W196" s="307"/>
      <c r="X196" s="307"/>
      <c r="Y196" s="307"/>
      <c r="Z196" s="307"/>
    </row>
    <row r="197" spans="1:26" ht="17.399999999999999">
      <c r="A197" s="307"/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  <c r="M197" s="307"/>
      <c r="N197" s="307"/>
      <c r="O197" s="307"/>
      <c r="P197" s="307"/>
      <c r="Q197" s="307"/>
      <c r="R197" s="307"/>
      <c r="S197" s="307"/>
      <c r="T197" s="307"/>
      <c r="U197" s="307"/>
      <c r="V197" s="307"/>
      <c r="W197" s="307"/>
      <c r="X197" s="307"/>
      <c r="Y197" s="307"/>
      <c r="Z197" s="307"/>
    </row>
    <row r="198" spans="1:26" ht="17.399999999999999">
      <c r="A198" s="307"/>
      <c r="B198" s="307"/>
      <c r="C198" s="307"/>
      <c r="D198" s="307"/>
      <c r="E198" s="307"/>
      <c r="F198" s="307"/>
      <c r="G198" s="307"/>
      <c r="H198" s="307"/>
      <c r="I198" s="307"/>
      <c r="J198" s="307"/>
      <c r="K198" s="307"/>
      <c r="L198" s="307"/>
      <c r="M198" s="307"/>
      <c r="N198" s="307"/>
      <c r="O198" s="307"/>
      <c r="P198" s="307"/>
      <c r="Q198" s="307"/>
      <c r="R198" s="307"/>
      <c r="S198" s="307"/>
      <c r="T198" s="307"/>
      <c r="U198" s="307"/>
      <c r="V198" s="307"/>
      <c r="W198" s="307"/>
      <c r="X198" s="307"/>
      <c r="Y198" s="307"/>
      <c r="Z198" s="307"/>
    </row>
    <row r="199" spans="1:26" ht="17.399999999999999">
      <c r="A199" s="307"/>
      <c r="B199" s="307"/>
      <c r="C199" s="307"/>
      <c r="D199" s="307"/>
      <c r="E199" s="307"/>
      <c r="F199" s="307"/>
      <c r="G199" s="307"/>
      <c r="H199" s="307"/>
      <c r="I199" s="307"/>
      <c r="J199" s="307"/>
      <c r="K199" s="307"/>
      <c r="L199" s="307"/>
      <c r="M199" s="307"/>
      <c r="N199" s="307"/>
      <c r="O199" s="307"/>
      <c r="P199" s="307"/>
      <c r="Q199" s="307"/>
      <c r="R199" s="307"/>
      <c r="S199" s="307"/>
      <c r="T199" s="307"/>
      <c r="U199" s="307"/>
      <c r="V199" s="307"/>
      <c r="W199" s="307"/>
      <c r="X199" s="307"/>
      <c r="Y199" s="307"/>
      <c r="Z199" s="307"/>
    </row>
    <row r="200" spans="1:26" ht="17.399999999999999">
      <c r="A200" s="307"/>
      <c r="B200" s="307"/>
      <c r="C200" s="307"/>
      <c r="D200" s="307"/>
      <c r="E200" s="307"/>
      <c r="F200" s="307"/>
      <c r="G200" s="307"/>
      <c r="H200" s="307"/>
      <c r="I200" s="307"/>
      <c r="J200" s="307"/>
      <c r="K200" s="307"/>
      <c r="L200" s="307"/>
      <c r="M200" s="307"/>
      <c r="N200" s="307"/>
      <c r="O200" s="307"/>
      <c r="P200" s="307"/>
      <c r="Q200" s="307"/>
      <c r="R200" s="307"/>
      <c r="S200" s="307"/>
      <c r="T200" s="307"/>
      <c r="U200" s="307"/>
      <c r="V200" s="307"/>
      <c r="W200" s="307"/>
      <c r="X200" s="307"/>
      <c r="Y200" s="307"/>
      <c r="Z200" s="307"/>
    </row>
    <row r="201" spans="1:26" ht="17.399999999999999">
      <c r="A201" s="307"/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  <c r="M201" s="307"/>
      <c r="N201" s="307"/>
      <c r="O201" s="307"/>
      <c r="P201" s="307"/>
      <c r="Q201" s="307"/>
      <c r="R201" s="307"/>
      <c r="S201" s="307"/>
      <c r="T201" s="307"/>
      <c r="U201" s="307"/>
      <c r="V201" s="307"/>
      <c r="W201" s="307"/>
      <c r="X201" s="307"/>
      <c r="Y201" s="307"/>
      <c r="Z201" s="307"/>
    </row>
    <row r="202" spans="1:26" ht="17.399999999999999">
      <c r="A202" s="307"/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  <c r="M202" s="307"/>
      <c r="N202" s="307"/>
      <c r="O202" s="307"/>
      <c r="P202" s="307"/>
      <c r="Q202" s="307"/>
      <c r="R202" s="307"/>
      <c r="S202" s="307"/>
      <c r="T202" s="307"/>
      <c r="U202" s="307"/>
      <c r="V202" s="307"/>
      <c r="W202" s="307"/>
      <c r="X202" s="307"/>
      <c r="Y202" s="307"/>
      <c r="Z202" s="307"/>
    </row>
    <row r="203" spans="1:26" ht="17.399999999999999">
      <c r="A203" s="307"/>
      <c r="B203" s="307"/>
      <c r="C203" s="307"/>
      <c r="D203" s="307"/>
      <c r="E203" s="307"/>
      <c r="F203" s="307"/>
      <c r="G203" s="307"/>
      <c r="H203" s="307"/>
      <c r="I203" s="307"/>
      <c r="J203" s="307"/>
      <c r="K203" s="307"/>
      <c r="L203" s="307"/>
      <c r="M203" s="307"/>
      <c r="N203" s="307"/>
      <c r="O203" s="307"/>
      <c r="P203" s="307"/>
      <c r="Q203" s="307"/>
      <c r="R203" s="307"/>
      <c r="S203" s="307"/>
      <c r="T203" s="307"/>
      <c r="U203" s="307"/>
      <c r="V203" s="307"/>
      <c r="W203" s="307"/>
      <c r="X203" s="307"/>
      <c r="Y203" s="307"/>
      <c r="Z203" s="307"/>
    </row>
    <row r="204" spans="1:26" ht="17.399999999999999">
      <c r="A204" s="307"/>
      <c r="B204" s="307"/>
      <c r="C204" s="307"/>
      <c r="D204" s="307"/>
      <c r="E204" s="307"/>
      <c r="F204" s="307"/>
      <c r="G204" s="307"/>
      <c r="H204" s="307"/>
      <c r="I204" s="307"/>
      <c r="J204" s="307"/>
      <c r="K204" s="307"/>
      <c r="L204" s="307"/>
      <c r="M204" s="307"/>
      <c r="N204" s="307"/>
      <c r="O204" s="307"/>
      <c r="P204" s="307"/>
      <c r="Q204" s="307"/>
      <c r="R204" s="307"/>
      <c r="S204" s="307"/>
      <c r="T204" s="307"/>
      <c r="U204" s="307"/>
      <c r="V204" s="307"/>
      <c r="W204" s="307"/>
      <c r="X204" s="307"/>
      <c r="Y204" s="307"/>
      <c r="Z204" s="307"/>
    </row>
    <row r="205" spans="1:26" ht="17.399999999999999">
      <c r="A205" s="307"/>
      <c r="B205" s="307"/>
      <c r="C205" s="307"/>
      <c r="D205" s="307"/>
      <c r="E205" s="307"/>
      <c r="F205" s="307"/>
      <c r="G205" s="307"/>
      <c r="H205" s="307"/>
      <c r="I205" s="307"/>
      <c r="J205" s="307"/>
      <c r="K205" s="307"/>
      <c r="L205" s="307"/>
      <c r="M205" s="307"/>
      <c r="N205" s="307"/>
      <c r="O205" s="307"/>
      <c r="P205" s="307"/>
      <c r="Q205" s="307"/>
      <c r="R205" s="307"/>
      <c r="S205" s="307"/>
      <c r="T205" s="307"/>
      <c r="U205" s="307"/>
      <c r="V205" s="307"/>
      <c r="W205" s="307"/>
      <c r="X205" s="307"/>
      <c r="Y205" s="307"/>
      <c r="Z205" s="307"/>
    </row>
    <row r="206" spans="1:26" ht="17.399999999999999">
      <c r="A206" s="307"/>
      <c r="B206" s="307"/>
      <c r="C206" s="307"/>
      <c r="D206" s="307"/>
      <c r="E206" s="307"/>
      <c r="F206" s="307"/>
      <c r="G206" s="307"/>
      <c r="H206" s="307"/>
      <c r="I206" s="307"/>
      <c r="J206" s="307"/>
      <c r="K206" s="307"/>
      <c r="L206" s="307"/>
      <c r="M206" s="307"/>
      <c r="N206" s="307"/>
      <c r="O206" s="307"/>
      <c r="P206" s="307"/>
      <c r="Q206" s="307"/>
      <c r="R206" s="307"/>
      <c r="S206" s="307"/>
      <c r="T206" s="307"/>
      <c r="U206" s="307"/>
      <c r="V206" s="307"/>
      <c r="W206" s="307"/>
      <c r="X206" s="307"/>
      <c r="Y206" s="307"/>
      <c r="Z206" s="307"/>
    </row>
    <row r="207" spans="1:26" ht="17.399999999999999">
      <c r="A207" s="307"/>
      <c r="B207" s="307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  <c r="M207" s="307"/>
      <c r="N207" s="307"/>
      <c r="O207" s="307"/>
      <c r="P207" s="307"/>
      <c r="Q207" s="307"/>
      <c r="R207" s="307"/>
      <c r="S207" s="307"/>
      <c r="T207" s="307"/>
      <c r="U207" s="307"/>
      <c r="V207" s="307"/>
      <c r="W207" s="307"/>
      <c r="X207" s="307"/>
      <c r="Y207" s="307"/>
      <c r="Z207" s="307"/>
    </row>
    <row r="208" spans="1:26" ht="17.399999999999999">
      <c r="A208" s="307"/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  <c r="U208" s="307"/>
      <c r="V208" s="307"/>
      <c r="W208" s="307"/>
      <c r="X208" s="307"/>
      <c r="Y208" s="307"/>
      <c r="Z208" s="307"/>
    </row>
    <row r="209" spans="1:26" ht="17.399999999999999">
      <c r="A209" s="307"/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  <c r="M209" s="307"/>
      <c r="N209" s="307"/>
      <c r="O209" s="307"/>
      <c r="P209" s="307"/>
      <c r="Q209" s="307"/>
      <c r="R209" s="307"/>
      <c r="S209" s="307"/>
      <c r="T209" s="307"/>
      <c r="U209" s="307"/>
      <c r="V209" s="307"/>
      <c r="W209" s="307"/>
      <c r="X209" s="307"/>
      <c r="Y209" s="307"/>
      <c r="Z209" s="307"/>
    </row>
    <row r="210" spans="1:26" ht="17.399999999999999">
      <c r="A210" s="307"/>
      <c r="B210" s="307"/>
      <c r="C210" s="307"/>
      <c r="D210" s="307"/>
      <c r="E210" s="307"/>
      <c r="F210" s="307"/>
      <c r="G210" s="307"/>
      <c r="H210" s="307"/>
      <c r="I210" s="307"/>
      <c r="J210" s="307"/>
      <c r="K210" s="307"/>
      <c r="L210" s="307"/>
      <c r="M210" s="307"/>
      <c r="N210" s="307"/>
      <c r="O210" s="307"/>
      <c r="P210" s="307"/>
      <c r="Q210" s="307"/>
      <c r="R210" s="307"/>
      <c r="S210" s="307"/>
      <c r="T210" s="307"/>
      <c r="U210" s="307"/>
      <c r="V210" s="307"/>
      <c r="W210" s="307"/>
      <c r="X210" s="307"/>
      <c r="Y210" s="307"/>
      <c r="Z210" s="307"/>
    </row>
    <row r="211" spans="1:26" ht="17.399999999999999">
      <c r="A211" s="307"/>
      <c r="B211" s="307"/>
      <c r="C211" s="307"/>
      <c r="D211" s="307"/>
      <c r="E211" s="307"/>
      <c r="F211" s="307"/>
      <c r="G211" s="307"/>
      <c r="H211" s="307"/>
      <c r="I211" s="307"/>
      <c r="J211" s="307"/>
      <c r="K211" s="307"/>
      <c r="L211" s="307"/>
      <c r="M211" s="307"/>
      <c r="N211" s="307"/>
      <c r="O211" s="307"/>
      <c r="P211" s="307"/>
      <c r="Q211" s="307"/>
      <c r="R211" s="307"/>
      <c r="S211" s="307"/>
      <c r="T211" s="307"/>
      <c r="U211" s="307"/>
      <c r="V211" s="307"/>
      <c r="W211" s="307"/>
      <c r="X211" s="307"/>
      <c r="Y211" s="307"/>
      <c r="Z211" s="307"/>
    </row>
    <row r="212" spans="1:26" ht="17.399999999999999">
      <c r="A212" s="307"/>
      <c r="B212" s="307"/>
      <c r="C212" s="307"/>
      <c r="D212" s="307"/>
      <c r="E212" s="307"/>
      <c r="F212" s="307"/>
      <c r="G212" s="307"/>
      <c r="H212" s="307"/>
      <c r="I212" s="307"/>
      <c r="J212" s="307"/>
      <c r="K212" s="307"/>
      <c r="L212" s="307"/>
      <c r="M212" s="307"/>
      <c r="N212" s="307"/>
      <c r="O212" s="307"/>
      <c r="P212" s="307"/>
      <c r="Q212" s="307"/>
      <c r="R212" s="307"/>
      <c r="S212" s="307"/>
      <c r="T212" s="307"/>
      <c r="U212" s="307"/>
      <c r="V212" s="307"/>
      <c r="W212" s="307"/>
      <c r="X212" s="307"/>
      <c r="Y212" s="307"/>
      <c r="Z212" s="307"/>
    </row>
    <row r="213" spans="1:26" ht="17.399999999999999">
      <c r="A213" s="307"/>
      <c r="B213" s="307"/>
      <c r="C213" s="307"/>
      <c r="D213" s="307"/>
      <c r="E213" s="307"/>
      <c r="F213" s="307"/>
      <c r="G213" s="307"/>
      <c r="H213" s="307"/>
      <c r="I213" s="307"/>
      <c r="J213" s="307"/>
      <c r="K213" s="307"/>
      <c r="L213" s="307"/>
      <c r="M213" s="307"/>
      <c r="N213" s="307"/>
      <c r="O213" s="307"/>
      <c r="P213" s="307"/>
      <c r="Q213" s="307"/>
      <c r="R213" s="307"/>
      <c r="S213" s="307"/>
      <c r="T213" s="307"/>
      <c r="U213" s="307"/>
      <c r="V213" s="307"/>
      <c r="W213" s="307"/>
      <c r="X213" s="307"/>
      <c r="Y213" s="307"/>
      <c r="Z213" s="307"/>
    </row>
    <row r="214" spans="1:26" ht="17.399999999999999">
      <c r="A214" s="307"/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07"/>
      <c r="P214" s="307"/>
      <c r="Q214" s="307"/>
      <c r="R214" s="307"/>
      <c r="S214" s="307"/>
      <c r="T214" s="307"/>
      <c r="U214" s="307"/>
      <c r="V214" s="307"/>
      <c r="W214" s="307"/>
      <c r="X214" s="307"/>
      <c r="Y214" s="307"/>
      <c r="Z214" s="307"/>
    </row>
    <row r="215" spans="1:26" ht="17.399999999999999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  <c r="M215" s="307"/>
      <c r="N215" s="307"/>
      <c r="O215" s="307"/>
      <c r="P215" s="307"/>
      <c r="Q215" s="307"/>
      <c r="R215" s="307"/>
      <c r="S215" s="307"/>
      <c r="T215" s="307"/>
      <c r="U215" s="307"/>
      <c r="V215" s="307"/>
      <c r="W215" s="307"/>
      <c r="X215" s="307"/>
      <c r="Y215" s="307"/>
      <c r="Z215" s="307"/>
    </row>
    <row r="216" spans="1:26" ht="17.399999999999999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  <c r="M216" s="307"/>
      <c r="N216" s="307"/>
      <c r="O216" s="307"/>
      <c r="P216" s="307"/>
      <c r="Q216" s="307"/>
      <c r="R216" s="307"/>
      <c r="S216" s="307"/>
      <c r="T216" s="307"/>
      <c r="U216" s="307"/>
      <c r="V216" s="307"/>
      <c r="W216" s="307"/>
      <c r="X216" s="307"/>
      <c r="Y216" s="307"/>
      <c r="Z216" s="307"/>
    </row>
    <row r="217" spans="1:26" ht="17.399999999999999">
      <c r="A217" s="307"/>
      <c r="B217" s="307"/>
      <c r="C217" s="307"/>
      <c r="D217" s="307"/>
      <c r="E217" s="307"/>
      <c r="F217" s="307"/>
      <c r="G217" s="307"/>
      <c r="H217" s="307"/>
      <c r="I217" s="307"/>
      <c r="J217" s="307"/>
      <c r="K217" s="307"/>
      <c r="L217" s="307"/>
      <c r="M217" s="307"/>
      <c r="N217" s="307"/>
      <c r="O217" s="307"/>
      <c r="P217" s="307"/>
      <c r="Q217" s="307"/>
      <c r="R217" s="307"/>
      <c r="S217" s="307"/>
      <c r="T217" s="307"/>
      <c r="U217" s="307"/>
      <c r="V217" s="307"/>
      <c r="W217" s="307"/>
      <c r="X217" s="307"/>
      <c r="Y217" s="307"/>
      <c r="Z217" s="307"/>
    </row>
    <row r="218" spans="1:26" ht="17.399999999999999">
      <c r="A218" s="307"/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  <c r="M218" s="307"/>
      <c r="N218" s="307"/>
      <c r="O218" s="307"/>
      <c r="P218" s="307"/>
      <c r="Q218" s="307"/>
      <c r="R218" s="307"/>
      <c r="S218" s="307"/>
      <c r="T218" s="307"/>
      <c r="U218" s="307"/>
      <c r="V218" s="307"/>
      <c r="W218" s="307"/>
      <c r="X218" s="307"/>
      <c r="Y218" s="307"/>
      <c r="Z218" s="307"/>
    </row>
    <row r="219" spans="1:26" ht="17.399999999999999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  <c r="Z219" s="307"/>
    </row>
    <row r="220" spans="1:26" ht="17.399999999999999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  <c r="M220" s="307"/>
      <c r="N220" s="307"/>
      <c r="O220" s="307"/>
      <c r="P220" s="307"/>
      <c r="Q220" s="307"/>
      <c r="R220" s="307"/>
      <c r="S220" s="307"/>
      <c r="T220" s="307"/>
      <c r="U220" s="307"/>
      <c r="V220" s="307"/>
      <c r="W220" s="307"/>
      <c r="X220" s="307"/>
      <c r="Y220" s="307"/>
      <c r="Z220" s="307"/>
    </row>
    <row r="221" spans="1:26" ht="17.399999999999999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  <c r="M221" s="307"/>
      <c r="N221" s="307"/>
      <c r="O221" s="307"/>
      <c r="P221" s="307"/>
      <c r="Q221" s="307"/>
      <c r="R221" s="307"/>
      <c r="S221" s="307"/>
      <c r="T221" s="307"/>
      <c r="U221" s="307"/>
      <c r="V221" s="307"/>
      <c r="W221" s="307"/>
      <c r="X221" s="307"/>
      <c r="Y221" s="307"/>
      <c r="Z221" s="307"/>
    </row>
    <row r="222" spans="1:26" ht="17.399999999999999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  <c r="M222" s="307"/>
      <c r="N222" s="307"/>
      <c r="O222" s="307"/>
      <c r="P222" s="307"/>
      <c r="Q222" s="307"/>
      <c r="R222" s="307"/>
      <c r="S222" s="307"/>
      <c r="T222" s="307"/>
      <c r="U222" s="307"/>
      <c r="V222" s="307"/>
      <c r="W222" s="307"/>
      <c r="X222" s="307"/>
      <c r="Y222" s="307"/>
      <c r="Z222" s="307"/>
    </row>
    <row r="223" spans="1:26" ht="17.399999999999999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  <c r="M223" s="307"/>
      <c r="N223" s="307"/>
      <c r="O223" s="307"/>
      <c r="P223" s="307"/>
      <c r="Q223" s="307"/>
      <c r="R223" s="307"/>
      <c r="S223" s="307"/>
      <c r="T223" s="307"/>
      <c r="U223" s="307"/>
      <c r="V223" s="307"/>
      <c r="W223" s="307"/>
      <c r="X223" s="307"/>
      <c r="Y223" s="307"/>
      <c r="Z223" s="307"/>
    </row>
    <row r="224" spans="1:26" ht="17.399999999999999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  <c r="M224" s="307"/>
      <c r="N224" s="307"/>
      <c r="O224" s="307"/>
      <c r="P224" s="307"/>
      <c r="Q224" s="307"/>
      <c r="R224" s="307"/>
      <c r="S224" s="307"/>
      <c r="T224" s="307"/>
      <c r="U224" s="307"/>
      <c r="V224" s="307"/>
      <c r="W224" s="307"/>
      <c r="X224" s="307"/>
      <c r="Y224" s="307"/>
      <c r="Z224" s="307"/>
    </row>
    <row r="225" spans="1:26" ht="17.399999999999999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7"/>
      <c r="V225" s="307"/>
      <c r="W225" s="307"/>
      <c r="X225" s="307"/>
      <c r="Y225" s="307"/>
      <c r="Z225" s="307"/>
    </row>
    <row r="226" spans="1:26" ht="17.399999999999999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  <c r="M226" s="307"/>
      <c r="N226" s="307"/>
      <c r="O226" s="307"/>
      <c r="P226" s="307"/>
      <c r="Q226" s="307"/>
      <c r="R226" s="307"/>
      <c r="S226" s="307"/>
      <c r="T226" s="307"/>
      <c r="U226" s="307"/>
      <c r="V226" s="307"/>
      <c r="W226" s="307"/>
      <c r="X226" s="307"/>
      <c r="Y226" s="307"/>
      <c r="Z226" s="307"/>
    </row>
    <row r="227" spans="1:26" ht="17.399999999999999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  <c r="M227" s="307"/>
      <c r="N227" s="307"/>
      <c r="O227" s="307"/>
      <c r="P227" s="307"/>
      <c r="Q227" s="307"/>
      <c r="R227" s="307"/>
      <c r="S227" s="307"/>
      <c r="T227" s="307"/>
      <c r="U227" s="307"/>
      <c r="V227" s="307"/>
      <c r="W227" s="307"/>
      <c r="X227" s="307"/>
      <c r="Y227" s="307"/>
      <c r="Z227" s="307"/>
    </row>
    <row r="228" spans="1:26" ht="17.399999999999999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  <c r="M228" s="307"/>
      <c r="N228" s="307"/>
      <c r="O228" s="307"/>
      <c r="P228" s="307"/>
      <c r="Q228" s="307"/>
      <c r="R228" s="307"/>
      <c r="S228" s="307"/>
      <c r="T228" s="307"/>
      <c r="U228" s="307"/>
      <c r="V228" s="307"/>
      <c r="W228" s="307"/>
      <c r="X228" s="307"/>
      <c r="Y228" s="307"/>
      <c r="Z228" s="307"/>
    </row>
    <row r="229" spans="1:26" ht="17.399999999999999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  <c r="M229" s="307"/>
      <c r="N229" s="307"/>
      <c r="O229" s="307"/>
      <c r="P229" s="307"/>
      <c r="Q229" s="307"/>
      <c r="R229" s="307"/>
      <c r="S229" s="307"/>
      <c r="T229" s="307"/>
      <c r="U229" s="307"/>
      <c r="V229" s="307"/>
      <c r="W229" s="307"/>
      <c r="X229" s="307"/>
      <c r="Y229" s="307"/>
      <c r="Z229" s="307"/>
    </row>
    <row r="230" spans="1:26" ht="17.399999999999999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  <c r="M230" s="307"/>
      <c r="N230" s="307"/>
      <c r="O230" s="307"/>
      <c r="P230" s="307"/>
      <c r="Q230" s="307"/>
      <c r="R230" s="307"/>
      <c r="S230" s="307"/>
      <c r="T230" s="307"/>
      <c r="U230" s="307"/>
      <c r="V230" s="307"/>
      <c r="W230" s="307"/>
      <c r="X230" s="307"/>
      <c r="Y230" s="307"/>
      <c r="Z230" s="307"/>
    </row>
    <row r="231" spans="1:26" ht="17.399999999999999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  <c r="Z231" s="307"/>
    </row>
    <row r="232" spans="1:26" ht="17.399999999999999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  <c r="M232" s="307"/>
      <c r="N232" s="307"/>
      <c r="O232" s="307"/>
      <c r="P232" s="307"/>
      <c r="Q232" s="307"/>
      <c r="R232" s="307"/>
      <c r="S232" s="307"/>
      <c r="T232" s="307"/>
      <c r="U232" s="307"/>
      <c r="V232" s="307"/>
      <c r="W232" s="307"/>
      <c r="X232" s="307"/>
      <c r="Y232" s="307"/>
      <c r="Z232" s="307"/>
    </row>
    <row r="233" spans="1:26" ht="17.399999999999999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  <c r="M233" s="307"/>
      <c r="N233" s="307"/>
      <c r="O233" s="307"/>
      <c r="P233" s="307"/>
      <c r="Q233" s="307"/>
      <c r="R233" s="307"/>
      <c r="S233" s="307"/>
      <c r="T233" s="307"/>
      <c r="U233" s="307"/>
      <c r="V233" s="307"/>
      <c r="W233" s="307"/>
      <c r="X233" s="307"/>
      <c r="Y233" s="307"/>
      <c r="Z233" s="307"/>
    </row>
    <row r="234" spans="1:26" ht="17.399999999999999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  <c r="M234" s="307"/>
      <c r="N234" s="307"/>
      <c r="O234" s="307"/>
      <c r="P234" s="307"/>
      <c r="Q234" s="307"/>
      <c r="R234" s="307"/>
      <c r="S234" s="307"/>
      <c r="T234" s="307"/>
      <c r="U234" s="307"/>
      <c r="V234" s="307"/>
      <c r="W234" s="307"/>
      <c r="X234" s="307"/>
      <c r="Y234" s="307"/>
      <c r="Z234" s="307"/>
    </row>
    <row r="235" spans="1:26" ht="17.399999999999999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  <c r="U235" s="307"/>
      <c r="V235" s="307"/>
      <c r="W235" s="307"/>
      <c r="X235" s="307"/>
      <c r="Y235" s="307"/>
      <c r="Z235" s="307"/>
    </row>
    <row r="236" spans="1:26" ht="17.399999999999999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  <c r="M236" s="307"/>
      <c r="N236" s="307"/>
      <c r="O236" s="307"/>
      <c r="P236" s="307"/>
      <c r="Q236" s="307"/>
      <c r="R236" s="307"/>
      <c r="S236" s="307"/>
      <c r="T236" s="307"/>
      <c r="U236" s="307"/>
      <c r="V236" s="307"/>
      <c r="W236" s="307"/>
      <c r="X236" s="307"/>
      <c r="Y236" s="307"/>
      <c r="Z236" s="307"/>
    </row>
    <row r="237" spans="1:26" ht="17.399999999999999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  <c r="M237" s="307"/>
      <c r="N237" s="307"/>
      <c r="O237" s="307"/>
      <c r="P237" s="307"/>
      <c r="Q237" s="307"/>
      <c r="R237" s="307"/>
      <c r="S237" s="307"/>
      <c r="T237" s="307"/>
      <c r="U237" s="307"/>
      <c r="V237" s="307"/>
      <c r="W237" s="307"/>
      <c r="X237" s="307"/>
      <c r="Y237" s="307"/>
      <c r="Z237" s="307"/>
    </row>
    <row r="238" spans="1:26" ht="17.399999999999999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  <c r="M238" s="307"/>
      <c r="N238" s="307"/>
      <c r="O238" s="307"/>
      <c r="P238" s="307"/>
      <c r="Q238" s="307"/>
      <c r="R238" s="307"/>
      <c r="S238" s="307"/>
      <c r="T238" s="307"/>
      <c r="U238" s="307"/>
      <c r="V238" s="307"/>
      <c r="W238" s="307"/>
      <c r="X238" s="307"/>
      <c r="Y238" s="307"/>
      <c r="Z238" s="307"/>
    </row>
    <row r="239" spans="1:26" ht="17.399999999999999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  <c r="M239" s="307"/>
      <c r="N239" s="307"/>
      <c r="O239" s="307"/>
      <c r="P239" s="307"/>
      <c r="Q239" s="307"/>
      <c r="R239" s="307"/>
      <c r="S239" s="307"/>
      <c r="T239" s="307"/>
      <c r="U239" s="307"/>
      <c r="V239" s="307"/>
      <c r="W239" s="307"/>
      <c r="X239" s="307"/>
      <c r="Y239" s="307"/>
      <c r="Z239" s="307"/>
    </row>
    <row r="240" spans="1:26" ht="17.399999999999999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  <c r="M240" s="307"/>
      <c r="N240" s="307"/>
      <c r="O240" s="307"/>
      <c r="P240" s="307"/>
      <c r="Q240" s="307"/>
      <c r="R240" s="307"/>
      <c r="S240" s="307"/>
      <c r="T240" s="307"/>
      <c r="U240" s="307"/>
      <c r="V240" s="307"/>
      <c r="W240" s="307"/>
      <c r="X240" s="307"/>
      <c r="Y240" s="307"/>
      <c r="Z240" s="307"/>
    </row>
    <row r="241" spans="1:26" ht="17.399999999999999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7"/>
      <c r="V241" s="307"/>
      <c r="W241" s="307"/>
      <c r="X241" s="307"/>
      <c r="Y241" s="307"/>
      <c r="Z241" s="307"/>
    </row>
    <row r="242" spans="1:26" ht="17.399999999999999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  <c r="M242" s="307"/>
      <c r="N242" s="307"/>
      <c r="O242" s="307"/>
      <c r="P242" s="307"/>
      <c r="Q242" s="307"/>
      <c r="R242" s="307"/>
      <c r="S242" s="307"/>
      <c r="T242" s="307"/>
      <c r="U242" s="307"/>
      <c r="V242" s="307"/>
      <c r="W242" s="307"/>
      <c r="X242" s="307"/>
      <c r="Y242" s="307"/>
      <c r="Z242" s="307"/>
    </row>
    <row r="243" spans="1:26" ht="17.399999999999999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  <c r="M243" s="307"/>
      <c r="N243" s="307"/>
      <c r="O243" s="307"/>
      <c r="P243" s="307"/>
      <c r="Q243" s="307"/>
      <c r="R243" s="307"/>
      <c r="S243" s="307"/>
      <c r="T243" s="307"/>
      <c r="U243" s="307"/>
      <c r="V243" s="307"/>
      <c r="W243" s="307"/>
      <c r="X243" s="307"/>
      <c r="Y243" s="307"/>
      <c r="Z243" s="307"/>
    </row>
    <row r="244" spans="1:26" ht="17.399999999999999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  <c r="M244" s="307"/>
      <c r="N244" s="307"/>
      <c r="O244" s="307"/>
      <c r="P244" s="307"/>
      <c r="Q244" s="307"/>
      <c r="R244" s="307"/>
      <c r="S244" s="307"/>
      <c r="T244" s="307"/>
      <c r="U244" s="307"/>
      <c r="V244" s="307"/>
      <c r="W244" s="307"/>
      <c r="X244" s="307"/>
      <c r="Y244" s="307"/>
      <c r="Z244" s="307"/>
    </row>
    <row r="245" spans="1:26" ht="17.399999999999999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  <c r="O245" s="307"/>
      <c r="P245" s="307"/>
      <c r="Q245" s="307"/>
      <c r="R245" s="307"/>
      <c r="S245" s="307"/>
      <c r="T245" s="307"/>
      <c r="U245" s="307"/>
      <c r="V245" s="307"/>
      <c r="W245" s="307"/>
      <c r="X245" s="307"/>
      <c r="Y245" s="307"/>
      <c r="Z245" s="307"/>
    </row>
    <row r="246" spans="1:26" ht="17.399999999999999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  <c r="M246" s="307"/>
      <c r="N246" s="307"/>
      <c r="O246" s="307"/>
      <c r="P246" s="307"/>
      <c r="Q246" s="307"/>
      <c r="R246" s="307"/>
      <c r="S246" s="307"/>
      <c r="T246" s="307"/>
      <c r="U246" s="307"/>
      <c r="V246" s="307"/>
      <c r="W246" s="307"/>
      <c r="X246" s="307"/>
      <c r="Y246" s="307"/>
      <c r="Z246" s="307"/>
    </row>
    <row r="247" spans="1:26" ht="17.399999999999999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  <c r="M247" s="307"/>
      <c r="N247" s="307"/>
      <c r="O247" s="307"/>
      <c r="P247" s="307"/>
      <c r="Q247" s="307"/>
      <c r="R247" s="307"/>
      <c r="S247" s="307"/>
      <c r="T247" s="307"/>
      <c r="U247" s="307"/>
      <c r="V247" s="307"/>
      <c r="W247" s="307"/>
      <c r="X247" s="307"/>
      <c r="Y247" s="307"/>
      <c r="Z247" s="307"/>
    </row>
    <row r="248" spans="1:26" ht="17.399999999999999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  <c r="M248" s="307"/>
      <c r="N248" s="307"/>
      <c r="O248" s="307"/>
      <c r="P248" s="307"/>
      <c r="Q248" s="307"/>
      <c r="R248" s="307"/>
      <c r="S248" s="307"/>
      <c r="T248" s="307"/>
      <c r="U248" s="307"/>
      <c r="V248" s="307"/>
      <c r="W248" s="307"/>
      <c r="X248" s="307"/>
      <c r="Y248" s="307"/>
      <c r="Z248" s="307"/>
    </row>
    <row r="249" spans="1:26" ht="17.399999999999999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  <c r="M249" s="307"/>
      <c r="N249" s="307"/>
      <c r="O249" s="307"/>
      <c r="P249" s="307"/>
      <c r="Q249" s="307"/>
      <c r="R249" s="307"/>
      <c r="S249" s="307"/>
      <c r="T249" s="307"/>
      <c r="U249" s="307"/>
      <c r="V249" s="307"/>
      <c r="W249" s="307"/>
      <c r="X249" s="307"/>
      <c r="Y249" s="307"/>
      <c r="Z249" s="307"/>
    </row>
    <row r="250" spans="1:26" ht="17.399999999999999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  <c r="M250" s="307"/>
      <c r="N250" s="307"/>
      <c r="O250" s="307"/>
      <c r="P250" s="307"/>
      <c r="Q250" s="307"/>
      <c r="R250" s="307"/>
      <c r="S250" s="307"/>
      <c r="T250" s="307"/>
      <c r="U250" s="307"/>
      <c r="V250" s="307"/>
      <c r="W250" s="307"/>
      <c r="X250" s="307"/>
      <c r="Y250" s="307"/>
      <c r="Z250" s="307"/>
    </row>
    <row r="251" spans="1:26" ht="17.399999999999999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07"/>
      <c r="P251" s="307"/>
      <c r="Q251" s="307"/>
      <c r="R251" s="307"/>
      <c r="S251" s="307"/>
      <c r="T251" s="307"/>
      <c r="U251" s="307"/>
      <c r="V251" s="307"/>
      <c r="W251" s="307"/>
      <c r="X251" s="307"/>
      <c r="Y251" s="307"/>
      <c r="Z251" s="307"/>
    </row>
    <row r="252" spans="1:26" ht="17.399999999999999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  <c r="M252" s="307"/>
      <c r="N252" s="307"/>
      <c r="O252" s="307"/>
      <c r="P252" s="307"/>
      <c r="Q252" s="307"/>
      <c r="R252" s="307"/>
      <c r="S252" s="307"/>
      <c r="T252" s="307"/>
      <c r="U252" s="307"/>
      <c r="V252" s="307"/>
      <c r="W252" s="307"/>
      <c r="X252" s="307"/>
      <c r="Y252" s="307"/>
      <c r="Z252" s="307"/>
    </row>
    <row r="253" spans="1:26" ht="17.399999999999999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  <c r="M253" s="307"/>
      <c r="N253" s="307"/>
      <c r="O253" s="307"/>
      <c r="P253" s="307"/>
      <c r="Q253" s="307"/>
      <c r="R253" s="307"/>
      <c r="S253" s="307"/>
      <c r="T253" s="307"/>
      <c r="U253" s="307"/>
      <c r="V253" s="307"/>
      <c r="W253" s="307"/>
      <c r="X253" s="307"/>
      <c r="Y253" s="307"/>
      <c r="Z253" s="307"/>
    </row>
    <row r="254" spans="1:26" ht="17.399999999999999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  <c r="M254" s="307"/>
      <c r="N254" s="307"/>
      <c r="O254" s="307"/>
      <c r="P254" s="307"/>
      <c r="Q254" s="307"/>
      <c r="R254" s="307"/>
      <c r="S254" s="307"/>
      <c r="T254" s="307"/>
      <c r="U254" s="307"/>
      <c r="V254" s="307"/>
      <c r="W254" s="307"/>
      <c r="X254" s="307"/>
      <c r="Y254" s="307"/>
      <c r="Z254" s="307"/>
    </row>
    <row r="255" spans="1:26" ht="17.399999999999999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  <c r="M255" s="307"/>
      <c r="N255" s="307"/>
      <c r="O255" s="307"/>
      <c r="P255" s="307"/>
      <c r="Q255" s="307"/>
      <c r="R255" s="307"/>
      <c r="S255" s="307"/>
      <c r="T255" s="307"/>
      <c r="U255" s="307"/>
      <c r="V255" s="307"/>
      <c r="W255" s="307"/>
      <c r="X255" s="307"/>
      <c r="Y255" s="307"/>
      <c r="Z255" s="307"/>
    </row>
    <row r="256" spans="1:26" ht="17.399999999999999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  <c r="M256" s="307"/>
      <c r="N256" s="307"/>
      <c r="O256" s="307"/>
      <c r="P256" s="307"/>
      <c r="Q256" s="307"/>
      <c r="R256" s="307"/>
      <c r="S256" s="307"/>
      <c r="T256" s="307"/>
      <c r="U256" s="307"/>
      <c r="V256" s="307"/>
      <c r="W256" s="307"/>
      <c r="X256" s="307"/>
      <c r="Y256" s="307"/>
      <c r="Z256" s="307"/>
    </row>
    <row r="257" spans="1:26" ht="17.399999999999999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  <c r="M257" s="307"/>
      <c r="N257" s="307"/>
      <c r="O257" s="307"/>
      <c r="P257" s="307"/>
      <c r="Q257" s="307"/>
      <c r="R257" s="307"/>
      <c r="S257" s="307"/>
      <c r="T257" s="307"/>
      <c r="U257" s="307"/>
      <c r="V257" s="307"/>
      <c r="W257" s="307"/>
      <c r="X257" s="307"/>
      <c r="Y257" s="307"/>
      <c r="Z257" s="307"/>
    </row>
    <row r="258" spans="1:26" ht="17.399999999999999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  <c r="M258" s="307"/>
      <c r="N258" s="307"/>
      <c r="O258" s="307"/>
      <c r="P258" s="307"/>
      <c r="Q258" s="307"/>
      <c r="R258" s="307"/>
      <c r="S258" s="307"/>
      <c r="T258" s="307"/>
      <c r="U258" s="307"/>
      <c r="V258" s="307"/>
      <c r="W258" s="307"/>
      <c r="X258" s="307"/>
      <c r="Y258" s="307"/>
      <c r="Z258" s="307"/>
    </row>
    <row r="259" spans="1:26" ht="17.399999999999999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  <c r="M259" s="307"/>
      <c r="N259" s="307"/>
      <c r="O259" s="307"/>
      <c r="P259" s="307"/>
      <c r="Q259" s="307"/>
      <c r="R259" s="307"/>
      <c r="S259" s="307"/>
      <c r="T259" s="307"/>
      <c r="U259" s="307"/>
      <c r="V259" s="307"/>
      <c r="W259" s="307"/>
      <c r="X259" s="307"/>
      <c r="Y259" s="307"/>
      <c r="Z259" s="307"/>
    </row>
    <row r="260" spans="1:26" ht="17.399999999999999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  <c r="M260" s="307"/>
      <c r="N260" s="307"/>
      <c r="O260" s="307"/>
      <c r="P260" s="307"/>
      <c r="Q260" s="307"/>
      <c r="R260" s="307"/>
      <c r="S260" s="307"/>
      <c r="T260" s="307"/>
      <c r="U260" s="307"/>
      <c r="V260" s="307"/>
      <c r="W260" s="307"/>
      <c r="X260" s="307"/>
      <c r="Y260" s="307"/>
      <c r="Z260" s="307"/>
    </row>
    <row r="261" spans="1:26" ht="17.399999999999999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  <c r="M261" s="307"/>
      <c r="N261" s="307"/>
      <c r="O261" s="307"/>
      <c r="P261" s="307"/>
      <c r="Q261" s="307"/>
      <c r="R261" s="307"/>
      <c r="S261" s="307"/>
      <c r="T261" s="307"/>
      <c r="U261" s="307"/>
      <c r="V261" s="307"/>
      <c r="W261" s="307"/>
      <c r="X261" s="307"/>
      <c r="Y261" s="307"/>
      <c r="Z261" s="307"/>
    </row>
    <row r="262" spans="1:26" ht="17.399999999999999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  <c r="M262" s="307"/>
      <c r="N262" s="307"/>
      <c r="O262" s="307"/>
      <c r="P262" s="307"/>
      <c r="Q262" s="307"/>
      <c r="R262" s="307"/>
      <c r="S262" s="307"/>
      <c r="T262" s="307"/>
      <c r="U262" s="307"/>
      <c r="V262" s="307"/>
      <c r="W262" s="307"/>
      <c r="X262" s="307"/>
      <c r="Y262" s="307"/>
      <c r="Z262" s="307"/>
    </row>
    <row r="263" spans="1:26" ht="17.399999999999999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  <c r="M263" s="307"/>
      <c r="N263" s="307"/>
      <c r="O263" s="307"/>
      <c r="P263" s="307"/>
      <c r="Q263" s="307"/>
      <c r="R263" s="307"/>
      <c r="S263" s="307"/>
      <c r="T263" s="307"/>
      <c r="U263" s="307"/>
      <c r="V263" s="307"/>
      <c r="W263" s="307"/>
      <c r="X263" s="307"/>
      <c r="Y263" s="307"/>
      <c r="Z263" s="307"/>
    </row>
    <row r="264" spans="1:26" ht="17.399999999999999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  <c r="M264" s="307"/>
      <c r="N264" s="307"/>
      <c r="O264" s="307"/>
      <c r="P264" s="307"/>
      <c r="Q264" s="307"/>
      <c r="R264" s="307"/>
      <c r="S264" s="307"/>
      <c r="T264" s="307"/>
      <c r="U264" s="307"/>
      <c r="V264" s="307"/>
      <c r="W264" s="307"/>
      <c r="X264" s="307"/>
      <c r="Y264" s="307"/>
      <c r="Z264" s="307"/>
    </row>
    <row r="265" spans="1:26" ht="17.399999999999999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  <c r="M265" s="307"/>
      <c r="N265" s="307"/>
      <c r="O265" s="307"/>
      <c r="P265" s="307"/>
      <c r="Q265" s="307"/>
      <c r="R265" s="307"/>
      <c r="S265" s="307"/>
      <c r="T265" s="307"/>
      <c r="U265" s="307"/>
      <c r="V265" s="307"/>
      <c r="W265" s="307"/>
      <c r="X265" s="307"/>
      <c r="Y265" s="307"/>
      <c r="Z265" s="307"/>
    </row>
    <row r="266" spans="1:26" ht="17.399999999999999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  <c r="M266" s="307"/>
      <c r="N266" s="307"/>
      <c r="O266" s="307"/>
      <c r="P266" s="307"/>
      <c r="Q266" s="307"/>
      <c r="R266" s="307"/>
      <c r="S266" s="307"/>
      <c r="T266" s="307"/>
      <c r="U266" s="307"/>
      <c r="V266" s="307"/>
      <c r="W266" s="307"/>
      <c r="X266" s="307"/>
      <c r="Y266" s="307"/>
      <c r="Z266" s="307"/>
    </row>
    <row r="267" spans="1:26" ht="17.399999999999999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  <c r="M267" s="307"/>
      <c r="N267" s="307"/>
      <c r="O267" s="307"/>
      <c r="P267" s="307"/>
      <c r="Q267" s="307"/>
      <c r="R267" s="307"/>
      <c r="S267" s="307"/>
      <c r="T267" s="307"/>
      <c r="U267" s="307"/>
      <c r="V267" s="307"/>
      <c r="W267" s="307"/>
      <c r="X267" s="307"/>
      <c r="Y267" s="307"/>
      <c r="Z267" s="307"/>
    </row>
    <row r="268" spans="1:26" ht="17.399999999999999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  <c r="M268" s="307"/>
      <c r="N268" s="307"/>
      <c r="O268" s="307"/>
      <c r="P268" s="307"/>
      <c r="Q268" s="307"/>
      <c r="R268" s="307"/>
      <c r="S268" s="307"/>
      <c r="T268" s="307"/>
      <c r="U268" s="307"/>
      <c r="V268" s="307"/>
      <c r="W268" s="307"/>
      <c r="X268" s="307"/>
      <c r="Y268" s="307"/>
      <c r="Z268" s="307"/>
    </row>
    <row r="269" spans="1:26" ht="17.399999999999999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  <c r="M269" s="307"/>
      <c r="N269" s="307"/>
      <c r="O269" s="307"/>
      <c r="P269" s="307"/>
      <c r="Q269" s="307"/>
      <c r="R269" s="307"/>
      <c r="S269" s="307"/>
      <c r="T269" s="307"/>
      <c r="U269" s="307"/>
      <c r="V269" s="307"/>
      <c r="W269" s="307"/>
      <c r="X269" s="307"/>
      <c r="Y269" s="307"/>
      <c r="Z269" s="307"/>
    </row>
    <row r="270" spans="1:26" ht="17.399999999999999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  <c r="M270" s="307"/>
      <c r="N270" s="307"/>
      <c r="O270" s="307"/>
      <c r="P270" s="307"/>
      <c r="Q270" s="307"/>
      <c r="R270" s="307"/>
      <c r="S270" s="307"/>
      <c r="T270" s="307"/>
      <c r="U270" s="307"/>
      <c r="V270" s="307"/>
      <c r="W270" s="307"/>
      <c r="X270" s="307"/>
      <c r="Y270" s="307"/>
      <c r="Z270" s="307"/>
    </row>
    <row r="271" spans="1:26" ht="17.399999999999999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  <c r="M271" s="307"/>
      <c r="N271" s="307"/>
      <c r="O271" s="307"/>
      <c r="P271" s="307"/>
      <c r="Q271" s="307"/>
      <c r="R271" s="307"/>
      <c r="S271" s="307"/>
      <c r="T271" s="307"/>
      <c r="U271" s="307"/>
      <c r="V271" s="307"/>
      <c r="W271" s="307"/>
      <c r="X271" s="307"/>
      <c r="Y271" s="307"/>
      <c r="Z271" s="307"/>
    </row>
    <row r="272" spans="1:26" ht="17.399999999999999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  <c r="M272" s="307"/>
      <c r="N272" s="307"/>
      <c r="O272" s="307"/>
      <c r="P272" s="307"/>
      <c r="Q272" s="307"/>
      <c r="R272" s="307"/>
      <c r="S272" s="307"/>
      <c r="T272" s="307"/>
      <c r="U272" s="307"/>
      <c r="V272" s="307"/>
      <c r="W272" s="307"/>
      <c r="X272" s="307"/>
      <c r="Y272" s="307"/>
      <c r="Z272" s="307"/>
    </row>
    <row r="273" spans="1:26" ht="17.399999999999999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  <c r="M273" s="307"/>
      <c r="N273" s="307"/>
      <c r="O273" s="307"/>
      <c r="P273" s="307"/>
      <c r="Q273" s="307"/>
      <c r="R273" s="307"/>
      <c r="S273" s="307"/>
      <c r="T273" s="307"/>
      <c r="U273" s="307"/>
      <c r="V273" s="307"/>
      <c r="W273" s="307"/>
      <c r="X273" s="307"/>
      <c r="Y273" s="307"/>
      <c r="Z273" s="307"/>
    </row>
    <row r="274" spans="1:26" ht="17.399999999999999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  <c r="M274" s="307"/>
      <c r="N274" s="307"/>
      <c r="O274" s="307"/>
      <c r="P274" s="307"/>
      <c r="Q274" s="307"/>
      <c r="R274" s="307"/>
      <c r="S274" s="307"/>
      <c r="T274" s="307"/>
      <c r="U274" s="307"/>
      <c r="V274" s="307"/>
      <c r="W274" s="307"/>
      <c r="X274" s="307"/>
      <c r="Y274" s="307"/>
      <c r="Z274" s="307"/>
    </row>
    <row r="275" spans="1:26" ht="17.399999999999999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  <c r="M275" s="307"/>
      <c r="N275" s="307"/>
      <c r="O275" s="307"/>
      <c r="P275" s="307"/>
      <c r="Q275" s="307"/>
      <c r="R275" s="307"/>
      <c r="S275" s="307"/>
      <c r="T275" s="307"/>
      <c r="U275" s="307"/>
      <c r="V275" s="307"/>
      <c r="W275" s="307"/>
      <c r="X275" s="307"/>
      <c r="Y275" s="307"/>
      <c r="Z275" s="307"/>
    </row>
    <row r="276" spans="1:26" ht="17.399999999999999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  <c r="M276" s="307"/>
      <c r="N276" s="307"/>
      <c r="O276" s="307"/>
      <c r="P276" s="307"/>
      <c r="Q276" s="307"/>
      <c r="R276" s="307"/>
      <c r="S276" s="307"/>
      <c r="T276" s="307"/>
      <c r="U276" s="307"/>
      <c r="V276" s="307"/>
      <c r="W276" s="307"/>
      <c r="X276" s="307"/>
      <c r="Y276" s="307"/>
      <c r="Z276" s="307"/>
    </row>
    <row r="277" spans="1:26" ht="17.399999999999999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  <c r="M277" s="307"/>
      <c r="N277" s="307"/>
      <c r="O277" s="307"/>
      <c r="P277" s="307"/>
      <c r="Q277" s="307"/>
      <c r="R277" s="307"/>
      <c r="S277" s="307"/>
      <c r="T277" s="307"/>
      <c r="U277" s="307"/>
      <c r="V277" s="307"/>
      <c r="W277" s="307"/>
      <c r="X277" s="307"/>
      <c r="Y277" s="307"/>
      <c r="Z277" s="307"/>
    </row>
    <row r="278" spans="1:26" ht="17.399999999999999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  <c r="M278" s="307"/>
      <c r="N278" s="307"/>
      <c r="O278" s="307"/>
      <c r="P278" s="307"/>
      <c r="Q278" s="307"/>
      <c r="R278" s="307"/>
      <c r="S278" s="307"/>
      <c r="T278" s="307"/>
      <c r="U278" s="307"/>
      <c r="V278" s="307"/>
      <c r="W278" s="307"/>
      <c r="X278" s="307"/>
      <c r="Y278" s="307"/>
      <c r="Z278" s="307"/>
    </row>
    <row r="279" spans="1:26" ht="17.399999999999999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  <c r="M279" s="307"/>
      <c r="N279" s="307"/>
      <c r="O279" s="307"/>
      <c r="P279" s="307"/>
      <c r="Q279" s="307"/>
      <c r="R279" s="307"/>
      <c r="S279" s="307"/>
      <c r="T279" s="307"/>
      <c r="U279" s="307"/>
      <c r="V279" s="307"/>
      <c r="W279" s="307"/>
      <c r="X279" s="307"/>
      <c r="Y279" s="307"/>
      <c r="Z279" s="307"/>
    </row>
    <row r="280" spans="1:26" ht="17.399999999999999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  <c r="M280" s="307"/>
      <c r="N280" s="307"/>
      <c r="O280" s="307"/>
      <c r="P280" s="307"/>
      <c r="Q280" s="307"/>
      <c r="R280" s="307"/>
      <c r="S280" s="307"/>
      <c r="T280" s="307"/>
      <c r="U280" s="307"/>
      <c r="V280" s="307"/>
      <c r="W280" s="307"/>
      <c r="X280" s="307"/>
      <c r="Y280" s="307"/>
      <c r="Z280" s="307"/>
    </row>
    <row r="281" spans="1:26" ht="17.399999999999999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7"/>
      <c r="U281" s="307"/>
      <c r="V281" s="307"/>
      <c r="W281" s="307"/>
      <c r="X281" s="307"/>
      <c r="Y281" s="307"/>
      <c r="Z281" s="307"/>
    </row>
    <row r="282" spans="1:26" ht="17.399999999999999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  <c r="M282" s="307"/>
      <c r="N282" s="307"/>
      <c r="O282" s="307"/>
      <c r="P282" s="307"/>
      <c r="Q282" s="307"/>
      <c r="R282" s="307"/>
      <c r="S282" s="307"/>
      <c r="T282" s="307"/>
      <c r="U282" s="307"/>
      <c r="V282" s="307"/>
      <c r="W282" s="307"/>
      <c r="X282" s="307"/>
      <c r="Y282" s="307"/>
      <c r="Z282" s="307"/>
    </row>
    <row r="283" spans="1:26" ht="17.399999999999999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  <c r="M283" s="307"/>
      <c r="N283" s="307"/>
      <c r="O283" s="307"/>
      <c r="P283" s="307"/>
      <c r="Q283" s="307"/>
      <c r="R283" s="307"/>
      <c r="S283" s="307"/>
      <c r="T283" s="307"/>
      <c r="U283" s="307"/>
      <c r="V283" s="307"/>
      <c r="W283" s="307"/>
      <c r="X283" s="307"/>
      <c r="Y283" s="307"/>
      <c r="Z283" s="307"/>
    </row>
    <row r="284" spans="1:26" ht="17.399999999999999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  <c r="M284" s="307"/>
      <c r="N284" s="307"/>
      <c r="O284" s="307"/>
      <c r="P284" s="307"/>
      <c r="Q284" s="307"/>
      <c r="R284" s="307"/>
      <c r="S284" s="307"/>
      <c r="T284" s="307"/>
      <c r="U284" s="307"/>
      <c r="V284" s="307"/>
      <c r="W284" s="307"/>
      <c r="X284" s="307"/>
      <c r="Y284" s="307"/>
      <c r="Z284" s="307"/>
    </row>
    <row r="285" spans="1:26" ht="17.399999999999999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  <c r="M285" s="307"/>
      <c r="N285" s="307"/>
      <c r="O285" s="307"/>
      <c r="P285" s="307"/>
      <c r="Q285" s="307"/>
      <c r="R285" s="307"/>
      <c r="S285" s="307"/>
      <c r="T285" s="307"/>
      <c r="U285" s="307"/>
      <c r="V285" s="307"/>
      <c r="W285" s="307"/>
      <c r="X285" s="307"/>
      <c r="Y285" s="307"/>
      <c r="Z285" s="307"/>
    </row>
    <row r="286" spans="1:26" ht="17.399999999999999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  <c r="M286" s="307"/>
      <c r="N286" s="307"/>
      <c r="O286" s="307"/>
      <c r="P286" s="307"/>
      <c r="Q286" s="307"/>
      <c r="R286" s="307"/>
      <c r="S286" s="307"/>
      <c r="T286" s="307"/>
      <c r="U286" s="307"/>
      <c r="V286" s="307"/>
      <c r="W286" s="307"/>
      <c r="X286" s="307"/>
      <c r="Y286" s="307"/>
      <c r="Z286" s="307"/>
    </row>
    <row r="287" spans="1:26" ht="17.399999999999999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  <c r="M287" s="307"/>
      <c r="N287" s="307"/>
      <c r="O287" s="307"/>
      <c r="P287" s="307"/>
      <c r="Q287" s="307"/>
      <c r="R287" s="307"/>
      <c r="S287" s="307"/>
      <c r="T287" s="307"/>
      <c r="U287" s="307"/>
      <c r="V287" s="307"/>
      <c r="W287" s="307"/>
      <c r="X287" s="307"/>
      <c r="Y287" s="307"/>
      <c r="Z287" s="307"/>
    </row>
    <row r="288" spans="1:26" ht="17.399999999999999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  <c r="M288" s="307"/>
      <c r="N288" s="307"/>
      <c r="O288" s="307"/>
      <c r="P288" s="307"/>
      <c r="Q288" s="307"/>
      <c r="R288" s="307"/>
      <c r="S288" s="307"/>
      <c r="T288" s="307"/>
      <c r="U288" s="307"/>
      <c r="V288" s="307"/>
      <c r="W288" s="307"/>
      <c r="X288" s="307"/>
      <c r="Y288" s="307"/>
      <c r="Z288" s="307"/>
    </row>
    <row r="289" spans="1:26" ht="17.399999999999999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  <c r="M289" s="307"/>
      <c r="N289" s="307"/>
      <c r="O289" s="307"/>
      <c r="P289" s="307"/>
      <c r="Q289" s="307"/>
      <c r="R289" s="307"/>
      <c r="S289" s="307"/>
      <c r="T289" s="307"/>
      <c r="U289" s="307"/>
      <c r="V289" s="307"/>
      <c r="W289" s="307"/>
      <c r="X289" s="307"/>
      <c r="Y289" s="307"/>
      <c r="Z289" s="307"/>
    </row>
    <row r="290" spans="1:26" ht="17.399999999999999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  <c r="M290" s="307"/>
      <c r="N290" s="307"/>
      <c r="O290" s="307"/>
      <c r="P290" s="307"/>
      <c r="Q290" s="307"/>
      <c r="R290" s="307"/>
      <c r="S290" s="307"/>
      <c r="T290" s="307"/>
      <c r="U290" s="307"/>
      <c r="V290" s="307"/>
      <c r="W290" s="307"/>
      <c r="X290" s="307"/>
      <c r="Y290" s="307"/>
      <c r="Z290" s="307"/>
    </row>
    <row r="291" spans="1:26" ht="17.399999999999999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  <c r="M291" s="307"/>
      <c r="N291" s="307"/>
      <c r="O291" s="307"/>
      <c r="P291" s="307"/>
      <c r="Q291" s="307"/>
      <c r="R291" s="307"/>
      <c r="S291" s="307"/>
      <c r="T291" s="307"/>
      <c r="U291" s="307"/>
      <c r="V291" s="307"/>
      <c r="W291" s="307"/>
      <c r="X291" s="307"/>
      <c r="Y291" s="307"/>
      <c r="Z291" s="307"/>
    </row>
    <row r="292" spans="1:26" ht="17.399999999999999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  <c r="M292" s="307"/>
      <c r="N292" s="307"/>
      <c r="O292" s="307"/>
      <c r="P292" s="307"/>
      <c r="Q292" s="307"/>
      <c r="R292" s="307"/>
      <c r="S292" s="307"/>
      <c r="T292" s="307"/>
      <c r="U292" s="307"/>
      <c r="V292" s="307"/>
      <c r="W292" s="307"/>
      <c r="X292" s="307"/>
      <c r="Y292" s="307"/>
      <c r="Z292" s="307"/>
    </row>
    <row r="293" spans="1:26" ht="17.399999999999999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  <c r="M293" s="307"/>
      <c r="N293" s="307"/>
      <c r="O293" s="307"/>
      <c r="P293" s="307"/>
      <c r="Q293" s="307"/>
      <c r="R293" s="307"/>
      <c r="S293" s="307"/>
      <c r="T293" s="307"/>
      <c r="U293" s="307"/>
      <c r="V293" s="307"/>
      <c r="W293" s="307"/>
      <c r="X293" s="307"/>
      <c r="Y293" s="307"/>
      <c r="Z293" s="307"/>
    </row>
    <row r="294" spans="1:26" ht="17.399999999999999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  <c r="M294" s="307"/>
      <c r="N294" s="307"/>
      <c r="O294" s="307"/>
      <c r="P294" s="307"/>
      <c r="Q294" s="307"/>
      <c r="R294" s="307"/>
      <c r="S294" s="307"/>
      <c r="T294" s="307"/>
      <c r="U294" s="307"/>
      <c r="V294" s="307"/>
      <c r="W294" s="307"/>
      <c r="X294" s="307"/>
      <c r="Y294" s="307"/>
      <c r="Z294" s="307"/>
    </row>
    <row r="295" spans="1:26" ht="17.399999999999999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  <c r="M295" s="307"/>
      <c r="N295" s="307"/>
      <c r="O295" s="307"/>
      <c r="P295" s="307"/>
      <c r="Q295" s="307"/>
      <c r="R295" s="307"/>
      <c r="S295" s="307"/>
      <c r="T295" s="307"/>
      <c r="U295" s="307"/>
      <c r="V295" s="307"/>
      <c r="W295" s="307"/>
      <c r="X295" s="307"/>
      <c r="Y295" s="307"/>
      <c r="Z295" s="307"/>
    </row>
    <row r="296" spans="1:26" ht="17.399999999999999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  <c r="M296" s="307"/>
      <c r="N296" s="307"/>
      <c r="O296" s="307"/>
      <c r="P296" s="307"/>
      <c r="Q296" s="307"/>
      <c r="R296" s="307"/>
      <c r="S296" s="307"/>
      <c r="T296" s="307"/>
      <c r="U296" s="307"/>
      <c r="V296" s="307"/>
      <c r="W296" s="307"/>
      <c r="X296" s="307"/>
      <c r="Y296" s="307"/>
      <c r="Z296" s="307"/>
    </row>
    <row r="297" spans="1:26" ht="17.399999999999999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  <c r="M297" s="307"/>
      <c r="N297" s="307"/>
      <c r="O297" s="307"/>
      <c r="P297" s="307"/>
      <c r="Q297" s="307"/>
      <c r="R297" s="307"/>
      <c r="S297" s="307"/>
      <c r="T297" s="307"/>
      <c r="U297" s="307"/>
      <c r="V297" s="307"/>
      <c r="W297" s="307"/>
      <c r="X297" s="307"/>
      <c r="Y297" s="307"/>
      <c r="Z297" s="307"/>
    </row>
    <row r="298" spans="1:26" ht="17.399999999999999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  <c r="M298" s="307"/>
      <c r="N298" s="307"/>
      <c r="O298" s="307"/>
      <c r="P298" s="307"/>
      <c r="Q298" s="307"/>
      <c r="R298" s="307"/>
      <c r="S298" s="307"/>
      <c r="T298" s="307"/>
      <c r="U298" s="307"/>
      <c r="V298" s="307"/>
      <c r="W298" s="307"/>
      <c r="X298" s="307"/>
      <c r="Y298" s="307"/>
      <c r="Z298" s="307"/>
    </row>
    <row r="299" spans="1:26" ht="17.399999999999999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  <c r="M299" s="307"/>
      <c r="N299" s="307"/>
      <c r="O299" s="307"/>
      <c r="P299" s="307"/>
      <c r="Q299" s="307"/>
      <c r="R299" s="307"/>
      <c r="S299" s="307"/>
      <c r="T299" s="307"/>
      <c r="U299" s="307"/>
      <c r="V299" s="307"/>
      <c r="W299" s="307"/>
      <c r="X299" s="307"/>
      <c r="Y299" s="307"/>
      <c r="Z299" s="307"/>
    </row>
    <row r="300" spans="1:26" ht="17.399999999999999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  <c r="M300" s="307"/>
      <c r="N300" s="307"/>
      <c r="O300" s="307"/>
      <c r="P300" s="307"/>
      <c r="Q300" s="307"/>
      <c r="R300" s="307"/>
      <c r="S300" s="307"/>
      <c r="T300" s="307"/>
      <c r="U300" s="307"/>
      <c r="V300" s="307"/>
      <c r="W300" s="307"/>
      <c r="X300" s="307"/>
      <c r="Y300" s="307"/>
      <c r="Z300" s="307"/>
    </row>
    <row r="301" spans="1:26" ht="17.399999999999999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  <c r="M301" s="307"/>
      <c r="N301" s="307"/>
      <c r="O301" s="307"/>
      <c r="P301" s="307"/>
      <c r="Q301" s="307"/>
      <c r="R301" s="307"/>
      <c r="S301" s="307"/>
      <c r="T301" s="307"/>
      <c r="U301" s="307"/>
      <c r="V301" s="307"/>
      <c r="W301" s="307"/>
      <c r="X301" s="307"/>
      <c r="Y301" s="307"/>
      <c r="Z301" s="307"/>
    </row>
    <row r="302" spans="1:26" ht="17.399999999999999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  <c r="M302" s="307"/>
      <c r="N302" s="307"/>
      <c r="O302" s="307"/>
      <c r="P302" s="307"/>
      <c r="Q302" s="307"/>
      <c r="R302" s="307"/>
      <c r="S302" s="307"/>
      <c r="T302" s="307"/>
      <c r="U302" s="307"/>
      <c r="V302" s="307"/>
      <c r="W302" s="307"/>
      <c r="X302" s="307"/>
      <c r="Y302" s="307"/>
      <c r="Z302" s="307"/>
    </row>
    <row r="303" spans="1:26" ht="17.399999999999999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  <c r="M303" s="307"/>
      <c r="N303" s="307"/>
      <c r="O303" s="307"/>
      <c r="P303" s="307"/>
      <c r="Q303" s="307"/>
      <c r="R303" s="307"/>
      <c r="S303" s="307"/>
      <c r="T303" s="307"/>
      <c r="U303" s="307"/>
      <c r="V303" s="307"/>
      <c r="W303" s="307"/>
      <c r="X303" s="307"/>
      <c r="Y303" s="307"/>
      <c r="Z303" s="307"/>
    </row>
    <row r="304" spans="1:26" ht="17.399999999999999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  <c r="M304" s="307"/>
      <c r="N304" s="307"/>
      <c r="O304" s="307"/>
      <c r="P304" s="307"/>
      <c r="Q304" s="307"/>
      <c r="R304" s="307"/>
      <c r="S304" s="307"/>
      <c r="T304" s="307"/>
      <c r="U304" s="307"/>
      <c r="V304" s="307"/>
      <c r="W304" s="307"/>
      <c r="X304" s="307"/>
      <c r="Y304" s="307"/>
      <c r="Z304" s="307"/>
    </row>
    <row r="305" spans="1:26" ht="17.399999999999999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  <c r="M305" s="307"/>
      <c r="N305" s="307"/>
      <c r="O305" s="307"/>
      <c r="P305" s="307"/>
      <c r="Q305" s="307"/>
      <c r="R305" s="307"/>
      <c r="S305" s="307"/>
      <c r="T305" s="307"/>
      <c r="U305" s="307"/>
      <c r="V305" s="307"/>
      <c r="W305" s="307"/>
      <c r="X305" s="307"/>
      <c r="Y305" s="307"/>
      <c r="Z305" s="307"/>
    </row>
    <row r="306" spans="1:26" ht="17.399999999999999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  <c r="M306" s="307"/>
      <c r="N306" s="307"/>
      <c r="O306" s="307"/>
      <c r="P306" s="307"/>
      <c r="Q306" s="307"/>
      <c r="R306" s="307"/>
      <c r="S306" s="307"/>
      <c r="T306" s="307"/>
      <c r="U306" s="307"/>
      <c r="V306" s="307"/>
      <c r="W306" s="307"/>
      <c r="X306" s="307"/>
      <c r="Y306" s="307"/>
      <c r="Z306" s="307"/>
    </row>
    <row r="307" spans="1:26" ht="17.399999999999999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  <c r="M307" s="307"/>
      <c r="N307" s="307"/>
      <c r="O307" s="307"/>
      <c r="P307" s="307"/>
      <c r="Q307" s="307"/>
      <c r="R307" s="307"/>
      <c r="S307" s="307"/>
      <c r="T307" s="307"/>
      <c r="U307" s="307"/>
      <c r="V307" s="307"/>
      <c r="W307" s="307"/>
      <c r="X307" s="307"/>
      <c r="Y307" s="307"/>
      <c r="Z307" s="307"/>
    </row>
    <row r="308" spans="1:26" ht="17.399999999999999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  <c r="M308" s="307"/>
      <c r="N308" s="307"/>
      <c r="O308" s="307"/>
      <c r="P308" s="307"/>
      <c r="Q308" s="307"/>
      <c r="R308" s="307"/>
      <c r="S308" s="307"/>
      <c r="T308" s="307"/>
      <c r="U308" s="307"/>
      <c r="V308" s="307"/>
      <c r="W308" s="307"/>
      <c r="X308" s="307"/>
      <c r="Y308" s="307"/>
      <c r="Z308" s="307"/>
    </row>
    <row r="309" spans="1:26" ht="17.399999999999999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  <c r="M309" s="307"/>
      <c r="N309" s="307"/>
      <c r="O309" s="307"/>
      <c r="P309" s="307"/>
      <c r="Q309" s="307"/>
      <c r="R309" s="307"/>
      <c r="S309" s="307"/>
      <c r="T309" s="307"/>
      <c r="U309" s="307"/>
      <c r="V309" s="307"/>
      <c r="W309" s="307"/>
      <c r="X309" s="307"/>
      <c r="Y309" s="307"/>
      <c r="Z309" s="307"/>
    </row>
    <row r="310" spans="1:26" ht="17.399999999999999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  <c r="M310" s="307"/>
      <c r="N310" s="307"/>
      <c r="O310" s="307"/>
      <c r="P310" s="307"/>
      <c r="Q310" s="307"/>
      <c r="R310" s="307"/>
      <c r="S310" s="307"/>
      <c r="T310" s="307"/>
      <c r="U310" s="307"/>
      <c r="V310" s="307"/>
      <c r="W310" s="307"/>
      <c r="X310" s="307"/>
      <c r="Y310" s="307"/>
      <c r="Z310" s="307"/>
    </row>
    <row r="311" spans="1:26" ht="17.399999999999999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  <c r="M311" s="307"/>
      <c r="N311" s="307"/>
      <c r="O311" s="307"/>
      <c r="P311" s="307"/>
      <c r="Q311" s="307"/>
      <c r="R311" s="307"/>
      <c r="S311" s="307"/>
      <c r="T311" s="307"/>
      <c r="U311" s="307"/>
      <c r="V311" s="307"/>
      <c r="W311" s="307"/>
      <c r="X311" s="307"/>
      <c r="Y311" s="307"/>
      <c r="Z311" s="307"/>
    </row>
    <row r="312" spans="1:26" ht="17.399999999999999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  <c r="M312" s="307"/>
      <c r="N312" s="307"/>
      <c r="O312" s="307"/>
      <c r="P312" s="307"/>
      <c r="Q312" s="307"/>
      <c r="R312" s="307"/>
      <c r="S312" s="307"/>
      <c r="T312" s="307"/>
      <c r="U312" s="307"/>
      <c r="V312" s="307"/>
      <c r="W312" s="307"/>
      <c r="X312" s="307"/>
      <c r="Y312" s="307"/>
      <c r="Z312" s="307"/>
    </row>
    <row r="313" spans="1:26" ht="17.399999999999999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  <c r="M313" s="307"/>
      <c r="N313" s="307"/>
      <c r="O313" s="307"/>
      <c r="P313" s="307"/>
      <c r="Q313" s="307"/>
      <c r="R313" s="307"/>
      <c r="S313" s="307"/>
      <c r="T313" s="307"/>
      <c r="U313" s="307"/>
      <c r="V313" s="307"/>
      <c r="W313" s="307"/>
      <c r="X313" s="307"/>
      <c r="Y313" s="307"/>
      <c r="Z313" s="307"/>
    </row>
    <row r="314" spans="1:26" ht="17.399999999999999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  <c r="M314" s="307"/>
      <c r="N314" s="307"/>
      <c r="O314" s="307"/>
      <c r="P314" s="307"/>
      <c r="Q314" s="307"/>
      <c r="R314" s="307"/>
      <c r="S314" s="307"/>
      <c r="T314" s="307"/>
      <c r="U314" s="307"/>
      <c r="V314" s="307"/>
      <c r="W314" s="307"/>
      <c r="X314" s="307"/>
      <c r="Y314" s="307"/>
      <c r="Z314" s="307"/>
    </row>
    <row r="315" spans="1:26" ht="17.399999999999999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  <c r="M315" s="307"/>
      <c r="N315" s="307"/>
      <c r="O315" s="307"/>
      <c r="P315" s="307"/>
      <c r="Q315" s="307"/>
      <c r="R315" s="307"/>
      <c r="S315" s="307"/>
      <c r="T315" s="307"/>
      <c r="U315" s="307"/>
      <c r="V315" s="307"/>
      <c r="W315" s="307"/>
      <c r="X315" s="307"/>
      <c r="Y315" s="307"/>
      <c r="Z315" s="307"/>
    </row>
    <row r="316" spans="1:26" ht="17.399999999999999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  <c r="M316" s="307"/>
      <c r="N316" s="307"/>
      <c r="O316" s="307"/>
      <c r="P316" s="307"/>
      <c r="Q316" s="307"/>
      <c r="R316" s="307"/>
      <c r="S316" s="307"/>
      <c r="T316" s="307"/>
      <c r="U316" s="307"/>
      <c r="V316" s="307"/>
      <c r="W316" s="307"/>
      <c r="X316" s="307"/>
      <c r="Y316" s="307"/>
      <c r="Z316" s="307"/>
    </row>
    <row r="317" spans="1:26" ht="17.399999999999999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  <c r="M317" s="307"/>
      <c r="N317" s="307"/>
      <c r="O317" s="307"/>
      <c r="P317" s="307"/>
      <c r="Q317" s="307"/>
      <c r="R317" s="307"/>
      <c r="S317" s="307"/>
      <c r="T317" s="307"/>
      <c r="U317" s="307"/>
      <c r="V317" s="307"/>
      <c r="W317" s="307"/>
      <c r="X317" s="307"/>
      <c r="Y317" s="307"/>
      <c r="Z317" s="307"/>
    </row>
    <row r="318" spans="1:26" ht="17.399999999999999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  <c r="M318" s="307"/>
      <c r="N318" s="307"/>
      <c r="O318" s="307"/>
      <c r="P318" s="307"/>
      <c r="Q318" s="307"/>
      <c r="R318" s="307"/>
      <c r="S318" s="307"/>
      <c r="T318" s="307"/>
      <c r="U318" s="307"/>
      <c r="V318" s="307"/>
      <c r="W318" s="307"/>
      <c r="X318" s="307"/>
      <c r="Y318" s="307"/>
      <c r="Z318" s="307"/>
    </row>
    <row r="319" spans="1:26" ht="17.399999999999999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  <c r="M319" s="307"/>
      <c r="N319" s="307"/>
      <c r="O319" s="307"/>
      <c r="P319" s="307"/>
      <c r="Q319" s="307"/>
      <c r="R319" s="307"/>
      <c r="S319" s="307"/>
      <c r="T319" s="307"/>
      <c r="U319" s="307"/>
      <c r="V319" s="307"/>
      <c r="W319" s="307"/>
      <c r="X319" s="307"/>
      <c r="Y319" s="307"/>
      <c r="Z319" s="307"/>
    </row>
    <row r="320" spans="1:26" ht="17.399999999999999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  <c r="M320" s="307"/>
      <c r="N320" s="307"/>
      <c r="O320" s="307"/>
      <c r="P320" s="307"/>
      <c r="Q320" s="307"/>
      <c r="R320" s="307"/>
      <c r="S320" s="307"/>
      <c r="T320" s="307"/>
      <c r="U320" s="307"/>
      <c r="V320" s="307"/>
      <c r="W320" s="307"/>
      <c r="X320" s="307"/>
      <c r="Y320" s="307"/>
      <c r="Z320" s="307"/>
    </row>
    <row r="321" spans="1:26" ht="17.399999999999999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  <c r="M321" s="307"/>
      <c r="N321" s="307"/>
      <c r="O321" s="307"/>
      <c r="P321" s="307"/>
      <c r="Q321" s="307"/>
      <c r="R321" s="307"/>
      <c r="S321" s="307"/>
      <c r="T321" s="307"/>
      <c r="U321" s="307"/>
      <c r="V321" s="307"/>
      <c r="W321" s="307"/>
      <c r="X321" s="307"/>
      <c r="Y321" s="307"/>
      <c r="Z321" s="307"/>
    </row>
    <row r="322" spans="1:26" ht="17.399999999999999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  <c r="M322" s="307"/>
      <c r="N322" s="307"/>
      <c r="O322" s="307"/>
      <c r="P322" s="307"/>
      <c r="Q322" s="307"/>
      <c r="R322" s="307"/>
      <c r="S322" s="307"/>
      <c r="T322" s="307"/>
      <c r="U322" s="307"/>
      <c r="V322" s="307"/>
      <c r="W322" s="307"/>
      <c r="X322" s="307"/>
      <c r="Y322" s="307"/>
      <c r="Z322" s="307"/>
    </row>
    <row r="323" spans="1:26" ht="17.399999999999999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  <c r="M323" s="307"/>
      <c r="N323" s="307"/>
      <c r="O323" s="307"/>
      <c r="P323" s="307"/>
      <c r="Q323" s="307"/>
      <c r="R323" s="307"/>
      <c r="S323" s="307"/>
      <c r="T323" s="307"/>
      <c r="U323" s="307"/>
      <c r="V323" s="307"/>
      <c r="W323" s="307"/>
      <c r="X323" s="307"/>
      <c r="Y323" s="307"/>
      <c r="Z323" s="307"/>
    </row>
    <row r="324" spans="1:26" ht="17.399999999999999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  <c r="M324" s="307"/>
      <c r="N324" s="307"/>
      <c r="O324" s="307"/>
      <c r="P324" s="307"/>
      <c r="Q324" s="307"/>
      <c r="R324" s="307"/>
      <c r="S324" s="307"/>
      <c r="T324" s="307"/>
      <c r="U324" s="307"/>
      <c r="V324" s="307"/>
      <c r="W324" s="307"/>
      <c r="X324" s="307"/>
      <c r="Y324" s="307"/>
      <c r="Z324" s="307"/>
    </row>
    <row r="325" spans="1:26" ht="17.399999999999999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  <c r="M325" s="307"/>
      <c r="N325" s="307"/>
      <c r="O325" s="307"/>
      <c r="P325" s="307"/>
      <c r="Q325" s="307"/>
      <c r="R325" s="307"/>
      <c r="S325" s="307"/>
      <c r="T325" s="307"/>
      <c r="U325" s="307"/>
      <c r="V325" s="307"/>
      <c r="W325" s="307"/>
      <c r="X325" s="307"/>
      <c r="Y325" s="307"/>
      <c r="Z325" s="307"/>
    </row>
    <row r="326" spans="1:26" ht="17.399999999999999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  <c r="M326" s="307"/>
      <c r="N326" s="307"/>
      <c r="O326" s="307"/>
      <c r="P326" s="307"/>
      <c r="Q326" s="307"/>
      <c r="R326" s="307"/>
      <c r="S326" s="307"/>
      <c r="T326" s="307"/>
      <c r="U326" s="307"/>
      <c r="V326" s="307"/>
      <c r="W326" s="307"/>
      <c r="X326" s="307"/>
      <c r="Y326" s="307"/>
      <c r="Z326" s="307"/>
    </row>
    <row r="327" spans="1:26" ht="17.399999999999999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  <c r="M327" s="307"/>
      <c r="N327" s="307"/>
      <c r="O327" s="307"/>
      <c r="P327" s="307"/>
      <c r="Q327" s="307"/>
      <c r="R327" s="307"/>
      <c r="S327" s="307"/>
      <c r="T327" s="307"/>
      <c r="U327" s="307"/>
      <c r="V327" s="307"/>
      <c r="W327" s="307"/>
      <c r="X327" s="307"/>
      <c r="Y327" s="307"/>
      <c r="Z327" s="307"/>
    </row>
    <row r="328" spans="1:26" ht="17.399999999999999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  <c r="M328" s="307"/>
      <c r="N328" s="307"/>
      <c r="O328" s="307"/>
      <c r="P328" s="307"/>
      <c r="Q328" s="307"/>
      <c r="R328" s="307"/>
      <c r="S328" s="307"/>
      <c r="T328" s="307"/>
      <c r="U328" s="307"/>
      <c r="V328" s="307"/>
      <c r="W328" s="307"/>
      <c r="X328" s="307"/>
      <c r="Y328" s="307"/>
      <c r="Z328" s="307"/>
    </row>
    <row r="329" spans="1:26" ht="17.399999999999999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  <c r="M329" s="307"/>
      <c r="N329" s="307"/>
      <c r="O329" s="307"/>
      <c r="P329" s="307"/>
      <c r="Q329" s="307"/>
      <c r="R329" s="307"/>
      <c r="S329" s="307"/>
      <c r="T329" s="307"/>
      <c r="U329" s="307"/>
      <c r="V329" s="307"/>
      <c r="W329" s="307"/>
      <c r="X329" s="307"/>
      <c r="Y329" s="307"/>
      <c r="Z329" s="307"/>
    </row>
    <row r="330" spans="1:26" ht="17.399999999999999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  <c r="M330" s="307"/>
      <c r="N330" s="307"/>
      <c r="O330" s="307"/>
      <c r="P330" s="307"/>
      <c r="Q330" s="307"/>
      <c r="R330" s="307"/>
      <c r="S330" s="307"/>
      <c r="T330" s="307"/>
      <c r="U330" s="307"/>
      <c r="V330" s="307"/>
      <c r="W330" s="307"/>
      <c r="X330" s="307"/>
      <c r="Y330" s="307"/>
      <c r="Z330" s="307"/>
    </row>
    <row r="331" spans="1:26" ht="17.399999999999999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  <c r="M331" s="307"/>
      <c r="N331" s="307"/>
      <c r="O331" s="307"/>
      <c r="P331" s="307"/>
      <c r="Q331" s="307"/>
      <c r="R331" s="307"/>
      <c r="S331" s="307"/>
      <c r="T331" s="307"/>
      <c r="U331" s="307"/>
      <c r="V331" s="307"/>
      <c r="W331" s="307"/>
      <c r="X331" s="307"/>
      <c r="Y331" s="307"/>
      <c r="Z331" s="307"/>
    </row>
    <row r="332" spans="1:26" ht="17.399999999999999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  <c r="M332" s="307"/>
      <c r="N332" s="307"/>
      <c r="O332" s="307"/>
      <c r="P332" s="307"/>
      <c r="Q332" s="307"/>
      <c r="R332" s="307"/>
      <c r="S332" s="307"/>
      <c r="T332" s="307"/>
      <c r="U332" s="307"/>
      <c r="V332" s="307"/>
      <c r="W332" s="307"/>
      <c r="X332" s="307"/>
      <c r="Y332" s="307"/>
      <c r="Z332" s="307"/>
    </row>
    <row r="333" spans="1:26" ht="17.399999999999999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  <c r="M333" s="307"/>
      <c r="N333" s="307"/>
      <c r="O333" s="307"/>
      <c r="P333" s="307"/>
      <c r="Q333" s="307"/>
      <c r="R333" s="307"/>
      <c r="S333" s="307"/>
      <c r="T333" s="307"/>
      <c r="U333" s="307"/>
      <c r="V333" s="307"/>
      <c r="W333" s="307"/>
      <c r="X333" s="307"/>
      <c r="Y333" s="307"/>
      <c r="Z333" s="307"/>
    </row>
    <row r="334" spans="1:26" ht="17.399999999999999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  <c r="M334" s="307"/>
      <c r="N334" s="307"/>
      <c r="O334" s="307"/>
      <c r="P334" s="307"/>
      <c r="Q334" s="307"/>
      <c r="R334" s="307"/>
      <c r="S334" s="307"/>
      <c r="T334" s="307"/>
      <c r="U334" s="307"/>
      <c r="V334" s="307"/>
      <c r="W334" s="307"/>
      <c r="X334" s="307"/>
      <c r="Y334" s="307"/>
      <c r="Z334" s="307"/>
    </row>
    <row r="335" spans="1:26" ht="17.399999999999999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  <c r="M335" s="307"/>
      <c r="N335" s="307"/>
      <c r="O335" s="307"/>
      <c r="P335" s="307"/>
      <c r="Q335" s="307"/>
      <c r="R335" s="307"/>
      <c r="S335" s="307"/>
      <c r="T335" s="307"/>
      <c r="U335" s="307"/>
      <c r="V335" s="307"/>
      <c r="W335" s="307"/>
      <c r="X335" s="307"/>
      <c r="Y335" s="307"/>
      <c r="Z335" s="307"/>
    </row>
    <row r="336" spans="1:26" ht="17.399999999999999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  <c r="M336" s="307"/>
      <c r="N336" s="307"/>
      <c r="O336" s="307"/>
      <c r="P336" s="307"/>
      <c r="Q336" s="307"/>
      <c r="R336" s="307"/>
      <c r="S336" s="307"/>
      <c r="T336" s="307"/>
      <c r="U336" s="307"/>
      <c r="V336" s="307"/>
      <c r="W336" s="307"/>
      <c r="X336" s="307"/>
      <c r="Y336" s="307"/>
      <c r="Z336" s="307"/>
    </row>
    <row r="337" spans="1:26" ht="17.399999999999999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  <c r="M337" s="307"/>
      <c r="N337" s="307"/>
      <c r="O337" s="307"/>
      <c r="P337" s="307"/>
      <c r="Q337" s="307"/>
      <c r="R337" s="307"/>
      <c r="S337" s="307"/>
      <c r="T337" s="307"/>
      <c r="U337" s="307"/>
      <c r="V337" s="307"/>
      <c r="W337" s="307"/>
      <c r="X337" s="307"/>
      <c r="Y337" s="307"/>
      <c r="Z337" s="307"/>
    </row>
    <row r="338" spans="1:26" ht="17.399999999999999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  <c r="M338" s="307"/>
      <c r="N338" s="307"/>
      <c r="O338" s="307"/>
      <c r="P338" s="307"/>
      <c r="Q338" s="307"/>
      <c r="R338" s="307"/>
      <c r="S338" s="307"/>
      <c r="T338" s="307"/>
      <c r="U338" s="307"/>
      <c r="V338" s="307"/>
      <c r="W338" s="307"/>
      <c r="X338" s="307"/>
      <c r="Y338" s="307"/>
      <c r="Z338" s="307"/>
    </row>
    <row r="339" spans="1:26" ht="17.399999999999999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  <c r="M339" s="307"/>
      <c r="N339" s="307"/>
      <c r="O339" s="307"/>
      <c r="P339" s="307"/>
      <c r="Q339" s="307"/>
      <c r="R339" s="307"/>
      <c r="S339" s="307"/>
      <c r="T339" s="307"/>
      <c r="U339" s="307"/>
      <c r="V339" s="307"/>
      <c r="W339" s="307"/>
      <c r="X339" s="307"/>
      <c r="Y339" s="307"/>
      <c r="Z339" s="307"/>
    </row>
    <row r="340" spans="1:26" ht="17.399999999999999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  <c r="M340" s="307"/>
      <c r="N340" s="307"/>
      <c r="O340" s="307"/>
      <c r="P340" s="307"/>
      <c r="Q340" s="307"/>
      <c r="R340" s="307"/>
      <c r="S340" s="307"/>
      <c r="T340" s="307"/>
      <c r="U340" s="307"/>
      <c r="V340" s="307"/>
      <c r="W340" s="307"/>
      <c r="X340" s="307"/>
      <c r="Y340" s="307"/>
      <c r="Z340" s="307"/>
    </row>
    <row r="341" spans="1:26" ht="17.399999999999999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  <c r="M341" s="307"/>
      <c r="N341" s="307"/>
      <c r="O341" s="307"/>
      <c r="P341" s="307"/>
      <c r="Q341" s="307"/>
      <c r="R341" s="307"/>
      <c r="S341" s="307"/>
      <c r="T341" s="307"/>
      <c r="U341" s="307"/>
      <c r="V341" s="307"/>
      <c r="W341" s="307"/>
      <c r="X341" s="307"/>
      <c r="Y341" s="307"/>
      <c r="Z341" s="307"/>
    </row>
    <row r="342" spans="1:26" ht="17.399999999999999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  <c r="M342" s="307"/>
      <c r="N342" s="307"/>
      <c r="O342" s="307"/>
      <c r="P342" s="307"/>
      <c r="Q342" s="307"/>
      <c r="R342" s="307"/>
      <c r="S342" s="307"/>
      <c r="T342" s="307"/>
      <c r="U342" s="307"/>
      <c r="V342" s="307"/>
      <c r="W342" s="307"/>
      <c r="X342" s="307"/>
      <c r="Y342" s="307"/>
      <c r="Z342" s="307"/>
    </row>
    <row r="343" spans="1:26" ht="17.399999999999999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  <c r="M343" s="307"/>
      <c r="N343" s="307"/>
      <c r="O343" s="307"/>
      <c r="P343" s="307"/>
      <c r="Q343" s="307"/>
      <c r="R343" s="307"/>
      <c r="S343" s="307"/>
      <c r="T343" s="307"/>
      <c r="U343" s="307"/>
      <c r="V343" s="307"/>
      <c r="W343" s="307"/>
      <c r="X343" s="307"/>
      <c r="Y343" s="307"/>
      <c r="Z343" s="307"/>
    </row>
    <row r="344" spans="1:26" ht="17.399999999999999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  <c r="M344" s="307"/>
      <c r="N344" s="307"/>
      <c r="O344" s="307"/>
      <c r="P344" s="307"/>
      <c r="Q344" s="307"/>
      <c r="R344" s="307"/>
      <c r="S344" s="307"/>
      <c r="T344" s="307"/>
      <c r="U344" s="307"/>
      <c r="V344" s="307"/>
      <c r="W344" s="307"/>
      <c r="X344" s="307"/>
      <c r="Y344" s="307"/>
      <c r="Z344" s="307"/>
    </row>
    <row r="345" spans="1:26" ht="17.399999999999999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  <c r="M345" s="307"/>
      <c r="N345" s="307"/>
      <c r="O345" s="307"/>
      <c r="P345" s="307"/>
      <c r="Q345" s="307"/>
      <c r="R345" s="307"/>
      <c r="S345" s="307"/>
      <c r="T345" s="307"/>
      <c r="U345" s="307"/>
      <c r="V345" s="307"/>
      <c r="W345" s="307"/>
      <c r="X345" s="307"/>
      <c r="Y345" s="307"/>
      <c r="Z345" s="307"/>
    </row>
    <row r="346" spans="1:26" ht="17.399999999999999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  <c r="M346" s="307"/>
      <c r="N346" s="307"/>
      <c r="O346" s="307"/>
      <c r="P346" s="307"/>
      <c r="Q346" s="307"/>
      <c r="R346" s="307"/>
      <c r="S346" s="307"/>
      <c r="T346" s="307"/>
      <c r="U346" s="307"/>
      <c r="V346" s="307"/>
      <c r="W346" s="307"/>
      <c r="X346" s="307"/>
      <c r="Y346" s="307"/>
      <c r="Z346" s="307"/>
    </row>
    <row r="347" spans="1:26" ht="17.399999999999999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  <c r="M347" s="307"/>
      <c r="N347" s="307"/>
      <c r="O347" s="307"/>
      <c r="P347" s="307"/>
      <c r="Q347" s="307"/>
      <c r="R347" s="307"/>
      <c r="S347" s="307"/>
      <c r="T347" s="307"/>
      <c r="U347" s="307"/>
      <c r="V347" s="307"/>
      <c r="W347" s="307"/>
      <c r="X347" s="307"/>
      <c r="Y347" s="307"/>
      <c r="Z347" s="307"/>
    </row>
    <row r="348" spans="1:26" ht="17.399999999999999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  <c r="M348" s="307"/>
      <c r="N348" s="307"/>
      <c r="O348" s="307"/>
      <c r="P348" s="307"/>
      <c r="Q348" s="307"/>
      <c r="R348" s="307"/>
      <c r="S348" s="307"/>
      <c r="T348" s="307"/>
      <c r="U348" s="307"/>
      <c r="V348" s="307"/>
      <c r="W348" s="307"/>
      <c r="X348" s="307"/>
      <c r="Y348" s="307"/>
      <c r="Z348" s="307"/>
    </row>
    <row r="349" spans="1:26" ht="17.399999999999999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  <c r="M349" s="307"/>
      <c r="N349" s="307"/>
      <c r="O349" s="307"/>
      <c r="P349" s="307"/>
      <c r="Q349" s="307"/>
      <c r="R349" s="307"/>
      <c r="S349" s="307"/>
      <c r="T349" s="307"/>
      <c r="U349" s="307"/>
      <c r="V349" s="307"/>
      <c r="W349" s="307"/>
      <c r="X349" s="307"/>
      <c r="Y349" s="307"/>
      <c r="Z349" s="307"/>
    </row>
    <row r="350" spans="1:26" ht="17.399999999999999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  <c r="M350" s="307"/>
      <c r="N350" s="307"/>
      <c r="O350" s="307"/>
      <c r="P350" s="307"/>
      <c r="Q350" s="307"/>
      <c r="R350" s="307"/>
      <c r="S350" s="307"/>
      <c r="T350" s="307"/>
      <c r="U350" s="307"/>
      <c r="V350" s="307"/>
      <c r="W350" s="307"/>
      <c r="X350" s="307"/>
      <c r="Y350" s="307"/>
      <c r="Z350" s="307"/>
    </row>
    <row r="351" spans="1:26" ht="17.399999999999999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  <c r="M351" s="307"/>
      <c r="N351" s="307"/>
      <c r="O351" s="307"/>
      <c r="P351" s="307"/>
      <c r="Q351" s="307"/>
      <c r="R351" s="307"/>
      <c r="S351" s="307"/>
      <c r="T351" s="307"/>
      <c r="U351" s="307"/>
      <c r="V351" s="307"/>
      <c r="W351" s="307"/>
      <c r="X351" s="307"/>
      <c r="Y351" s="307"/>
      <c r="Z351" s="307"/>
    </row>
    <row r="352" spans="1:26" ht="17.399999999999999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  <c r="M352" s="307"/>
      <c r="N352" s="307"/>
      <c r="O352" s="307"/>
      <c r="P352" s="307"/>
      <c r="Q352" s="307"/>
      <c r="R352" s="307"/>
      <c r="S352" s="307"/>
      <c r="T352" s="307"/>
      <c r="U352" s="307"/>
      <c r="V352" s="307"/>
      <c r="W352" s="307"/>
      <c r="X352" s="307"/>
      <c r="Y352" s="307"/>
      <c r="Z352" s="307"/>
    </row>
    <row r="353" spans="1:26" ht="17.399999999999999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  <c r="M353" s="307"/>
      <c r="N353" s="307"/>
      <c r="O353" s="307"/>
      <c r="P353" s="307"/>
      <c r="Q353" s="307"/>
      <c r="R353" s="307"/>
      <c r="S353" s="307"/>
      <c r="T353" s="307"/>
      <c r="U353" s="307"/>
      <c r="V353" s="307"/>
      <c r="W353" s="307"/>
      <c r="X353" s="307"/>
      <c r="Y353" s="307"/>
      <c r="Z353" s="307"/>
    </row>
    <row r="354" spans="1:26" ht="17.399999999999999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  <c r="M354" s="307"/>
      <c r="N354" s="307"/>
      <c r="O354" s="307"/>
      <c r="P354" s="307"/>
      <c r="Q354" s="307"/>
      <c r="R354" s="307"/>
      <c r="S354" s="307"/>
      <c r="T354" s="307"/>
      <c r="U354" s="307"/>
      <c r="V354" s="307"/>
      <c r="W354" s="307"/>
      <c r="X354" s="307"/>
      <c r="Y354" s="307"/>
      <c r="Z354" s="307"/>
    </row>
    <row r="355" spans="1:26" ht="17.399999999999999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  <c r="M355" s="307"/>
      <c r="N355" s="307"/>
      <c r="O355" s="307"/>
      <c r="P355" s="307"/>
      <c r="Q355" s="307"/>
      <c r="R355" s="307"/>
      <c r="S355" s="307"/>
      <c r="T355" s="307"/>
      <c r="U355" s="307"/>
      <c r="V355" s="307"/>
      <c r="W355" s="307"/>
      <c r="X355" s="307"/>
      <c r="Y355" s="307"/>
      <c r="Z355" s="307"/>
    </row>
    <row r="356" spans="1:26" ht="17.399999999999999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  <c r="M356" s="307"/>
      <c r="N356" s="307"/>
      <c r="O356" s="307"/>
      <c r="P356" s="307"/>
      <c r="Q356" s="307"/>
      <c r="R356" s="307"/>
      <c r="S356" s="307"/>
      <c r="T356" s="307"/>
      <c r="U356" s="307"/>
      <c r="V356" s="307"/>
      <c r="W356" s="307"/>
      <c r="X356" s="307"/>
      <c r="Y356" s="307"/>
      <c r="Z356" s="307"/>
    </row>
    <row r="357" spans="1:26" ht="17.399999999999999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  <c r="M357" s="307"/>
      <c r="N357" s="307"/>
      <c r="O357" s="307"/>
      <c r="P357" s="307"/>
      <c r="Q357" s="307"/>
      <c r="R357" s="307"/>
      <c r="S357" s="307"/>
      <c r="T357" s="307"/>
      <c r="U357" s="307"/>
      <c r="V357" s="307"/>
      <c r="W357" s="307"/>
      <c r="X357" s="307"/>
      <c r="Y357" s="307"/>
      <c r="Z357" s="307"/>
    </row>
    <row r="358" spans="1:26" ht="17.399999999999999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  <c r="M358" s="307"/>
      <c r="N358" s="307"/>
      <c r="O358" s="307"/>
      <c r="P358" s="307"/>
      <c r="Q358" s="307"/>
      <c r="R358" s="307"/>
      <c r="S358" s="307"/>
      <c r="T358" s="307"/>
      <c r="U358" s="307"/>
      <c r="V358" s="307"/>
      <c r="W358" s="307"/>
      <c r="X358" s="307"/>
      <c r="Y358" s="307"/>
      <c r="Z358" s="307"/>
    </row>
    <row r="359" spans="1:26" ht="17.399999999999999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  <c r="M359" s="307"/>
      <c r="N359" s="307"/>
      <c r="O359" s="307"/>
      <c r="P359" s="307"/>
      <c r="Q359" s="307"/>
      <c r="R359" s="307"/>
      <c r="S359" s="307"/>
      <c r="T359" s="307"/>
      <c r="U359" s="307"/>
      <c r="V359" s="307"/>
      <c r="W359" s="307"/>
      <c r="X359" s="307"/>
      <c r="Y359" s="307"/>
      <c r="Z359" s="307"/>
    </row>
    <row r="360" spans="1:26" ht="17.399999999999999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  <c r="M360" s="307"/>
      <c r="N360" s="307"/>
      <c r="O360" s="307"/>
      <c r="P360" s="307"/>
      <c r="Q360" s="307"/>
      <c r="R360" s="307"/>
      <c r="S360" s="307"/>
      <c r="T360" s="307"/>
      <c r="U360" s="307"/>
      <c r="V360" s="307"/>
      <c r="W360" s="307"/>
      <c r="X360" s="307"/>
      <c r="Y360" s="307"/>
      <c r="Z360" s="307"/>
    </row>
    <row r="361" spans="1:26" ht="17.399999999999999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  <c r="M361" s="307"/>
      <c r="N361" s="307"/>
      <c r="O361" s="307"/>
      <c r="P361" s="307"/>
      <c r="Q361" s="307"/>
      <c r="R361" s="307"/>
      <c r="S361" s="307"/>
      <c r="T361" s="307"/>
      <c r="U361" s="307"/>
      <c r="V361" s="307"/>
      <c r="W361" s="307"/>
      <c r="X361" s="307"/>
      <c r="Y361" s="307"/>
      <c r="Z361" s="307"/>
    </row>
    <row r="362" spans="1:26" ht="17.399999999999999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  <c r="M362" s="307"/>
      <c r="N362" s="307"/>
      <c r="O362" s="307"/>
      <c r="P362" s="307"/>
      <c r="Q362" s="307"/>
      <c r="R362" s="307"/>
      <c r="S362" s="307"/>
      <c r="T362" s="307"/>
      <c r="U362" s="307"/>
      <c r="V362" s="307"/>
      <c r="W362" s="307"/>
      <c r="X362" s="307"/>
      <c r="Y362" s="307"/>
      <c r="Z362" s="307"/>
    </row>
    <row r="363" spans="1:26" ht="17.399999999999999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  <c r="M363" s="307"/>
      <c r="N363" s="307"/>
      <c r="O363" s="307"/>
      <c r="P363" s="307"/>
      <c r="Q363" s="307"/>
      <c r="R363" s="307"/>
      <c r="S363" s="307"/>
      <c r="T363" s="307"/>
      <c r="U363" s="307"/>
      <c r="V363" s="307"/>
      <c r="W363" s="307"/>
      <c r="X363" s="307"/>
      <c r="Y363" s="307"/>
      <c r="Z363" s="307"/>
    </row>
    <row r="364" spans="1:26" ht="17.399999999999999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  <c r="M364" s="307"/>
      <c r="N364" s="307"/>
      <c r="O364" s="307"/>
      <c r="P364" s="307"/>
      <c r="Q364" s="307"/>
      <c r="R364" s="307"/>
      <c r="S364" s="307"/>
      <c r="T364" s="307"/>
      <c r="U364" s="307"/>
      <c r="V364" s="307"/>
      <c r="W364" s="307"/>
      <c r="X364" s="307"/>
      <c r="Y364" s="307"/>
      <c r="Z364" s="307"/>
    </row>
    <row r="365" spans="1:26" ht="17.399999999999999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  <c r="M365" s="307"/>
      <c r="N365" s="307"/>
      <c r="O365" s="307"/>
      <c r="P365" s="307"/>
      <c r="Q365" s="307"/>
      <c r="R365" s="307"/>
      <c r="S365" s="307"/>
      <c r="T365" s="307"/>
      <c r="U365" s="307"/>
      <c r="V365" s="307"/>
      <c r="W365" s="307"/>
      <c r="X365" s="307"/>
      <c r="Y365" s="307"/>
      <c r="Z365" s="307"/>
    </row>
    <row r="366" spans="1:26" ht="17.399999999999999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  <c r="M366" s="307"/>
      <c r="N366" s="307"/>
      <c r="O366" s="307"/>
      <c r="P366" s="307"/>
      <c r="Q366" s="307"/>
      <c r="R366" s="307"/>
      <c r="S366" s="307"/>
      <c r="T366" s="307"/>
      <c r="U366" s="307"/>
      <c r="V366" s="307"/>
      <c r="W366" s="307"/>
      <c r="X366" s="307"/>
      <c r="Y366" s="307"/>
      <c r="Z366" s="307"/>
    </row>
    <row r="367" spans="1:26" ht="17.399999999999999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  <c r="M367" s="307"/>
      <c r="N367" s="307"/>
      <c r="O367" s="307"/>
      <c r="P367" s="307"/>
      <c r="Q367" s="307"/>
      <c r="R367" s="307"/>
      <c r="S367" s="307"/>
      <c r="T367" s="307"/>
      <c r="U367" s="307"/>
      <c r="V367" s="307"/>
      <c r="W367" s="307"/>
      <c r="X367" s="307"/>
      <c r="Y367" s="307"/>
      <c r="Z367" s="307"/>
    </row>
    <row r="368" spans="1:26" ht="17.399999999999999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  <c r="M368" s="307"/>
      <c r="N368" s="307"/>
      <c r="O368" s="307"/>
      <c r="P368" s="307"/>
      <c r="Q368" s="307"/>
      <c r="R368" s="307"/>
      <c r="S368" s="307"/>
      <c r="T368" s="307"/>
      <c r="U368" s="307"/>
      <c r="V368" s="307"/>
      <c r="W368" s="307"/>
      <c r="X368" s="307"/>
      <c r="Y368" s="307"/>
      <c r="Z368" s="307"/>
    </row>
    <row r="369" spans="1:26" ht="17.399999999999999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  <c r="M369" s="307"/>
      <c r="N369" s="307"/>
      <c r="O369" s="307"/>
      <c r="P369" s="307"/>
      <c r="Q369" s="307"/>
      <c r="R369" s="307"/>
      <c r="S369" s="307"/>
      <c r="T369" s="307"/>
      <c r="U369" s="307"/>
      <c r="V369" s="307"/>
      <c r="W369" s="307"/>
      <c r="X369" s="307"/>
      <c r="Y369" s="307"/>
      <c r="Z369" s="307"/>
    </row>
    <row r="370" spans="1:26" ht="17.399999999999999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  <c r="M370" s="307"/>
      <c r="N370" s="307"/>
      <c r="O370" s="307"/>
      <c r="P370" s="307"/>
      <c r="Q370" s="307"/>
      <c r="R370" s="307"/>
      <c r="S370" s="307"/>
      <c r="T370" s="307"/>
      <c r="U370" s="307"/>
      <c r="V370" s="307"/>
      <c r="W370" s="307"/>
      <c r="X370" s="307"/>
      <c r="Y370" s="307"/>
      <c r="Z370" s="307"/>
    </row>
    <row r="371" spans="1:26" ht="17.399999999999999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  <c r="M371" s="307"/>
      <c r="N371" s="307"/>
      <c r="O371" s="307"/>
      <c r="P371" s="307"/>
      <c r="Q371" s="307"/>
      <c r="R371" s="307"/>
      <c r="S371" s="307"/>
      <c r="T371" s="307"/>
      <c r="U371" s="307"/>
      <c r="V371" s="307"/>
      <c r="W371" s="307"/>
      <c r="X371" s="307"/>
      <c r="Y371" s="307"/>
      <c r="Z371" s="307"/>
    </row>
    <row r="372" spans="1:26" ht="17.399999999999999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  <c r="M372" s="307"/>
      <c r="N372" s="307"/>
      <c r="O372" s="307"/>
      <c r="P372" s="307"/>
      <c r="Q372" s="307"/>
      <c r="R372" s="307"/>
      <c r="S372" s="307"/>
      <c r="T372" s="307"/>
      <c r="U372" s="307"/>
      <c r="V372" s="307"/>
      <c r="W372" s="307"/>
      <c r="X372" s="307"/>
      <c r="Y372" s="307"/>
      <c r="Z372" s="307"/>
    </row>
    <row r="373" spans="1:26" ht="17.399999999999999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  <c r="M373" s="307"/>
      <c r="N373" s="307"/>
      <c r="O373" s="307"/>
      <c r="P373" s="307"/>
      <c r="Q373" s="307"/>
      <c r="R373" s="307"/>
      <c r="S373" s="307"/>
      <c r="T373" s="307"/>
      <c r="U373" s="307"/>
      <c r="V373" s="307"/>
      <c r="W373" s="307"/>
      <c r="X373" s="307"/>
      <c r="Y373" s="307"/>
      <c r="Z373" s="307"/>
    </row>
    <row r="374" spans="1:26" ht="17.399999999999999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  <c r="M374" s="307"/>
      <c r="N374" s="307"/>
      <c r="O374" s="307"/>
      <c r="P374" s="307"/>
      <c r="Q374" s="307"/>
      <c r="R374" s="307"/>
      <c r="S374" s="307"/>
      <c r="T374" s="307"/>
      <c r="U374" s="307"/>
      <c r="V374" s="307"/>
      <c r="W374" s="307"/>
      <c r="X374" s="307"/>
      <c r="Y374" s="307"/>
      <c r="Z374" s="307"/>
    </row>
    <row r="375" spans="1:26" ht="17.399999999999999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  <c r="M375" s="307"/>
      <c r="N375" s="307"/>
      <c r="O375" s="307"/>
      <c r="P375" s="307"/>
      <c r="Q375" s="307"/>
      <c r="R375" s="307"/>
      <c r="S375" s="307"/>
      <c r="T375" s="307"/>
      <c r="U375" s="307"/>
      <c r="V375" s="307"/>
      <c r="W375" s="307"/>
      <c r="X375" s="307"/>
      <c r="Y375" s="307"/>
      <c r="Z375" s="307"/>
    </row>
    <row r="376" spans="1:26" ht="17.399999999999999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  <c r="M376" s="307"/>
      <c r="N376" s="307"/>
      <c r="O376" s="307"/>
      <c r="P376" s="307"/>
      <c r="Q376" s="307"/>
      <c r="R376" s="307"/>
      <c r="S376" s="307"/>
      <c r="T376" s="307"/>
      <c r="U376" s="307"/>
      <c r="V376" s="307"/>
      <c r="W376" s="307"/>
      <c r="X376" s="307"/>
      <c r="Y376" s="307"/>
      <c r="Z376" s="307"/>
    </row>
    <row r="377" spans="1:26" ht="17.399999999999999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  <c r="M377" s="307"/>
      <c r="N377" s="307"/>
      <c r="O377" s="307"/>
      <c r="P377" s="307"/>
      <c r="Q377" s="307"/>
      <c r="R377" s="307"/>
      <c r="S377" s="307"/>
      <c r="T377" s="307"/>
      <c r="U377" s="307"/>
      <c r="V377" s="307"/>
      <c r="W377" s="307"/>
      <c r="X377" s="307"/>
      <c r="Y377" s="307"/>
      <c r="Z377" s="307"/>
    </row>
    <row r="378" spans="1:26" ht="17.399999999999999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  <c r="M378" s="307"/>
      <c r="N378" s="307"/>
      <c r="O378" s="307"/>
      <c r="P378" s="307"/>
      <c r="Q378" s="307"/>
      <c r="R378" s="307"/>
      <c r="S378" s="307"/>
      <c r="T378" s="307"/>
      <c r="U378" s="307"/>
      <c r="V378" s="307"/>
      <c r="W378" s="307"/>
      <c r="X378" s="307"/>
      <c r="Y378" s="307"/>
      <c r="Z378" s="307"/>
    </row>
    <row r="379" spans="1:26" ht="17.399999999999999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  <c r="M379" s="307"/>
      <c r="N379" s="307"/>
      <c r="O379" s="307"/>
      <c r="P379" s="307"/>
      <c r="Q379" s="307"/>
      <c r="R379" s="307"/>
      <c r="S379" s="307"/>
      <c r="T379" s="307"/>
      <c r="U379" s="307"/>
      <c r="V379" s="307"/>
      <c r="W379" s="307"/>
      <c r="X379" s="307"/>
      <c r="Y379" s="307"/>
      <c r="Z379" s="307"/>
    </row>
    <row r="380" spans="1:26" ht="17.399999999999999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  <c r="M380" s="307"/>
      <c r="N380" s="307"/>
      <c r="O380" s="307"/>
      <c r="P380" s="307"/>
      <c r="Q380" s="307"/>
      <c r="R380" s="307"/>
      <c r="S380" s="307"/>
      <c r="T380" s="307"/>
      <c r="U380" s="307"/>
      <c r="V380" s="307"/>
      <c r="W380" s="307"/>
      <c r="X380" s="307"/>
      <c r="Y380" s="307"/>
      <c r="Z380" s="307"/>
    </row>
    <row r="381" spans="1:26" ht="17.399999999999999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  <c r="M381" s="307"/>
      <c r="N381" s="307"/>
      <c r="O381" s="307"/>
      <c r="P381" s="307"/>
      <c r="Q381" s="307"/>
      <c r="R381" s="307"/>
      <c r="S381" s="307"/>
      <c r="T381" s="307"/>
      <c r="U381" s="307"/>
      <c r="V381" s="307"/>
      <c r="W381" s="307"/>
      <c r="X381" s="307"/>
      <c r="Y381" s="307"/>
      <c r="Z381" s="307"/>
    </row>
    <row r="382" spans="1:26" ht="17.399999999999999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  <c r="M382" s="307"/>
      <c r="N382" s="307"/>
      <c r="O382" s="307"/>
      <c r="P382" s="307"/>
      <c r="Q382" s="307"/>
      <c r="R382" s="307"/>
      <c r="S382" s="307"/>
      <c r="T382" s="307"/>
      <c r="U382" s="307"/>
      <c r="V382" s="307"/>
      <c r="W382" s="307"/>
      <c r="X382" s="307"/>
      <c r="Y382" s="307"/>
      <c r="Z382" s="307"/>
    </row>
    <row r="383" spans="1:26" ht="17.399999999999999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  <c r="M383" s="307"/>
      <c r="N383" s="307"/>
      <c r="O383" s="307"/>
      <c r="P383" s="307"/>
      <c r="Q383" s="307"/>
      <c r="R383" s="307"/>
      <c r="S383" s="307"/>
      <c r="T383" s="307"/>
      <c r="U383" s="307"/>
      <c r="V383" s="307"/>
      <c r="W383" s="307"/>
      <c r="X383" s="307"/>
      <c r="Y383" s="307"/>
      <c r="Z383" s="307"/>
    </row>
    <row r="384" spans="1:26" ht="17.399999999999999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  <c r="M384" s="307"/>
      <c r="N384" s="307"/>
      <c r="O384" s="307"/>
      <c r="P384" s="307"/>
      <c r="Q384" s="307"/>
      <c r="R384" s="307"/>
      <c r="S384" s="307"/>
      <c r="T384" s="307"/>
      <c r="U384" s="307"/>
      <c r="V384" s="307"/>
      <c r="W384" s="307"/>
      <c r="X384" s="307"/>
      <c r="Y384" s="307"/>
      <c r="Z384" s="307"/>
    </row>
    <row r="385" spans="1:26" ht="17.399999999999999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  <c r="M385" s="307"/>
      <c r="N385" s="307"/>
      <c r="O385" s="307"/>
      <c r="P385" s="307"/>
      <c r="Q385" s="307"/>
      <c r="R385" s="307"/>
      <c r="S385" s="307"/>
      <c r="T385" s="307"/>
      <c r="U385" s="307"/>
      <c r="V385" s="307"/>
      <c r="W385" s="307"/>
      <c r="X385" s="307"/>
      <c r="Y385" s="307"/>
      <c r="Z385" s="307"/>
    </row>
    <row r="386" spans="1:26" ht="17.399999999999999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  <c r="M386" s="307"/>
      <c r="N386" s="307"/>
      <c r="O386" s="307"/>
      <c r="P386" s="307"/>
      <c r="Q386" s="307"/>
      <c r="R386" s="307"/>
      <c r="S386" s="307"/>
      <c r="T386" s="307"/>
      <c r="U386" s="307"/>
      <c r="V386" s="307"/>
      <c r="W386" s="307"/>
      <c r="X386" s="307"/>
      <c r="Y386" s="307"/>
      <c r="Z386" s="307"/>
    </row>
    <row r="387" spans="1:26" ht="17.399999999999999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  <c r="M387" s="307"/>
      <c r="N387" s="307"/>
      <c r="O387" s="307"/>
      <c r="P387" s="307"/>
      <c r="Q387" s="307"/>
      <c r="R387" s="307"/>
      <c r="S387" s="307"/>
      <c r="T387" s="307"/>
      <c r="U387" s="307"/>
      <c r="V387" s="307"/>
      <c r="W387" s="307"/>
      <c r="X387" s="307"/>
      <c r="Y387" s="307"/>
      <c r="Z387" s="307"/>
    </row>
    <row r="388" spans="1:26" ht="17.399999999999999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  <c r="M388" s="307"/>
      <c r="N388" s="307"/>
      <c r="O388" s="307"/>
      <c r="P388" s="307"/>
      <c r="Q388" s="307"/>
      <c r="R388" s="307"/>
      <c r="S388" s="307"/>
      <c r="T388" s="307"/>
      <c r="U388" s="307"/>
      <c r="V388" s="307"/>
      <c r="W388" s="307"/>
      <c r="X388" s="307"/>
      <c r="Y388" s="307"/>
      <c r="Z388" s="307"/>
    </row>
    <row r="389" spans="1:26" ht="17.399999999999999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  <c r="M389" s="307"/>
      <c r="N389" s="307"/>
      <c r="O389" s="307"/>
      <c r="P389" s="307"/>
      <c r="Q389" s="307"/>
      <c r="R389" s="307"/>
      <c r="S389" s="307"/>
      <c r="T389" s="307"/>
      <c r="U389" s="307"/>
      <c r="V389" s="307"/>
      <c r="W389" s="307"/>
      <c r="X389" s="307"/>
      <c r="Y389" s="307"/>
      <c r="Z389" s="307"/>
    </row>
    <row r="390" spans="1:26" ht="17.399999999999999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  <c r="M390" s="307"/>
      <c r="N390" s="307"/>
      <c r="O390" s="307"/>
      <c r="P390" s="307"/>
      <c r="Q390" s="307"/>
      <c r="R390" s="307"/>
      <c r="S390" s="307"/>
      <c r="T390" s="307"/>
      <c r="U390" s="307"/>
      <c r="V390" s="307"/>
      <c r="W390" s="307"/>
      <c r="X390" s="307"/>
      <c r="Y390" s="307"/>
      <c r="Z390" s="307"/>
    </row>
    <row r="391" spans="1:26" ht="17.399999999999999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  <c r="M391" s="307"/>
      <c r="N391" s="307"/>
      <c r="O391" s="307"/>
      <c r="P391" s="307"/>
      <c r="Q391" s="307"/>
      <c r="R391" s="307"/>
      <c r="S391" s="307"/>
      <c r="T391" s="307"/>
      <c r="U391" s="307"/>
      <c r="V391" s="307"/>
      <c r="W391" s="307"/>
      <c r="X391" s="307"/>
      <c r="Y391" s="307"/>
      <c r="Z391" s="307"/>
    </row>
    <row r="392" spans="1:26" ht="17.399999999999999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  <c r="M392" s="307"/>
      <c r="N392" s="307"/>
      <c r="O392" s="307"/>
      <c r="P392" s="307"/>
      <c r="Q392" s="307"/>
      <c r="R392" s="307"/>
      <c r="S392" s="307"/>
      <c r="T392" s="307"/>
      <c r="U392" s="307"/>
      <c r="V392" s="307"/>
      <c r="W392" s="307"/>
      <c r="X392" s="307"/>
      <c r="Y392" s="307"/>
      <c r="Z392" s="307"/>
    </row>
    <row r="393" spans="1:26" ht="17.399999999999999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  <c r="M393" s="307"/>
      <c r="N393" s="307"/>
      <c r="O393" s="307"/>
      <c r="P393" s="307"/>
      <c r="Q393" s="307"/>
      <c r="R393" s="307"/>
      <c r="S393" s="307"/>
      <c r="T393" s="307"/>
      <c r="U393" s="307"/>
      <c r="V393" s="307"/>
      <c r="W393" s="307"/>
      <c r="X393" s="307"/>
      <c r="Y393" s="307"/>
      <c r="Z393" s="307"/>
    </row>
    <row r="394" spans="1:26" ht="17.399999999999999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  <c r="M394" s="307"/>
      <c r="N394" s="307"/>
      <c r="O394" s="307"/>
      <c r="P394" s="307"/>
      <c r="Q394" s="307"/>
      <c r="R394" s="307"/>
      <c r="S394" s="307"/>
      <c r="T394" s="307"/>
      <c r="U394" s="307"/>
      <c r="V394" s="307"/>
      <c r="W394" s="307"/>
      <c r="X394" s="307"/>
      <c r="Y394" s="307"/>
      <c r="Z394" s="307"/>
    </row>
    <row r="395" spans="1:26" ht="17.399999999999999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  <c r="M395" s="307"/>
      <c r="N395" s="307"/>
      <c r="O395" s="307"/>
      <c r="P395" s="307"/>
      <c r="Q395" s="307"/>
      <c r="R395" s="307"/>
      <c r="S395" s="307"/>
      <c r="T395" s="307"/>
      <c r="U395" s="307"/>
      <c r="V395" s="307"/>
      <c r="W395" s="307"/>
      <c r="X395" s="307"/>
      <c r="Y395" s="307"/>
      <c r="Z395" s="307"/>
    </row>
    <row r="396" spans="1:26" ht="17.399999999999999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  <c r="M396" s="307"/>
      <c r="N396" s="307"/>
      <c r="O396" s="307"/>
      <c r="P396" s="307"/>
      <c r="Q396" s="307"/>
      <c r="R396" s="307"/>
      <c r="S396" s="307"/>
      <c r="T396" s="307"/>
      <c r="U396" s="307"/>
      <c r="V396" s="307"/>
      <c r="W396" s="307"/>
      <c r="X396" s="307"/>
      <c r="Y396" s="307"/>
      <c r="Z396" s="307"/>
    </row>
    <row r="397" spans="1:26" ht="17.399999999999999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  <c r="M397" s="307"/>
      <c r="N397" s="307"/>
      <c r="O397" s="307"/>
      <c r="P397" s="307"/>
      <c r="Q397" s="307"/>
      <c r="R397" s="307"/>
      <c r="S397" s="307"/>
      <c r="T397" s="307"/>
      <c r="U397" s="307"/>
      <c r="V397" s="307"/>
      <c r="W397" s="307"/>
      <c r="X397" s="307"/>
      <c r="Y397" s="307"/>
      <c r="Z397" s="307"/>
    </row>
    <row r="398" spans="1:26" ht="17.399999999999999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  <c r="M398" s="307"/>
      <c r="N398" s="307"/>
      <c r="O398" s="307"/>
      <c r="P398" s="307"/>
      <c r="Q398" s="307"/>
      <c r="R398" s="307"/>
      <c r="S398" s="307"/>
      <c r="T398" s="307"/>
      <c r="U398" s="307"/>
      <c r="V398" s="307"/>
      <c r="W398" s="307"/>
      <c r="X398" s="307"/>
      <c r="Y398" s="307"/>
      <c r="Z398" s="307"/>
    </row>
    <row r="399" spans="1:26" ht="17.399999999999999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  <c r="M399" s="307"/>
      <c r="N399" s="307"/>
      <c r="O399" s="307"/>
      <c r="P399" s="307"/>
      <c r="Q399" s="307"/>
      <c r="R399" s="307"/>
      <c r="S399" s="307"/>
      <c r="T399" s="307"/>
      <c r="U399" s="307"/>
      <c r="V399" s="307"/>
      <c r="W399" s="307"/>
      <c r="X399" s="307"/>
      <c r="Y399" s="307"/>
      <c r="Z399" s="307"/>
    </row>
    <row r="400" spans="1:26" ht="17.399999999999999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  <c r="M400" s="307"/>
      <c r="N400" s="307"/>
      <c r="O400" s="307"/>
      <c r="P400" s="307"/>
      <c r="Q400" s="307"/>
      <c r="R400" s="307"/>
      <c r="S400" s="307"/>
      <c r="T400" s="307"/>
      <c r="U400" s="307"/>
      <c r="V400" s="307"/>
      <c r="W400" s="307"/>
      <c r="X400" s="307"/>
      <c r="Y400" s="307"/>
      <c r="Z400" s="307"/>
    </row>
    <row r="401" spans="1:26" ht="17.399999999999999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  <c r="M401" s="307"/>
      <c r="N401" s="307"/>
      <c r="O401" s="307"/>
      <c r="P401" s="307"/>
      <c r="Q401" s="307"/>
      <c r="R401" s="307"/>
      <c r="S401" s="307"/>
      <c r="T401" s="307"/>
      <c r="U401" s="307"/>
      <c r="V401" s="307"/>
      <c r="W401" s="307"/>
      <c r="X401" s="307"/>
      <c r="Y401" s="307"/>
      <c r="Z401" s="307"/>
    </row>
    <row r="402" spans="1:26" ht="17.399999999999999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  <c r="M402" s="307"/>
      <c r="N402" s="307"/>
      <c r="O402" s="307"/>
      <c r="P402" s="307"/>
      <c r="Q402" s="307"/>
      <c r="R402" s="307"/>
      <c r="S402" s="307"/>
      <c r="T402" s="307"/>
      <c r="U402" s="307"/>
      <c r="V402" s="307"/>
      <c r="W402" s="307"/>
      <c r="X402" s="307"/>
      <c r="Y402" s="307"/>
      <c r="Z402" s="307"/>
    </row>
    <row r="403" spans="1:26" ht="17.399999999999999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  <c r="M403" s="307"/>
      <c r="N403" s="307"/>
      <c r="O403" s="307"/>
      <c r="P403" s="307"/>
      <c r="Q403" s="307"/>
      <c r="R403" s="307"/>
      <c r="S403" s="307"/>
      <c r="T403" s="307"/>
      <c r="U403" s="307"/>
      <c r="V403" s="307"/>
      <c r="W403" s="307"/>
      <c r="X403" s="307"/>
      <c r="Y403" s="307"/>
      <c r="Z403" s="307"/>
    </row>
    <row r="404" spans="1:26" ht="17.399999999999999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  <c r="M404" s="307"/>
      <c r="N404" s="307"/>
      <c r="O404" s="307"/>
      <c r="P404" s="307"/>
      <c r="Q404" s="307"/>
      <c r="R404" s="307"/>
      <c r="S404" s="307"/>
      <c r="T404" s="307"/>
      <c r="U404" s="307"/>
      <c r="V404" s="307"/>
      <c r="W404" s="307"/>
      <c r="X404" s="307"/>
      <c r="Y404" s="307"/>
      <c r="Z404" s="307"/>
    </row>
    <row r="405" spans="1:26" ht="17.399999999999999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  <c r="M405" s="307"/>
      <c r="N405" s="307"/>
      <c r="O405" s="307"/>
      <c r="P405" s="307"/>
      <c r="Q405" s="307"/>
      <c r="R405" s="307"/>
      <c r="S405" s="307"/>
      <c r="T405" s="307"/>
      <c r="U405" s="307"/>
      <c r="V405" s="307"/>
      <c r="W405" s="307"/>
      <c r="X405" s="307"/>
      <c r="Y405" s="307"/>
      <c r="Z405" s="307"/>
    </row>
    <row r="406" spans="1:26" ht="17.399999999999999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  <c r="M406" s="307"/>
      <c r="N406" s="307"/>
      <c r="O406" s="307"/>
      <c r="P406" s="307"/>
      <c r="Q406" s="307"/>
      <c r="R406" s="307"/>
      <c r="S406" s="307"/>
      <c r="T406" s="307"/>
      <c r="U406" s="307"/>
      <c r="V406" s="307"/>
      <c r="W406" s="307"/>
      <c r="X406" s="307"/>
      <c r="Y406" s="307"/>
      <c r="Z406" s="307"/>
    </row>
    <row r="407" spans="1:26" ht="17.399999999999999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  <c r="M407" s="307"/>
      <c r="N407" s="307"/>
      <c r="O407" s="307"/>
      <c r="P407" s="307"/>
      <c r="Q407" s="307"/>
      <c r="R407" s="307"/>
      <c r="S407" s="307"/>
      <c r="T407" s="307"/>
      <c r="U407" s="307"/>
      <c r="V407" s="307"/>
      <c r="W407" s="307"/>
      <c r="X407" s="307"/>
      <c r="Y407" s="307"/>
      <c r="Z407" s="307"/>
    </row>
    <row r="408" spans="1:26" ht="17.399999999999999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  <c r="M408" s="307"/>
      <c r="N408" s="307"/>
      <c r="O408" s="307"/>
      <c r="P408" s="307"/>
      <c r="Q408" s="307"/>
      <c r="R408" s="307"/>
      <c r="S408" s="307"/>
      <c r="T408" s="307"/>
      <c r="U408" s="307"/>
      <c r="V408" s="307"/>
      <c r="W408" s="307"/>
      <c r="X408" s="307"/>
      <c r="Y408" s="307"/>
      <c r="Z408" s="307"/>
    </row>
    <row r="409" spans="1:26" ht="17.399999999999999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  <c r="M409" s="307"/>
      <c r="N409" s="307"/>
      <c r="O409" s="307"/>
      <c r="P409" s="307"/>
      <c r="Q409" s="307"/>
      <c r="R409" s="307"/>
      <c r="S409" s="307"/>
      <c r="T409" s="307"/>
      <c r="U409" s="307"/>
      <c r="V409" s="307"/>
      <c r="W409" s="307"/>
      <c r="X409" s="307"/>
      <c r="Y409" s="307"/>
      <c r="Z409" s="307"/>
    </row>
    <row r="410" spans="1:26" ht="17.399999999999999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  <c r="M410" s="307"/>
      <c r="N410" s="307"/>
      <c r="O410" s="307"/>
      <c r="P410" s="307"/>
      <c r="Q410" s="307"/>
      <c r="R410" s="307"/>
      <c r="S410" s="307"/>
      <c r="T410" s="307"/>
      <c r="U410" s="307"/>
      <c r="V410" s="307"/>
      <c r="W410" s="307"/>
      <c r="X410" s="307"/>
      <c r="Y410" s="307"/>
      <c r="Z410" s="307"/>
    </row>
    <row r="411" spans="1:26" ht="17.399999999999999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  <c r="M411" s="307"/>
      <c r="N411" s="307"/>
      <c r="O411" s="307"/>
      <c r="P411" s="307"/>
      <c r="Q411" s="307"/>
      <c r="R411" s="307"/>
      <c r="S411" s="307"/>
      <c r="T411" s="307"/>
      <c r="U411" s="307"/>
      <c r="V411" s="307"/>
      <c r="W411" s="307"/>
      <c r="X411" s="307"/>
      <c r="Y411" s="307"/>
      <c r="Z411" s="307"/>
    </row>
    <row r="412" spans="1:26" ht="17.399999999999999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  <c r="M412" s="307"/>
      <c r="N412" s="307"/>
      <c r="O412" s="307"/>
      <c r="P412" s="307"/>
      <c r="Q412" s="307"/>
      <c r="R412" s="307"/>
      <c r="S412" s="307"/>
      <c r="T412" s="307"/>
      <c r="U412" s="307"/>
      <c r="V412" s="307"/>
      <c r="W412" s="307"/>
      <c r="X412" s="307"/>
      <c r="Y412" s="307"/>
      <c r="Z412" s="307"/>
    </row>
    <row r="413" spans="1:26" ht="17.399999999999999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  <c r="M413" s="307"/>
      <c r="N413" s="307"/>
      <c r="O413" s="307"/>
      <c r="P413" s="307"/>
      <c r="Q413" s="307"/>
      <c r="R413" s="307"/>
      <c r="S413" s="307"/>
      <c r="T413" s="307"/>
      <c r="U413" s="307"/>
      <c r="V413" s="307"/>
      <c r="W413" s="307"/>
      <c r="X413" s="307"/>
      <c r="Y413" s="307"/>
      <c r="Z413" s="307"/>
    </row>
    <row r="414" spans="1:26" ht="17.399999999999999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  <c r="M414" s="307"/>
      <c r="N414" s="307"/>
      <c r="O414" s="307"/>
      <c r="P414" s="307"/>
      <c r="Q414" s="307"/>
      <c r="R414" s="307"/>
      <c r="S414" s="307"/>
      <c r="T414" s="307"/>
      <c r="U414" s="307"/>
      <c r="V414" s="307"/>
      <c r="W414" s="307"/>
      <c r="X414" s="307"/>
      <c r="Y414" s="307"/>
      <c r="Z414" s="307"/>
    </row>
    <row r="415" spans="1:26" ht="17.399999999999999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  <c r="M415" s="307"/>
      <c r="N415" s="307"/>
      <c r="O415" s="307"/>
      <c r="P415" s="307"/>
      <c r="Q415" s="307"/>
      <c r="R415" s="307"/>
      <c r="S415" s="307"/>
      <c r="T415" s="307"/>
      <c r="U415" s="307"/>
      <c r="V415" s="307"/>
      <c r="W415" s="307"/>
      <c r="X415" s="307"/>
      <c r="Y415" s="307"/>
      <c r="Z415" s="307"/>
    </row>
    <row r="416" spans="1:26" ht="17.399999999999999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  <c r="M416" s="307"/>
      <c r="N416" s="307"/>
      <c r="O416" s="307"/>
      <c r="P416" s="307"/>
      <c r="Q416" s="307"/>
      <c r="R416" s="307"/>
      <c r="S416" s="307"/>
      <c r="T416" s="307"/>
      <c r="U416" s="307"/>
      <c r="V416" s="307"/>
      <c r="W416" s="307"/>
      <c r="X416" s="307"/>
      <c r="Y416" s="307"/>
      <c r="Z416" s="307"/>
    </row>
    <row r="417" spans="1:26" ht="17.399999999999999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  <c r="M417" s="307"/>
      <c r="N417" s="307"/>
      <c r="O417" s="307"/>
      <c r="P417" s="307"/>
      <c r="Q417" s="307"/>
      <c r="R417" s="307"/>
      <c r="S417" s="307"/>
      <c r="T417" s="307"/>
      <c r="U417" s="307"/>
      <c r="V417" s="307"/>
      <c r="W417" s="307"/>
      <c r="X417" s="307"/>
      <c r="Y417" s="307"/>
      <c r="Z417" s="307"/>
    </row>
    <row r="418" spans="1:26" ht="17.399999999999999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  <c r="M418" s="307"/>
      <c r="N418" s="307"/>
      <c r="O418" s="307"/>
      <c r="P418" s="307"/>
      <c r="Q418" s="307"/>
      <c r="R418" s="307"/>
      <c r="S418" s="307"/>
      <c r="T418" s="307"/>
      <c r="U418" s="307"/>
      <c r="V418" s="307"/>
      <c r="W418" s="307"/>
      <c r="X418" s="307"/>
      <c r="Y418" s="307"/>
      <c r="Z418" s="307"/>
    </row>
    <row r="419" spans="1:26" ht="17.399999999999999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  <c r="M419" s="307"/>
      <c r="N419" s="307"/>
      <c r="O419" s="307"/>
      <c r="P419" s="307"/>
      <c r="Q419" s="307"/>
      <c r="R419" s="307"/>
      <c r="S419" s="307"/>
      <c r="T419" s="307"/>
      <c r="U419" s="307"/>
      <c r="V419" s="307"/>
      <c r="W419" s="307"/>
      <c r="X419" s="307"/>
      <c r="Y419" s="307"/>
      <c r="Z419" s="307"/>
    </row>
    <row r="420" spans="1:26" ht="17.399999999999999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  <c r="M420" s="307"/>
      <c r="N420" s="307"/>
      <c r="O420" s="307"/>
      <c r="P420" s="307"/>
      <c r="Q420" s="307"/>
      <c r="R420" s="307"/>
      <c r="S420" s="307"/>
      <c r="T420" s="307"/>
      <c r="U420" s="307"/>
      <c r="V420" s="307"/>
      <c r="W420" s="307"/>
      <c r="X420" s="307"/>
      <c r="Y420" s="307"/>
      <c r="Z420" s="307"/>
    </row>
    <row r="421" spans="1:26" ht="17.399999999999999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  <c r="M421" s="307"/>
      <c r="N421" s="307"/>
      <c r="O421" s="307"/>
      <c r="P421" s="307"/>
      <c r="Q421" s="307"/>
      <c r="R421" s="307"/>
      <c r="S421" s="307"/>
      <c r="T421" s="307"/>
      <c r="U421" s="307"/>
      <c r="V421" s="307"/>
      <c r="W421" s="307"/>
      <c r="X421" s="307"/>
      <c r="Y421" s="307"/>
      <c r="Z421" s="307"/>
    </row>
    <row r="422" spans="1:26" ht="17.399999999999999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  <c r="M422" s="307"/>
      <c r="N422" s="307"/>
      <c r="O422" s="307"/>
      <c r="P422" s="307"/>
      <c r="Q422" s="307"/>
      <c r="R422" s="307"/>
      <c r="S422" s="307"/>
      <c r="T422" s="307"/>
      <c r="U422" s="307"/>
      <c r="V422" s="307"/>
      <c r="W422" s="307"/>
      <c r="X422" s="307"/>
      <c r="Y422" s="307"/>
      <c r="Z422" s="307"/>
    </row>
    <row r="423" spans="1:26" ht="17.399999999999999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  <c r="M423" s="307"/>
      <c r="N423" s="307"/>
      <c r="O423" s="307"/>
      <c r="P423" s="307"/>
      <c r="Q423" s="307"/>
      <c r="R423" s="307"/>
      <c r="S423" s="307"/>
      <c r="T423" s="307"/>
      <c r="U423" s="307"/>
      <c r="V423" s="307"/>
      <c r="W423" s="307"/>
      <c r="X423" s="307"/>
      <c r="Y423" s="307"/>
      <c r="Z423" s="307"/>
    </row>
    <row r="424" spans="1:26" ht="17.399999999999999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  <c r="M424" s="307"/>
      <c r="N424" s="307"/>
      <c r="O424" s="307"/>
      <c r="P424" s="307"/>
      <c r="Q424" s="307"/>
      <c r="R424" s="307"/>
      <c r="S424" s="307"/>
      <c r="T424" s="307"/>
      <c r="U424" s="307"/>
      <c r="V424" s="307"/>
      <c r="W424" s="307"/>
      <c r="X424" s="307"/>
      <c r="Y424" s="307"/>
      <c r="Z424" s="307"/>
    </row>
    <row r="425" spans="1:26" ht="17.399999999999999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  <c r="M425" s="307"/>
      <c r="N425" s="307"/>
      <c r="O425" s="307"/>
      <c r="P425" s="307"/>
      <c r="Q425" s="307"/>
      <c r="R425" s="307"/>
      <c r="S425" s="307"/>
      <c r="T425" s="307"/>
      <c r="U425" s="307"/>
      <c r="V425" s="307"/>
      <c r="W425" s="307"/>
      <c r="X425" s="307"/>
      <c r="Y425" s="307"/>
      <c r="Z425" s="307"/>
    </row>
    <row r="426" spans="1:26" ht="17.399999999999999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  <c r="M426" s="307"/>
      <c r="N426" s="307"/>
      <c r="O426" s="307"/>
      <c r="P426" s="307"/>
      <c r="Q426" s="307"/>
      <c r="R426" s="307"/>
      <c r="S426" s="307"/>
      <c r="T426" s="307"/>
      <c r="U426" s="307"/>
      <c r="V426" s="307"/>
      <c r="W426" s="307"/>
      <c r="X426" s="307"/>
      <c r="Y426" s="307"/>
      <c r="Z426" s="307"/>
    </row>
    <row r="427" spans="1:26" ht="17.399999999999999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  <c r="M427" s="307"/>
      <c r="N427" s="307"/>
      <c r="O427" s="307"/>
      <c r="P427" s="307"/>
      <c r="Q427" s="307"/>
      <c r="R427" s="307"/>
      <c r="S427" s="307"/>
      <c r="T427" s="307"/>
      <c r="U427" s="307"/>
      <c r="V427" s="307"/>
      <c r="W427" s="307"/>
      <c r="X427" s="307"/>
      <c r="Y427" s="307"/>
      <c r="Z427" s="307"/>
    </row>
    <row r="428" spans="1:26" ht="17.399999999999999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  <c r="M428" s="307"/>
      <c r="N428" s="307"/>
      <c r="O428" s="307"/>
      <c r="P428" s="307"/>
      <c r="Q428" s="307"/>
      <c r="R428" s="307"/>
      <c r="S428" s="307"/>
      <c r="T428" s="307"/>
      <c r="U428" s="307"/>
      <c r="V428" s="307"/>
      <c r="W428" s="307"/>
      <c r="X428" s="307"/>
      <c r="Y428" s="307"/>
      <c r="Z428" s="307"/>
    </row>
    <row r="429" spans="1:26" ht="17.399999999999999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  <c r="M429" s="307"/>
      <c r="N429" s="307"/>
      <c r="O429" s="307"/>
      <c r="P429" s="307"/>
      <c r="Q429" s="307"/>
      <c r="R429" s="307"/>
      <c r="S429" s="307"/>
      <c r="T429" s="307"/>
      <c r="U429" s="307"/>
      <c r="V429" s="307"/>
      <c r="W429" s="307"/>
      <c r="X429" s="307"/>
      <c r="Y429" s="307"/>
      <c r="Z429" s="307"/>
    </row>
    <row r="430" spans="1:26" ht="17.399999999999999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  <c r="M430" s="307"/>
      <c r="N430" s="307"/>
      <c r="O430" s="307"/>
      <c r="P430" s="307"/>
      <c r="Q430" s="307"/>
      <c r="R430" s="307"/>
      <c r="S430" s="307"/>
      <c r="T430" s="307"/>
      <c r="U430" s="307"/>
      <c r="V430" s="307"/>
      <c r="W430" s="307"/>
      <c r="X430" s="307"/>
      <c r="Y430" s="307"/>
      <c r="Z430" s="307"/>
    </row>
    <row r="431" spans="1:26" ht="17.399999999999999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  <c r="M431" s="307"/>
      <c r="N431" s="307"/>
      <c r="O431" s="307"/>
      <c r="P431" s="307"/>
      <c r="Q431" s="307"/>
      <c r="R431" s="307"/>
      <c r="S431" s="307"/>
      <c r="T431" s="307"/>
      <c r="U431" s="307"/>
      <c r="V431" s="307"/>
      <c r="W431" s="307"/>
      <c r="X431" s="307"/>
      <c r="Y431" s="307"/>
      <c r="Z431" s="307"/>
    </row>
    <row r="432" spans="1:26" ht="17.399999999999999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  <c r="M432" s="307"/>
      <c r="N432" s="307"/>
      <c r="O432" s="307"/>
      <c r="P432" s="307"/>
      <c r="Q432" s="307"/>
      <c r="R432" s="307"/>
      <c r="S432" s="307"/>
      <c r="T432" s="307"/>
      <c r="U432" s="307"/>
      <c r="V432" s="307"/>
      <c r="W432" s="307"/>
      <c r="X432" s="307"/>
      <c r="Y432" s="307"/>
      <c r="Z432" s="307"/>
    </row>
    <row r="433" spans="1:26" ht="17.399999999999999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  <c r="M433" s="307"/>
      <c r="N433" s="307"/>
      <c r="O433" s="307"/>
      <c r="P433" s="307"/>
      <c r="Q433" s="307"/>
      <c r="R433" s="307"/>
      <c r="S433" s="307"/>
      <c r="T433" s="307"/>
      <c r="U433" s="307"/>
      <c r="V433" s="307"/>
      <c r="W433" s="307"/>
      <c r="X433" s="307"/>
      <c r="Y433" s="307"/>
      <c r="Z433" s="307"/>
    </row>
    <row r="434" spans="1:26" ht="17.399999999999999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  <c r="M434" s="307"/>
      <c r="N434" s="307"/>
      <c r="O434" s="307"/>
      <c r="P434" s="307"/>
      <c r="Q434" s="307"/>
      <c r="R434" s="307"/>
      <c r="S434" s="307"/>
      <c r="T434" s="307"/>
      <c r="U434" s="307"/>
      <c r="V434" s="307"/>
      <c r="W434" s="307"/>
      <c r="X434" s="307"/>
      <c r="Y434" s="307"/>
      <c r="Z434" s="307"/>
    </row>
    <row r="435" spans="1:26" ht="17.399999999999999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  <c r="M435" s="307"/>
      <c r="N435" s="307"/>
      <c r="O435" s="307"/>
      <c r="P435" s="307"/>
      <c r="Q435" s="307"/>
      <c r="R435" s="307"/>
      <c r="S435" s="307"/>
      <c r="T435" s="307"/>
      <c r="U435" s="307"/>
      <c r="V435" s="307"/>
      <c r="W435" s="307"/>
      <c r="X435" s="307"/>
      <c r="Y435" s="307"/>
      <c r="Z435" s="307"/>
    </row>
    <row r="436" spans="1:26" ht="17.399999999999999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  <c r="M436" s="307"/>
      <c r="N436" s="307"/>
      <c r="O436" s="307"/>
      <c r="P436" s="307"/>
      <c r="Q436" s="307"/>
      <c r="R436" s="307"/>
      <c r="S436" s="307"/>
      <c r="T436" s="307"/>
      <c r="U436" s="307"/>
      <c r="V436" s="307"/>
      <c r="W436" s="307"/>
      <c r="X436" s="307"/>
      <c r="Y436" s="307"/>
      <c r="Z436" s="307"/>
    </row>
    <row r="437" spans="1:26" ht="17.399999999999999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  <c r="M437" s="307"/>
      <c r="N437" s="307"/>
      <c r="O437" s="307"/>
      <c r="P437" s="307"/>
      <c r="Q437" s="307"/>
      <c r="R437" s="307"/>
      <c r="S437" s="307"/>
      <c r="T437" s="307"/>
      <c r="U437" s="307"/>
      <c r="V437" s="307"/>
      <c r="W437" s="307"/>
      <c r="X437" s="307"/>
      <c r="Y437" s="307"/>
      <c r="Z437" s="307"/>
    </row>
    <row r="438" spans="1:26" ht="17.399999999999999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  <c r="M438" s="307"/>
      <c r="N438" s="307"/>
      <c r="O438" s="307"/>
      <c r="P438" s="307"/>
      <c r="Q438" s="307"/>
      <c r="R438" s="307"/>
      <c r="S438" s="307"/>
      <c r="T438" s="307"/>
      <c r="U438" s="307"/>
      <c r="V438" s="307"/>
      <c r="W438" s="307"/>
      <c r="X438" s="307"/>
      <c r="Y438" s="307"/>
      <c r="Z438" s="307"/>
    </row>
    <row r="439" spans="1:26" ht="17.399999999999999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  <c r="M439" s="307"/>
      <c r="N439" s="307"/>
      <c r="O439" s="307"/>
      <c r="P439" s="307"/>
      <c r="Q439" s="307"/>
      <c r="R439" s="307"/>
      <c r="S439" s="307"/>
      <c r="T439" s="307"/>
      <c r="U439" s="307"/>
      <c r="V439" s="307"/>
      <c r="W439" s="307"/>
      <c r="X439" s="307"/>
      <c r="Y439" s="307"/>
      <c r="Z439" s="307"/>
    </row>
    <row r="440" spans="1:26" ht="17.399999999999999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  <c r="M440" s="307"/>
      <c r="N440" s="307"/>
      <c r="O440" s="307"/>
      <c r="P440" s="307"/>
      <c r="Q440" s="307"/>
      <c r="R440" s="307"/>
      <c r="S440" s="307"/>
      <c r="T440" s="307"/>
      <c r="U440" s="307"/>
      <c r="V440" s="307"/>
      <c r="W440" s="307"/>
      <c r="X440" s="307"/>
      <c r="Y440" s="307"/>
      <c r="Z440" s="307"/>
    </row>
    <row r="441" spans="1:26" ht="17.399999999999999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  <c r="M441" s="307"/>
      <c r="N441" s="307"/>
      <c r="O441" s="307"/>
      <c r="P441" s="307"/>
      <c r="Q441" s="307"/>
      <c r="R441" s="307"/>
      <c r="S441" s="307"/>
      <c r="T441" s="307"/>
      <c r="U441" s="307"/>
      <c r="V441" s="307"/>
      <c r="W441" s="307"/>
      <c r="X441" s="307"/>
      <c r="Y441" s="307"/>
      <c r="Z441" s="307"/>
    </row>
    <row r="442" spans="1:26" ht="17.399999999999999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  <c r="M442" s="307"/>
      <c r="N442" s="307"/>
      <c r="O442" s="307"/>
      <c r="P442" s="307"/>
      <c r="Q442" s="307"/>
      <c r="R442" s="307"/>
      <c r="S442" s="307"/>
      <c r="T442" s="307"/>
      <c r="U442" s="307"/>
      <c r="V442" s="307"/>
      <c r="W442" s="307"/>
      <c r="X442" s="307"/>
      <c r="Y442" s="307"/>
      <c r="Z442" s="307"/>
    </row>
    <row r="443" spans="1:26" ht="17.399999999999999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  <c r="M443" s="307"/>
      <c r="N443" s="307"/>
      <c r="O443" s="307"/>
      <c r="P443" s="307"/>
      <c r="Q443" s="307"/>
      <c r="R443" s="307"/>
      <c r="S443" s="307"/>
      <c r="T443" s="307"/>
      <c r="U443" s="307"/>
      <c r="V443" s="307"/>
      <c r="W443" s="307"/>
      <c r="X443" s="307"/>
      <c r="Y443" s="307"/>
      <c r="Z443" s="307"/>
    </row>
    <row r="444" spans="1:26" ht="17.399999999999999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  <c r="M444" s="307"/>
      <c r="N444" s="307"/>
      <c r="O444" s="307"/>
      <c r="P444" s="307"/>
      <c r="Q444" s="307"/>
      <c r="R444" s="307"/>
      <c r="S444" s="307"/>
      <c r="T444" s="307"/>
      <c r="U444" s="307"/>
      <c r="V444" s="307"/>
      <c r="W444" s="307"/>
      <c r="X444" s="307"/>
      <c r="Y444" s="307"/>
      <c r="Z444" s="307"/>
    </row>
    <row r="445" spans="1:26" ht="17.399999999999999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  <c r="M445" s="307"/>
      <c r="N445" s="307"/>
      <c r="O445" s="307"/>
      <c r="P445" s="307"/>
      <c r="Q445" s="307"/>
      <c r="R445" s="307"/>
      <c r="S445" s="307"/>
      <c r="T445" s="307"/>
      <c r="U445" s="307"/>
      <c r="V445" s="307"/>
      <c r="W445" s="307"/>
      <c r="X445" s="307"/>
      <c r="Y445" s="307"/>
      <c r="Z445" s="307"/>
    </row>
    <row r="446" spans="1:26" ht="17.399999999999999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  <c r="M446" s="307"/>
      <c r="N446" s="307"/>
      <c r="O446" s="307"/>
      <c r="P446" s="307"/>
      <c r="Q446" s="307"/>
      <c r="R446" s="307"/>
      <c r="S446" s="307"/>
      <c r="T446" s="307"/>
      <c r="U446" s="307"/>
      <c r="V446" s="307"/>
      <c r="W446" s="307"/>
      <c r="X446" s="307"/>
      <c r="Y446" s="307"/>
      <c r="Z446" s="307"/>
    </row>
    <row r="447" spans="1:26" ht="17.399999999999999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  <c r="M447" s="307"/>
      <c r="N447" s="307"/>
      <c r="O447" s="307"/>
      <c r="P447" s="307"/>
      <c r="Q447" s="307"/>
      <c r="R447" s="307"/>
      <c r="S447" s="307"/>
      <c r="T447" s="307"/>
      <c r="U447" s="307"/>
      <c r="V447" s="307"/>
      <c r="W447" s="307"/>
      <c r="X447" s="307"/>
      <c r="Y447" s="307"/>
      <c r="Z447" s="307"/>
    </row>
    <row r="448" spans="1:26" ht="17.399999999999999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  <c r="M448" s="307"/>
      <c r="N448" s="307"/>
      <c r="O448" s="307"/>
      <c r="P448" s="307"/>
      <c r="Q448" s="307"/>
      <c r="R448" s="307"/>
      <c r="S448" s="307"/>
      <c r="T448" s="307"/>
      <c r="U448" s="307"/>
      <c r="V448" s="307"/>
      <c r="W448" s="307"/>
      <c r="X448" s="307"/>
      <c r="Y448" s="307"/>
      <c r="Z448" s="307"/>
    </row>
    <row r="449" spans="1:26" ht="17.399999999999999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  <c r="M449" s="307"/>
      <c r="N449" s="307"/>
      <c r="O449" s="307"/>
      <c r="P449" s="307"/>
      <c r="Q449" s="307"/>
      <c r="R449" s="307"/>
      <c r="S449" s="307"/>
      <c r="T449" s="307"/>
      <c r="U449" s="307"/>
      <c r="V449" s="307"/>
      <c r="W449" s="307"/>
      <c r="X449" s="307"/>
      <c r="Y449" s="307"/>
      <c r="Z449" s="307"/>
    </row>
    <row r="450" spans="1:26" ht="17.399999999999999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  <c r="M450" s="307"/>
      <c r="N450" s="307"/>
      <c r="O450" s="307"/>
      <c r="P450" s="307"/>
      <c r="Q450" s="307"/>
      <c r="R450" s="307"/>
      <c r="S450" s="307"/>
      <c r="T450" s="307"/>
      <c r="U450" s="307"/>
      <c r="V450" s="307"/>
      <c r="W450" s="307"/>
      <c r="X450" s="307"/>
      <c r="Y450" s="307"/>
      <c r="Z450" s="307"/>
    </row>
    <row r="451" spans="1:26" ht="17.399999999999999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  <c r="M451" s="307"/>
      <c r="N451" s="307"/>
      <c r="O451" s="307"/>
      <c r="P451" s="307"/>
      <c r="Q451" s="307"/>
      <c r="R451" s="307"/>
      <c r="S451" s="307"/>
      <c r="T451" s="307"/>
      <c r="U451" s="307"/>
      <c r="V451" s="307"/>
      <c r="W451" s="307"/>
      <c r="X451" s="307"/>
      <c r="Y451" s="307"/>
      <c r="Z451" s="307"/>
    </row>
    <row r="452" spans="1:26" ht="17.399999999999999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  <c r="M452" s="307"/>
      <c r="N452" s="307"/>
      <c r="O452" s="307"/>
      <c r="P452" s="307"/>
      <c r="Q452" s="307"/>
      <c r="R452" s="307"/>
      <c r="S452" s="307"/>
      <c r="T452" s="307"/>
      <c r="U452" s="307"/>
      <c r="V452" s="307"/>
      <c r="W452" s="307"/>
      <c r="X452" s="307"/>
      <c r="Y452" s="307"/>
      <c r="Z452" s="307"/>
    </row>
    <row r="453" spans="1:26" ht="17.399999999999999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  <c r="M453" s="307"/>
      <c r="N453" s="307"/>
      <c r="O453" s="307"/>
      <c r="P453" s="307"/>
      <c r="Q453" s="307"/>
      <c r="R453" s="307"/>
      <c r="S453" s="307"/>
      <c r="T453" s="307"/>
      <c r="U453" s="307"/>
      <c r="V453" s="307"/>
      <c r="W453" s="307"/>
      <c r="X453" s="307"/>
      <c r="Y453" s="307"/>
      <c r="Z453" s="307"/>
    </row>
    <row r="454" spans="1:26" ht="17.399999999999999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  <c r="M454" s="307"/>
      <c r="N454" s="307"/>
      <c r="O454" s="307"/>
      <c r="P454" s="307"/>
      <c r="Q454" s="307"/>
      <c r="R454" s="307"/>
      <c r="S454" s="307"/>
      <c r="T454" s="307"/>
      <c r="U454" s="307"/>
      <c r="V454" s="307"/>
      <c r="W454" s="307"/>
      <c r="X454" s="307"/>
      <c r="Y454" s="307"/>
      <c r="Z454" s="307"/>
    </row>
    <row r="455" spans="1:26" ht="17.399999999999999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  <c r="M455" s="307"/>
      <c r="N455" s="307"/>
      <c r="O455" s="307"/>
      <c r="P455" s="307"/>
      <c r="Q455" s="307"/>
      <c r="R455" s="307"/>
      <c r="S455" s="307"/>
      <c r="T455" s="307"/>
      <c r="U455" s="307"/>
      <c r="V455" s="307"/>
      <c r="W455" s="307"/>
      <c r="X455" s="307"/>
      <c r="Y455" s="307"/>
      <c r="Z455" s="307"/>
    </row>
    <row r="456" spans="1:26" ht="17.399999999999999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  <c r="M456" s="307"/>
      <c r="N456" s="307"/>
      <c r="O456" s="307"/>
      <c r="P456" s="307"/>
      <c r="Q456" s="307"/>
      <c r="R456" s="307"/>
      <c r="S456" s="307"/>
      <c r="T456" s="307"/>
      <c r="U456" s="307"/>
      <c r="V456" s="307"/>
      <c r="W456" s="307"/>
      <c r="X456" s="307"/>
      <c r="Y456" s="307"/>
      <c r="Z456" s="307"/>
    </row>
    <row r="457" spans="1:26" ht="17.399999999999999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  <c r="M457" s="307"/>
      <c r="N457" s="307"/>
      <c r="O457" s="307"/>
      <c r="P457" s="307"/>
      <c r="Q457" s="307"/>
      <c r="R457" s="307"/>
      <c r="S457" s="307"/>
      <c r="T457" s="307"/>
      <c r="U457" s="307"/>
      <c r="V457" s="307"/>
      <c r="W457" s="307"/>
      <c r="X457" s="307"/>
      <c r="Y457" s="307"/>
      <c r="Z457" s="307"/>
    </row>
    <row r="458" spans="1:26" ht="17.399999999999999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  <c r="M458" s="307"/>
      <c r="N458" s="307"/>
      <c r="O458" s="307"/>
      <c r="P458" s="307"/>
      <c r="Q458" s="307"/>
      <c r="R458" s="307"/>
      <c r="S458" s="307"/>
      <c r="T458" s="307"/>
      <c r="U458" s="307"/>
      <c r="V458" s="307"/>
      <c r="W458" s="307"/>
      <c r="X458" s="307"/>
      <c r="Y458" s="307"/>
      <c r="Z458" s="307"/>
    </row>
    <row r="459" spans="1:26" ht="17.399999999999999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  <c r="M459" s="307"/>
      <c r="N459" s="307"/>
      <c r="O459" s="307"/>
      <c r="P459" s="307"/>
      <c r="Q459" s="307"/>
      <c r="R459" s="307"/>
      <c r="S459" s="307"/>
      <c r="T459" s="307"/>
      <c r="U459" s="307"/>
      <c r="V459" s="307"/>
      <c r="W459" s="307"/>
      <c r="X459" s="307"/>
      <c r="Y459" s="307"/>
      <c r="Z459" s="307"/>
    </row>
    <row r="460" spans="1:26" ht="17.399999999999999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  <c r="M460" s="307"/>
      <c r="N460" s="307"/>
      <c r="O460" s="307"/>
      <c r="P460" s="307"/>
      <c r="Q460" s="307"/>
      <c r="R460" s="307"/>
      <c r="S460" s="307"/>
      <c r="T460" s="307"/>
      <c r="U460" s="307"/>
      <c r="V460" s="307"/>
      <c r="W460" s="307"/>
      <c r="X460" s="307"/>
      <c r="Y460" s="307"/>
      <c r="Z460" s="307"/>
    </row>
    <row r="461" spans="1:26" ht="17.399999999999999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  <c r="M461" s="307"/>
      <c r="N461" s="307"/>
      <c r="O461" s="307"/>
      <c r="P461" s="307"/>
      <c r="Q461" s="307"/>
      <c r="R461" s="307"/>
      <c r="S461" s="307"/>
      <c r="T461" s="307"/>
      <c r="U461" s="307"/>
      <c r="V461" s="307"/>
      <c r="W461" s="307"/>
      <c r="X461" s="307"/>
      <c r="Y461" s="307"/>
      <c r="Z461" s="307"/>
    </row>
    <row r="462" spans="1:26" ht="17.399999999999999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  <c r="M462" s="307"/>
      <c r="N462" s="307"/>
      <c r="O462" s="307"/>
      <c r="P462" s="307"/>
      <c r="Q462" s="307"/>
      <c r="R462" s="307"/>
      <c r="S462" s="307"/>
      <c r="T462" s="307"/>
      <c r="U462" s="307"/>
      <c r="V462" s="307"/>
      <c r="W462" s="307"/>
      <c r="X462" s="307"/>
      <c r="Y462" s="307"/>
      <c r="Z462" s="307"/>
    </row>
    <row r="463" spans="1:26" ht="17.399999999999999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  <c r="M463" s="307"/>
      <c r="N463" s="307"/>
      <c r="O463" s="307"/>
      <c r="P463" s="307"/>
      <c r="Q463" s="307"/>
      <c r="R463" s="307"/>
      <c r="S463" s="307"/>
      <c r="T463" s="307"/>
      <c r="U463" s="307"/>
      <c r="V463" s="307"/>
      <c r="W463" s="307"/>
      <c r="X463" s="307"/>
      <c r="Y463" s="307"/>
      <c r="Z463" s="307"/>
    </row>
    <row r="464" spans="1:26" ht="17.399999999999999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  <c r="M464" s="307"/>
      <c r="N464" s="307"/>
      <c r="O464" s="307"/>
      <c r="P464" s="307"/>
      <c r="Q464" s="307"/>
      <c r="R464" s="307"/>
      <c r="S464" s="307"/>
      <c r="T464" s="307"/>
      <c r="U464" s="307"/>
      <c r="V464" s="307"/>
      <c r="W464" s="307"/>
      <c r="X464" s="307"/>
      <c r="Y464" s="307"/>
      <c r="Z464" s="307"/>
    </row>
    <row r="465" spans="1:26" ht="17.399999999999999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  <c r="M465" s="307"/>
      <c r="N465" s="307"/>
      <c r="O465" s="307"/>
      <c r="P465" s="307"/>
      <c r="Q465" s="307"/>
      <c r="R465" s="307"/>
      <c r="S465" s="307"/>
      <c r="T465" s="307"/>
      <c r="U465" s="307"/>
      <c r="V465" s="307"/>
      <c r="W465" s="307"/>
      <c r="X465" s="307"/>
      <c r="Y465" s="307"/>
      <c r="Z465" s="307"/>
    </row>
    <row r="466" spans="1:26" ht="17.399999999999999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  <c r="M466" s="307"/>
      <c r="N466" s="307"/>
      <c r="O466" s="307"/>
      <c r="P466" s="307"/>
      <c r="Q466" s="307"/>
      <c r="R466" s="307"/>
      <c r="S466" s="307"/>
      <c r="T466" s="307"/>
      <c r="U466" s="307"/>
      <c r="V466" s="307"/>
      <c r="W466" s="307"/>
      <c r="X466" s="307"/>
      <c r="Y466" s="307"/>
      <c r="Z466" s="307"/>
    </row>
    <row r="467" spans="1:26" ht="17.399999999999999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  <c r="M467" s="307"/>
      <c r="N467" s="307"/>
      <c r="O467" s="307"/>
      <c r="P467" s="307"/>
      <c r="Q467" s="307"/>
      <c r="R467" s="307"/>
      <c r="S467" s="307"/>
      <c r="T467" s="307"/>
      <c r="U467" s="307"/>
      <c r="V467" s="307"/>
      <c r="W467" s="307"/>
      <c r="X467" s="307"/>
      <c r="Y467" s="307"/>
      <c r="Z467" s="307"/>
    </row>
    <row r="468" spans="1:26" ht="17.399999999999999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  <c r="M468" s="307"/>
      <c r="N468" s="307"/>
      <c r="O468" s="307"/>
      <c r="P468" s="307"/>
      <c r="Q468" s="307"/>
      <c r="R468" s="307"/>
      <c r="S468" s="307"/>
      <c r="T468" s="307"/>
      <c r="U468" s="307"/>
      <c r="V468" s="307"/>
      <c r="W468" s="307"/>
      <c r="X468" s="307"/>
      <c r="Y468" s="307"/>
      <c r="Z468" s="307"/>
    </row>
    <row r="469" spans="1:26" ht="17.399999999999999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  <c r="M469" s="307"/>
      <c r="N469" s="307"/>
      <c r="O469" s="307"/>
      <c r="P469" s="307"/>
      <c r="Q469" s="307"/>
      <c r="R469" s="307"/>
      <c r="S469" s="307"/>
      <c r="T469" s="307"/>
      <c r="U469" s="307"/>
      <c r="V469" s="307"/>
      <c r="W469" s="307"/>
      <c r="X469" s="307"/>
      <c r="Y469" s="307"/>
      <c r="Z469" s="307"/>
    </row>
    <row r="470" spans="1:26" ht="17.399999999999999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  <c r="M470" s="307"/>
      <c r="N470" s="307"/>
      <c r="O470" s="307"/>
      <c r="P470" s="307"/>
      <c r="Q470" s="307"/>
      <c r="R470" s="307"/>
      <c r="S470" s="307"/>
      <c r="T470" s="307"/>
      <c r="U470" s="307"/>
      <c r="V470" s="307"/>
      <c r="W470" s="307"/>
      <c r="X470" s="307"/>
      <c r="Y470" s="307"/>
      <c r="Z470" s="307"/>
    </row>
    <row r="471" spans="1:26" ht="17.399999999999999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  <c r="M471" s="307"/>
      <c r="N471" s="307"/>
      <c r="O471" s="307"/>
      <c r="P471" s="307"/>
      <c r="Q471" s="307"/>
      <c r="R471" s="307"/>
      <c r="S471" s="307"/>
      <c r="T471" s="307"/>
      <c r="U471" s="307"/>
      <c r="V471" s="307"/>
      <c r="W471" s="307"/>
      <c r="X471" s="307"/>
      <c r="Y471" s="307"/>
      <c r="Z471" s="307"/>
    </row>
    <row r="472" spans="1:26" ht="17.399999999999999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  <c r="M472" s="307"/>
      <c r="N472" s="307"/>
      <c r="O472" s="307"/>
      <c r="P472" s="307"/>
      <c r="Q472" s="307"/>
      <c r="R472" s="307"/>
      <c r="S472" s="307"/>
      <c r="T472" s="307"/>
      <c r="U472" s="307"/>
      <c r="V472" s="307"/>
      <c r="W472" s="307"/>
      <c r="X472" s="307"/>
      <c r="Y472" s="307"/>
      <c r="Z472" s="307"/>
    </row>
    <row r="473" spans="1:26" ht="17.399999999999999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  <c r="M473" s="307"/>
      <c r="N473" s="307"/>
      <c r="O473" s="307"/>
      <c r="P473" s="307"/>
      <c r="Q473" s="307"/>
      <c r="R473" s="307"/>
      <c r="S473" s="307"/>
      <c r="T473" s="307"/>
      <c r="U473" s="307"/>
      <c r="V473" s="307"/>
      <c r="W473" s="307"/>
      <c r="X473" s="307"/>
      <c r="Y473" s="307"/>
      <c r="Z473" s="307"/>
    </row>
    <row r="474" spans="1:26" ht="17.399999999999999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  <c r="M474" s="307"/>
      <c r="N474" s="307"/>
      <c r="O474" s="307"/>
      <c r="P474" s="307"/>
      <c r="Q474" s="307"/>
      <c r="R474" s="307"/>
      <c r="S474" s="307"/>
      <c r="T474" s="307"/>
      <c r="U474" s="307"/>
      <c r="V474" s="307"/>
      <c r="W474" s="307"/>
      <c r="X474" s="307"/>
      <c r="Y474" s="307"/>
      <c r="Z474" s="307"/>
    </row>
    <row r="475" spans="1:26" ht="17.399999999999999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  <c r="M475" s="307"/>
      <c r="N475" s="307"/>
      <c r="O475" s="307"/>
      <c r="P475" s="307"/>
      <c r="Q475" s="307"/>
      <c r="R475" s="307"/>
      <c r="S475" s="307"/>
      <c r="T475" s="307"/>
      <c r="U475" s="307"/>
      <c r="V475" s="307"/>
      <c r="W475" s="307"/>
      <c r="X475" s="307"/>
      <c r="Y475" s="307"/>
      <c r="Z475" s="307"/>
    </row>
    <row r="476" spans="1:26" ht="17.399999999999999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  <c r="M476" s="307"/>
      <c r="N476" s="307"/>
      <c r="O476" s="307"/>
      <c r="P476" s="307"/>
      <c r="Q476" s="307"/>
      <c r="R476" s="307"/>
      <c r="S476" s="307"/>
      <c r="T476" s="307"/>
      <c r="U476" s="307"/>
      <c r="V476" s="307"/>
      <c r="W476" s="307"/>
      <c r="X476" s="307"/>
      <c r="Y476" s="307"/>
      <c r="Z476" s="307"/>
    </row>
    <row r="477" spans="1:26" ht="17.399999999999999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  <c r="M477" s="307"/>
      <c r="N477" s="307"/>
      <c r="O477" s="307"/>
      <c r="P477" s="307"/>
      <c r="Q477" s="307"/>
      <c r="R477" s="307"/>
      <c r="S477" s="307"/>
      <c r="T477" s="307"/>
      <c r="U477" s="307"/>
      <c r="V477" s="307"/>
      <c r="W477" s="307"/>
      <c r="X477" s="307"/>
      <c r="Y477" s="307"/>
      <c r="Z477" s="307"/>
    </row>
    <row r="478" spans="1:26" ht="17.399999999999999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  <c r="M478" s="307"/>
      <c r="N478" s="307"/>
      <c r="O478" s="307"/>
      <c r="P478" s="307"/>
      <c r="Q478" s="307"/>
      <c r="R478" s="307"/>
      <c r="S478" s="307"/>
      <c r="T478" s="307"/>
      <c r="U478" s="307"/>
      <c r="V478" s="307"/>
      <c r="W478" s="307"/>
      <c r="X478" s="307"/>
      <c r="Y478" s="307"/>
      <c r="Z478" s="307"/>
    </row>
    <row r="479" spans="1:26" ht="17.399999999999999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  <c r="M479" s="307"/>
      <c r="N479" s="307"/>
      <c r="O479" s="307"/>
      <c r="P479" s="307"/>
      <c r="Q479" s="307"/>
      <c r="R479" s="307"/>
      <c r="S479" s="307"/>
      <c r="T479" s="307"/>
      <c r="U479" s="307"/>
      <c r="V479" s="307"/>
      <c r="W479" s="307"/>
      <c r="X479" s="307"/>
      <c r="Y479" s="307"/>
      <c r="Z479" s="307"/>
    </row>
    <row r="480" spans="1:26" ht="17.399999999999999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  <c r="M480" s="307"/>
      <c r="N480" s="307"/>
      <c r="O480" s="307"/>
      <c r="P480" s="307"/>
      <c r="Q480" s="307"/>
      <c r="R480" s="307"/>
      <c r="S480" s="307"/>
      <c r="T480" s="307"/>
      <c r="U480" s="307"/>
      <c r="V480" s="307"/>
      <c r="W480" s="307"/>
      <c r="X480" s="307"/>
      <c r="Y480" s="307"/>
      <c r="Z480" s="307"/>
    </row>
    <row r="481" spans="1:26" ht="17.399999999999999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  <c r="M481" s="307"/>
      <c r="N481" s="307"/>
      <c r="O481" s="307"/>
      <c r="P481" s="307"/>
      <c r="Q481" s="307"/>
      <c r="R481" s="307"/>
      <c r="S481" s="307"/>
      <c r="T481" s="307"/>
      <c r="U481" s="307"/>
      <c r="V481" s="307"/>
      <c r="W481" s="307"/>
      <c r="X481" s="307"/>
      <c r="Y481" s="307"/>
      <c r="Z481" s="307"/>
    </row>
    <row r="482" spans="1:26" ht="17.399999999999999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  <c r="M482" s="307"/>
      <c r="N482" s="307"/>
      <c r="O482" s="307"/>
      <c r="P482" s="307"/>
      <c r="Q482" s="307"/>
      <c r="R482" s="307"/>
      <c r="S482" s="307"/>
      <c r="T482" s="307"/>
      <c r="U482" s="307"/>
      <c r="V482" s="307"/>
      <c r="W482" s="307"/>
      <c r="X482" s="307"/>
      <c r="Y482" s="307"/>
      <c r="Z482" s="307"/>
    </row>
    <row r="483" spans="1:26" ht="17.399999999999999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  <c r="M483" s="307"/>
      <c r="N483" s="307"/>
      <c r="O483" s="307"/>
      <c r="P483" s="307"/>
      <c r="Q483" s="307"/>
      <c r="R483" s="307"/>
      <c r="S483" s="307"/>
      <c r="T483" s="307"/>
      <c r="U483" s="307"/>
      <c r="V483" s="307"/>
      <c r="W483" s="307"/>
      <c r="X483" s="307"/>
      <c r="Y483" s="307"/>
      <c r="Z483" s="307"/>
    </row>
    <row r="484" spans="1:26" ht="17.399999999999999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  <c r="M484" s="307"/>
      <c r="N484" s="307"/>
      <c r="O484" s="307"/>
      <c r="P484" s="307"/>
      <c r="Q484" s="307"/>
      <c r="R484" s="307"/>
      <c r="S484" s="307"/>
      <c r="T484" s="307"/>
      <c r="U484" s="307"/>
      <c r="V484" s="307"/>
      <c r="W484" s="307"/>
      <c r="X484" s="307"/>
      <c r="Y484" s="307"/>
      <c r="Z484" s="307"/>
    </row>
    <row r="485" spans="1:26" ht="17.399999999999999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  <c r="M485" s="307"/>
      <c r="N485" s="307"/>
      <c r="O485" s="307"/>
      <c r="P485" s="307"/>
      <c r="Q485" s="307"/>
      <c r="R485" s="307"/>
      <c r="S485" s="307"/>
      <c r="T485" s="307"/>
      <c r="U485" s="307"/>
      <c r="V485" s="307"/>
      <c r="W485" s="307"/>
      <c r="X485" s="307"/>
      <c r="Y485" s="307"/>
      <c r="Z485" s="307"/>
    </row>
    <row r="486" spans="1:26" ht="17.399999999999999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  <c r="M486" s="307"/>
      <c r="N486" s="307"/>
      <c r="O486" s="307"/>
      <c r="P486" s="307"/>
      <c r="Q486" s="307"/>
      <c r="R486" s="307"/>
      <c r="S486" s="307"/>
      <c r="T486" s="307"/>
      <c r="U486" s="307"/>
      <c r="V486" s="307"/>
      <c r="W486" s="307"/>
      <c r="X486" s="307"/>
      <c r="Y486" s="307"/>
      <c r="Z486" s="307"/>
    </row>
    <row r="487" spans="1:26" ht="17.399999999999999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  <c r="M487" s="307"/>
      <c r="N487" s="307"/>
      <c r="O487" s="307"/>
      <c r="P487" s="307"/>
      <c r="Q487" s="307"/>
      <c r="R487" s="307"/>
      <c r="S487" s="307"/>
      <c r="T487" s="307"/>
      <c r="U487" s="307"/>
      <c r="V487" s="307"/>
      <c r="W487" s="307"/>
      <c r="X487" s="307"/>
      <c r="Y487" s="307"/>
      <c r="Z487" s="307"/>
    </row>
    <row r="488" spans="1:26" ht="17.399999999999999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  <c r="M488" s="307"/>
      <c r="N488" s="307"/>
      <c r="O488" s="307"/>
      <c r="P488" s="307"/>
      <c r="Q488" s="307"/>
      <c r="R488" s="307"/>
      <c r="S488" s="307"/>
      <c r="T488" s="307"/>
      <c r="U488" s="307"/>
      <c r="V488" s="307"/>
      <c r="W488" s="307"/>
      <c r="X488" s="307"/>
      <c r="Y488" s="307"/>
      <c r="Z488" s="307"/>
    </row>
    <row r="489" spans="1:26" ht="17.399999999999999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  <c r="M489" s="307"/>
      <c r="N489" s="307"/>
      <c r="O489" s="307"/>
      <c r="P489" s="307"/>
      <c r="Q489" s="307"/>
      <c r="R489" s="307"/>
      <c r="S489" s="307"/>
      <c r="T489" s="307"/>
      <c r="U489" s="307"/>
      <c r="V489" s="307"/>
      <c r="W489" s="307"/>
      <c r="X489" s="307"/>
      <c r="Y489" s="307"/>
      <c r="Z489" s="307"/>
    </row>
    <row r="490" spans="1:26" ht="17.399999999999999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  <c r="M490" s="307"/>
      <c r="N490" s="307"/>
      <c r="O490" s="307"/>
      <c r="P490" s="307"/>
      <c r="Q490" s="307"/>
      <c r="R490" s="307"/>
      <c r="S490" s="307"/>
      <c r="T490" s="307"/>
      <c r="U490" s="307"/>
      <c r="V490" s="307"/>
      <c r="W490" s="307"/>
      <c r="X490" s="307"/>
      <c r="Y490" s="307"/>
      <c r="Z490" s="307"/>
    </row>
    <row r="491" spans="1:26" ht="17.399999999999999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  <c r="M491" s="307"/>
      <c r="N491" s="307"/>
      <c r="O491" s="307"/>
      <c r="P491" s="307"/>
      <c r="Q491" s="307"/>
      <c r="R491" s="307"/>
      <c r="S491" s="307"/>
      <c r="T491" s="307"/>
      <c r="U491" s="307"/>
      <c r="V491" s="307"/>
      <c r="W491" s="307"/>
      <c r="X491" s="307"/>
      <c r="Y491" s="307"/>
      <c r="Z491" s="307"/>
    </row>
    <row r="492" spans="1:26" ht="17.399999999999999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  <c r="M492" s="307"/>
      <c r="N492" s="307"/>
      <c r="O492" s="307"/>
      <c r="P492" s="307"/>
      <c r="Q492" s="307"/>
      <c r="R492" s="307"/>
      <c r="S492" s="307"/>
      <c r="T492" s="307"/>
      <c r="U492" s="307"/>
      <c r="V492" s="307"/>
      <c r="W492" s="307"/>
      <c r="X492" s="307"/>
      <c r="Y492" s="307"/>
      <c r="Z492" s="307"/>
    </row>
    <row r="493" spans="1:26" ht="17.399999999999999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  <c r="M493" s="307"/>
      <c r="N493" s="307"/>
      <c r="O493" s="307"/>
      <c r="P493" s="307"/>
      <c r="Q493" s="307"/>
      <c r="R493" s="307"/>
      <c r="S493" s="307"/>
      <c r="T493" s="307"/>
      <c r="U493" s="307"/>
      <c r="V493" s="307"/>
      <c r="W493" s="307"/>
      <c r="X493" s="307"/>
      <c r="Y493" s="307"/>
      <c r="Z493" s="307"/>
    </row>
    <row r="494" spans="1:26" ht="17.399999999999999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  <c r="M494" s="307"/>
      <c r="N494" s="307"/>
      <c r="O494" s="307"/>
      <c r="P494" s="307"/>
      <c r="Q494" s="307"/>
      <c r="R494" s="307"/>
      <c r="S494" s="307"/>
      <c r="T494" s="307"/>
      <c r="U494" s="307"/>
      <c r="V494" s="307"/>
      <c r="W494" s="307"/>
      <c r="X494" s="307"/>
      <c r="Y494" s="307"/>
      <c r="Z494" s="307"/>
    </row>
    <row r="495" spans="1:26" ht="17.399999999999999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  <c r="M495" s="307"/>
      <c r="N495" s="307"/>
      <c r="O495" s="307"/>
      <c r="P495" s="307"/>
      <c r="Q495" s="307"/>
      <c r="R495" s="307"/>
      <c r="S495" s="307"/>
      <c r="T495" s="307"/>
      <c r="U495" s="307"/>
      <c r="V495" s="307"/>
      <c r="W495" s="307"/>
      <c r="X495" s="307"/>
      <c r="Y495" s="307"/>
      <c r="Z495" s="307"/>
    </row>
    <row r="496" spans="1:26" ht="17.399999999999999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  <c r="M496" s="307"/>
      <c r="N496" s="307"/>
      <c r="O496" s="307"/>
      <c r="P496" s="307"/>
      <c r="Q496" s="307"/>
      <c r="R496" s="307"/>
      <c r="S496" s="307"/>
      <c r="T496" s="307"/>
      <c r="U496" s="307"/>
      <c r="V496" s="307"/>
      <c r="W496" s="307"/>
      <c r="X496" s="307"/>
      <c r="Y496" s="307"/>
      <c r="Z496" s="307"/>
    </row>
    <row r="497" spans="1:26" ht="17.399999999999999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  <c r="M497" s="307"/>
      <c r="N497" s="307"/>
      <c r="O497" s="307"/>
      <c r="P497" s="307"/>
      <c r="Q497" s="307"/>
      <c r="R497" s="307"/>
      <c r="S497" s="307"/>
      <c r="T497" s="307"/>
      <c r="U497" s="307"/>
      <c r="V497" s="307"/>
      <c r="W497" s="307"/>
      <c r="X497" s="307"/>
      <c r="Y497" s="307"/>
      <c r="Z497" s="307"/>
    </row>
    <row r="498" spans="1:26" ht="17.399999999999999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  <c r="M498" s="307"/>
      <c r="N498" s="307"/>
      <c r="O498" s="307"/>
      <c r="P498" s="307"/>
      <c r="Q498" s="307"/>
      <c r="R498" s="307"/>
      <c r="S498" s="307"/>
      <c r="T498" s="307"/>
      <c r="U498" s="307"/>
      <c r="V498" s="307"/>
      <c r="W498" s="307"/>
      <c r="X498" s="307"/>
      <c r="Y498" s="307"/>
      <c r="Z498" s="307"/>
    </row>
    <row r="499" spans="1:26" ht="17.399999999999999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  <c r="M499" s="307"/>
      <c r="N499" s="307"/>
      <c r="O499" s="307"/>
      <c r="P499" s="307"/>
      <c r="Q499" s="307"/>
      <c r="R499" s="307"/>
      <c r="S499" s="307"/>
      <c r="T499" s="307"/>
      <c r="U499" s="307"/>
      <c r="V499" s="307"/>
      <c r="W499" s="307"/>
      <c r="X499" s="307"/>
      <c r="Y499" s="307"/>
      <c r="Z499" s="307"/>
    </row>
    <row r="500" spans="1:26" ht="17.399999999999999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  <c r="M500" s="307"/>
      <c r="N500" s="307"/>
      <c r="O500" s="307"/>
      <c r="P500" s="307"/>
      <c r="Q500" s="307"/>
      <c r="R500" s="307"/>
      <c r="S500" s="307"/>
      <c r="T500" s="307"/>
      <c r="U500" s="307"/>
      <c r="V500" s="307"/>
      <c r="W500" s="307"/>
      <c r="X500" s="307"/>
      <c r="Y500" s="307"/>
      <c r="Z500" s="307"/>
    </row>
    <row r="501" spans="1:26" ht="17.399999999999999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  <c r="M501" s="307"/>
      <c r="N501" s="307"/>
      <c r="O501" s="307"/>
      <c r="P501" s="307"/>
      <c r="Q501" s="307"/>
      <c r="R501" s="307"/>
      <c r="S501" s="307"/>
      <c r="T501" s="307"/>
      <c r="U501" s="307"/>
      <c r="V501" s="307"/>
      <c r="W501" s="307"/>
      <c r="X501" s="307"/>
      <c r="Y501" s="307"/>
      <c r="Z501" s="307"/>
    </row>
    <row r="502" spans="1:26" ht="17.399999999999999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  <c r="M502" s="307"/>
      <c r="N502" s="307"/>
      <c r="O502" s="307"/>
      <c r="P502" s="307"/>
      <c r="Q502" s="307"/>
      <c r="R502" s="307"/>
      <c r="S502" s="307"/>
      <c r="T502" s="307"/>
      <c r="U502" s="307"/>
      <c r="V502" s="307"/>
      <c r="W502" s="307"/>
      <c r="X502" s="307"/>
      <c r="Y502" s="307"/>
      <c r="Z502" s="307"/>
    </row>
    <row r="503" spans="1:26" ht="17.399999999999999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  <c r="M503" s="307"/>
      <c r="N503" s="307"/>
      <c r="O503" s="307"/>
      <c r="P503" s="307"/>
      <c r="Q503" s="307"/>
      <c r="R503" s="307"/>
      <c r="S503" s="307"/>
      <c r="T503" s="307"/>
      <c r="U503" s="307"/>
      <c r="V503" s="307"/>
      <c r="W503" s="307"/>
      <c r="X503" s="307"/>
      <c r="Y503" s="307"/>
      <c r="Z503" s="307"/>
    </row>
    <row r="504" spans="1:26" ht="17.399999999999999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  <c r="M504" s="307"/>
      <c r="N504" s="307"/>
      <c r="O504" s="307"/>
      <c r="P504" s="307"/>
      <c r="Q504" s="307"/>
      <c r="R504" s="307"/>
      <c r="S504" s="307"/>
      <c r="T504" s="307"/>
      <c r="U504" s="307"/>
      <c r="V504" s="307"/>
      <c r="W504" s="307"/>
      <c r="X504" s="307"/>
      <c r="Y504" s="307"/>
      <c r="Z504" s="307"/>
    </row>
    <row r="505" spans="1:26" ht="17.399999999999999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  <c r="M505" s="307"/>
      <c r="N505" s="307"/>
      <c r="O505" s="307"/>
      <c r="P505" s="307"/>
      <c r="Q505" s="307"/>
      <c r="R505" s="307"/>
      <c r="S505" s="307"/>
      <c r="T505" s="307"/>
      <c r="U505" s="307"/>
      <c r="V505" s="307"/>
      <c r="W505" s="307"/>
      <c r="X505" s="307"/>
      <c r="Y505" s="307"/>
      <c r="Z505" s="307"/>
    </row>
    <row r="506" spans="1:26" ht="17.399999999999999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  <c r="M506" s="307"/>
      <c r="N506" s="307"/>
      <c r="O506" s="307"/>
      <c r="P506" s="307"/>
      <c r="Q506" s="307"/>
      <c r="R506" s="307"/>
      <c r="S506" s="307"/>
      <c r="T506" s="307"/>
      <c r="U506" s="307"/>
      <c r="V506" s="307"/>
      <c r="W506" s="307"/>
      <c r="X506" s="307"/>
      <c r="Y506" s="307"/>
      <c r="Z506" s="307"/>
    </row>
    <row r="507" spans="1:26" ht="17.399999999999999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  <c r="M507" s="307"/>
      <c r="N507" s="307"/>
      <c r="O507" s="307"/>
      <c r="P507" s="307"/>
      <c r="Q507" s="307"/>
      <c r="R507" s="307"/>
      <c r="S507" s="307"/>
      <c r="T507" s="307"/>
      <c r="U507" s="307"/>
      <c r="V507" s="307"/>
      <c r="W507" s="307"/>
      <c r="X507" s="307"/>
      <c r="Y507" s="307"/>
      <c r="Z507" s="307"/>
    </row>
    <row r="508" spans="1:26" ht="17.399999999999999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  <c r="M508" s="307"/>
      <c r="N508" s="307"/>
      <c r="O508" s="307"/>
      <c r="P508" s="307"/>
      <c r="Q508" s="307"/>
      <c r="R508" s="307"/>
      <c r="S508" s="307"/>
      <c r="T508" s="307"/>
      <c r="U508" s="307"/>
      <c r="V508" s="307"/>
      <c r="W508" s="307"/>
      <c r="X508" s="307"/>
      <c r="Y508" s="307"/>
      <c r="Z508" s="307"/>
    </row>
    <row r="509" spans="1:26" ht="17.399999999999999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  <c r="M509" s="307"/>
      <c r="N509" s="307"/>
      <c r="O509" s="307"/>
      <c r="P509" s="307"/>
      <c r="Q509" s="307"/>
      <c r="R509" s="307"/>
      <c r="S509" s="307"/>
      <c r="T509" s="307"/>
      <c r="U509" s="307"/>
      <c r="V509" s="307"/>
      <c r="W509" s="307"/>
      <c r="X509" s="307"/>
      <c r="Y509" s="307"/>
      <c r="Z509" s="307"/>
    </row>
    <row r="510" spans="1:26" ht="17.399999999999999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  <c r="M510" s="307"/>
      <c r="N510" s="307"/>
      <c r="O510" s="307"/>
      <c r="P510" s="307"/>
      <c r="Q510" s="307"/>
      <c r="R510" s="307"/>
      <c r="S510" s="307"/>
      <c r="T510" s="307"/>
      <c r="U510" s="307"/>
      <c r="V510" s="307"/>
      <c r="W510" s="307"/>
      <c r="X510" s="307"/>
      <c r="Y510" s="307"/>
      <c r="Z510" s="307"/>
    </row>
    <row r="511" spans="1:26" ht="17.399999999999999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  <c r="M511" s="307"/>
      <c r="N511" s="307"/>
      <c r="O511" s="307"/>
      <c r="P511" s="307"/>
      <c r="Q511" s="307"/>
      <c r="R511" s="307"/>
      <c r="S511" s="307"/>
      <c r="T511" s="307"/>
      <c r="U511" s="307"/>
      <c r="V511" s="307"/>
      <c r="W511" s="307"/>
      <c r="X511" s="307"/>
      <c r="Y511" s="307"/>
      <c r="Z511" s="307"/>
    </row>
    <row r="512" spans="1:26" ht="17.399999999999999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  <c r="M512" s="307"/>
      <c r="N512" s="307"/>
      <c r="O512" s="307"/>
      <c r="P512" s="307"/>
      <c r="Q512" s="307"/>
      <c r="R512" s="307"/>
      <c r="S512" s="307"/>
      <c r="T512" s="307"/>
      <c r="U512" s="307"/>
      <c r="V512" s="307"/>
      <c r="W512" s="307"/>
      <c r="X512" s="307"/>
      <c r="Y512" s="307"/>
      <c r="Z512" s="307"/>
    </row>
    <row r="513" spans="1:26" ht="17.399999999999999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  <c r="M513" s="307"/>
      <c r="N513" s="307"/>
      <c r="O513" s="307"/>
      <c r="P513" s="307"/>
      <c r="Q513" s="307"/>
      <c r="R513" s="307"/>
      <c r="S513" s="307"/>
      <c r="T513" s="307"/>
      <c r="U513" s="307"/>
      <c r="V513" s="307"/>
      <c r="W513" s="307"/>
      <c r="X513" s="307"/>
      <c r="Y513" s="307"/>
      <c r="Z513" s="307"/>
    </row>
    <row r="514" spans="1:26" ht="17.399999999999999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  <c r="M514" s="307"/>
      <c r="N514" s="307"/>
      <c r="O514" s="307"/>
      <c r="P514" s="307"/>
      <c r="Q514" s="307"/>
      <c r="R514" s="307"/>
      <c r="S514" s="307"/>
      <c r="T514" s="307"/>
      <c r="U514" s="307"/>
      <c r="V514" s="307"/>
      <c r="W514" s="307"/>
      <c r="X514" s="307"/>
      <c r="Y514" s="307"/>
      <c r="Z514" s="307"/>
    </row>
    <row r="515" spans="1:26" ht="17.399999999999999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  <c r="M515" s="307"/>
      <c r="N515" s="307"/>
      <c r="O515" s="307"/>
      <c r="P515" s="307"/>
      <c r="Q515" s="307"/>
      <c r="R515" s="307"/>
      <c r="S515" s="307"/>
      <c r="T515" s="307"/>
      <c r="U515" s="307"/>
      <c r="V515" s="307"/>
      <c r="W515" s="307"/>
      <c r="X515" s="307"/>
      <c r="Y515" s="307"/>
      <c r="Z515" s="307"/>
    </row>
    <row r="516" spans="1:26" ht="17.399999999999999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  <c r="M516" s="307"/>
      <c r="N516" s="307"/>
      <c r="O516" s="307"/>
      <c r="P516" s="307"/>
      <c r="Q516" s="307"/>
      <c r="R516" s="307"/>
      <c r="S516" s="307"/>
      <c r="T516" s="307"/>
      <c r="U516" s="307"/>
      <c r="V516" s="307"/>
      <c r="W516" s="307"/>
      <c r="X516" s="307"/>
      <c r="Y516" s="307"/>
      <c r="Z516" s="307"/>
    </row>
    <row r="517" spans="1:26" ht="17.399999999999999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  <c r="M517" s="307"/>
      <c r="N517" s="307"/>
      <c r="O517" s="307"/>
      <c r="P517" s="307"/>
      <c r="Q517" s="307"/>
      <c r="R517" s="307"/>
      <c r="S517" s="307"/>
      <c r="T517" s="307"/>
      <c r="U517" s="307"/>
      <c r="V517" s="307"/>
      <c r="W517" s="307"/>
      <c r="X517" s="307"/>
      <c r="Y517" s="307"/>
      <c r="Z517" s="307"/>
    </row>
    <row r="518" spans="1:26" ht="17.399999999999999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  <c r="M518" s="307"/>
      <c r="N518" s="307"/>
      <c r="O518" s="307"/>
      <c r="P518" s="307"/>
      <c r="Q518" s="307"/>
      <c r="R518" s="307"/>
      <c r="S518" s="307"/>
      <c r="T518" s="307"/>
      <c r="U518" s="307"/>
      <c r="V518" s="307"/>
      <c r="W518" s="307"/>
      <c r="X518" s="307"/>
      <c r="Y518" s="307"/>
      <c r="Z518" s="307"/>
    </row>
    <row r="519" spans="1:26" ht="17.399999999999999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  <c r="M519" s="307"/>
      <c r="N519" s="307"/>
      <c r="O519" s="307"/>
      <c r="P519" s="307"/>
      <c r="Q519" s="307"/>
      <c r="R519" s="307"/>
      <c r="S519" s="307"/>
      <c r="T519" s="307"/>
      <c r="U519" s="307"/>
      <c r="V519" s="307"/>
      <c r="W519" s="307"/>
      <c r="X519" s="307"/>
      <c r="Y519" s="307"/>
      <c r="Z519" s="307"/>
    </row>
    <row r="520" spans="1:26" ht="17.399999999999999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  <c r="M520" s="307"/>
      <c r="N520" s="307"/>
      <c r="O520" s="307"/>
      <c r="P520" s="307"/>
      <c r="Q520" s="307"/>
      <c r="R520" s="307"/>
      <c r="S520" s="307"/>
      <c r="T520" s="307"/>
      <c r="U520" s="307"/>
      <c r="V520" s="307"/>
      <c r="W520" s="307"/>
      <c r="X520" s="307"/>
      <c r="Y520" s="307"/>
      <c r="Z520" s="307"/>
    </row>
    <row r="521" spans="1:26" ht="17.399999999999999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  <c r="M521" s="307"/>
      <c r="N521" s="307"/>
      <c r="O521" s="307"/>
      <c r="P521" s="307"/>
      <c r="Q521" s="307"/>
      <c r="R521" s="307"/>
      <c r="S521" s="307"/>
      <c r="T521" s="307"/>
      <c r="U521" s="307"/>
      <c r="V521" s="307"/>
      <c r="W521" s="307"/>
      <c r="X521" s="307"/>
      <c r="Y521" s="307"/>
      <c r="Z521" s="307"/>
    </row>
    <row r="522" spans="1:26" ht="17.399999999999999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  <c r="M522" s="307"/>
      <c r="N522" s="307"/>
      <c r="O522" s="307"/>
      <c r="P522" s="307"/>
      <c r="Q522" s="307"/>
      <c r="R522" s="307"/>
      <c r="S522" s="307"/>
      <c r="T522" s="307"/>
      <c r="U522" s="307"/>
      <c r="V522" s="307"/>
      <c r="W522" s="307"/>
      <c r="X522" s="307"/>
      <c r="Y522" s="307"/>
      <c r="Z522" s="307"/>
    </row>
    <row r="523" spans="1:26" ht="17.399999999999999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  <c r="M523" s="307"/>
      <c r="N523" s="307"/>
      <c r="O523" s="307"/>
      <c r="P523" s="307"/>
      <c r="Q523" s="307"/>
      <c r="R523" s="307"/>
      <c r="S523" s="307"/>
      <c r="T523" s="307"/>
      <c r="U523" s="307"/>
      <c r="V523" s="307"/>
      <c r="W523" s="307"/>
      <c r="X523" s="307"/>
      <c r="Y523" s="307"/>
      <c r="Z523" s="307"/>
    </row>
    <row r="524" spans="1:26" ht="17.399999999999999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  <c r="M524" s="307"/>
      <c r="N524" s="307"/>
      <c r="O524" s="307"/>
      <c r="P524" s="307"/>
      <c r="Q524" s="307"/>
      <c r="R524" s="307"/>
      <c r="S524" s="307"/>
      <c r="T524" s="307"/>
      <c r="U524" s="307"/>
      <c r="V524" s="307"/>
      <c r="W524" s="307"/>
      <c r="X524" s="307"/>
      <c r="Y524" s="307"/>
      <c r="Z524" s="307"/>
    </row>
    <row r="525" spans="1:26" ht="17.399999999999999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  <c r="M525" s="307"/>
      <c r="N525" s="307"/>
      <c r="O525" s="307"/>
      <c r="P525" s="307"/>
      <c r="Q525" s="307"/>
      <c r="R525" s="307"/>
      <c r="S525" s="307"/>
      <c r="T525" s="307"/>
      <c r="U525" s="307"/>
      <c r="V525" s="307"/>
      <c r="W525" s="307"/>
      <c r="X525" s="307"/>
      <c r="Y525" s="307"/>
      <c r="Z525" s="307"/>
    </row>
    <row r="526" spans="1:26" ht="17.399999999999999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  <c r="M526" s="307"/>
      <c r="N526" s="307"/>
      <c r="O526" s="307"/>
      <c r="P526" s="307"/>
      <c r="Q526" s="307"/>
      <c r="R526" s="307"/>
      <c r="S526" s="307"/>
      <c r="T526" s="307"/>
      <c r="U526" s="307"/>
      <c r="V526" s="307"/>
      <c r="W526" s="307"/>
      <c r="X526" s="307"/>
      <c r="Y526" s="307"/>
      <c r="Z526" s="307"/>
    </row>
    <row r="527" spans="1:26" ht="17.399999999999999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  <c r="M527" s="307"/>
      <c r="N527" s="307"/>
      <c r="O527" s="307"/>
      <c r="P527" s="307"/>
      <c r="Q527" s="307"/>
      <c r="R527" s="307"/>
      <c r="S527" s="307"/>
      <c r="T527" s="307"/>
      <c r="U527" s="307"/>
      <c r="V527" s="307"/>
      <c r="W527" s="307"/>
      <c r="X527" s="307"/>
      <c r="Y527" s="307"/>
      <c r="Z527" s="307"/>
    </row>
    <row r="528" spans="1:26" ht="17.399999999999999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  <c r="M528" s="307"/>
      <c r="N528" s="307"/>
      <c r="O528" s="307"/>
      <c r="P528" s="307"/>
      <c r="Q528" s="307"/>
      <c r="R528" s="307"/>
      <c r="S528" s="307"/>
      <c r="T528" s="307"/>
      <c r="U528" s="307"/>
      <c r="V528" s="307"/>
      <c r="W528" s="307"/>
      <c r="X528" s="307"/>
      <c r="Y528" s="307"/>
      <c r="Z528" s="307"/>
    </row>
    <row r="529" spans="1:26" ht="17.399999999999999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  <c r="M529" s="307"/>
      <c r="N529" s="307"/>
      <c r="O529" s="307"/>
      <c r="P529" s="307"/>
      <c r="Q529" s="307"/>
      <c r="R529" s="307"/>
      <c r="S529" s="307"/>
      <c r="T529" s="307"/>
      <c r="U529" s="307"/>
      <c r="V529" s="307"/>
      <c r="W529" s="307"/>
      <c r="X529" s="307"/>
      <c r="Y529" s="307"/>
      <c r="Z529" s="307"/>
    </row>
    <row r="530" spans="1:26" ht="17.399999999999999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  <c r="M530" s="307"/>
      <c r="N530" s="307"/>
      <c r="O530" s="307"/>
      <c r="P530" s="307"/>
      <c r="Q530" s="307"/>
      <c r="R530" s="307"/>
      <c r="S530" s="307"/>
      <c r="T530" s="307"/>
      <c r="U530" s="307"/>
      <c r="V530" s="307"/>
      <c r="W530" s="307"/>
      <c r="X530" s="307"/>
      <c r="Y530" s="307"/>
      <c r="Z530" s="307"/>
    </row>
    <row r="531" spans="1:26" ht="17.399999999999999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  <c r="M531" s="307"/>
      <c r="N531" s="307"/>
      <c r="O531" s="307"/>
      <c r="P531" s="307"/>
      <c r="Q531" s="307"/>
      <c r="R531" s="307"/>
      <c r="S531" s="307"/>
      <c r="T531" s="307"/>
      <c r="U531" s="307"/>
      <c r="V531" s="307"/>
      <c r="W531" s="307"/>
      <c r="X531" s="307"/>
      <c r="Y531" s="307"/>
      <c r="Z531" s="307"/>
    </row>
    <row r="532" spans="1:26" ht="17.399999999999999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  <c r="M532" s="307"/>
      <c r="N532" s="307"/>
      <c r="O532" s="307"/>
      <c r="P532" s="307"/>
      <c r="Q532" s="307"/>
      <c r="R532" s="307"/>
      <c r="S532" s="307"/>
      <c r="T532" s="307"/>
      <c r="U532" s="307"/>
      <c r="V532" s="307"/>
      <c r="W532" s="307"/>
      <c r="X532" s="307"/>
      <c r="Y532" s="307"/>
      <c r="Z532" s="307"/>
    </row>
    <row r="533" spans="1:26" ht="17.399999999999999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  <c r="M533" s="307"/>
      <c r="N533" s="307"/>
      <c r="O533" s="307"/>
      <c r="P533" s="307"/>
      <c r="Q533" s="307"/>
      <c r="R533" s="307"/>
      <c r="S533" s="307"/>
      <c r="T533" s="307"/>
      <c r="U533" s="307"/>
      <c r="V533" s="307"/>
      <c r="W533" s="307"/>
      <c r="X533" s="307"/>
      <c r="Y533" s="307"/>
      <c r="Z533" s="307"/>
    </row>
    <row r="534" spans="1:26" ht="17.399999999999999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  <c r="M534" s="307"/>
      <c r="N534" s="307"/>
      <c r="O534" s="307"/>
      <c r="P534" s="307"/>
      <c r="Q534" s="307"/>
      <c r="R534" s="307"/>
      <c r="S534" s="307"/>
      <c r="T534" s="307"/>
      <c r="U534" s="307"/>
      <c r="V534" s="307"/>
      <c r="W534" s="307"/>
      <c r="X534" s="307"/>
      <c r="Y534" s="307"/>
      <c r="Z534" s="307"/>
    </row>
    <row r="535" spans="1:26" ht="17.399999999999999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  <c r="M535" s="307"/>
      <c r="N535" s="307"/>
      <c r="O535" s="307"/>
      <c r="P535" s="307"/>
      <c r="Q535" s="307"/>
      <c r="R535" s="307"/>
      <c r="S535" s="307"/>
      <c r="T535" s="307"/>
      <c r="U535" s="307"/>
      <c r="V535" s="307"/>
      <c r="W535" s="307"/>
      <c r="X535" s="307"/>
      <c r="Y535" s="307"/>
      <c r="Z535" s="307"/>
    </row>
    <row r="536" spans="1:26" ht="17.399999999999999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  <c r="M536" s="307"/>
      <c r="N536" s="307"/>
      <c r="O536" s="307"/>
      <c r="P536" s="307"/>
      <c r="Q536" s="307"/>
      <c r="R536" s="307"/>
      <c r="S536" s="307"/>
      <c r="T536" s="307"/>
      <c r="U536" s="307"/>
      <c r="V536" s="307"/>
      <c r="W536" s="307"/>
      <c r="X536" s="307"/>
      <c r="Y536" s="307"/>
      <c r="Z536" s="307"/>
    </row>
    <row r="537" spans="1:26" ht="17.399999999999999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  <c r="M537" s="307"/>
      <c r="N537" s="307"/>
      <c r="O537" s="307"/>
      <c r="P537" s="307"/>
      <c r="Q537" s="307"/>
      <c r="R537" s="307"/>
      <c r="S537" s="307"/>
      <c r="T537" s="307"/>
      <c r="U537" s="307"/>
      <c r="V537" s="307"/>
      <c r="W537" s="307"/>
      <c r="X537" s="307"/>
      <c r="Y537" s="307"/>
      <c r="Z537" s="307"/>
    </row>
    <row r="538" spans="1:26" ht="17.399999999999999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  <c r="M538" s="307"/>
      <c r="N538" s="307"/>
      <c r="O538" s="307"/>
      <c r="P538" s="307"/>
      <c r="Q538" s="307"/>
      <c r="R538" s="307"/>
      <c r="S538" s="307"/>
      <c r="T538" s="307"/>
      <c r="U538" s="307"/>
      <c r="V538" s="307"/>
      <c r="W538" s="307"/>
      <c r="X538" s="307"/>
      <c r="Y538" s="307"/>
      <c r="Z538" s="307"/>
    </row>
    <row r="539" spans="1:26" ht="17.399999999999999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  <c r="M539" s="307"/>
      <c r="N539" s="307"/>
      <c r="O539" s="307"/>
      <c r="P539" s="307"/>
      <c r="Q539" s="307"/>
      <c r="R539" s="307"/>
      <c r="S539" s="307"/>
      <c r="T539" s="307"/>
      <c r="U539" s="307"/>
      <c r="V539" s="307"/>
      <c r="W539" s="307"/>
      <c r="X539" s="307"/>
      <c r="Y539" s="307"/>
      <c r="Z539" s="307"/>
    </row>
    <row r="540" spans="1:26" ht="17.399999999999999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  <c r="M540" s="307"/>
      <c r="N540" s="307"/>
      <c r="O540" s="307"/>
      <c r="P540" s="307"/>
      <c r="Q540" s="307"/>
      <c r="R540" s="307"/>
      <c r="S540" s="307"/>
      <c r="T540" s="307"/>
      <c r="U540" s="307"/>
      <c r="V540" s="307"/>
      <c r="W540" s="307"/>
      <c r="X540" s="307"/>
      <c r="Y540" s="307"/>
      <c r="Z540" s="307"/>
    </row>
    <row r="541" spans="1:26" ht="17.399999999999999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  <c r="M541" s="307"/>
      <c r="N541" s="307"/>
      <c r="O541" s="307"/>
      <c r="P541" s="307"/>
      <c r="Q541" s="307"/>
      <c r="R541" s="307"/>
      <c r="S541" s="307"/>
      <c r="T541" s="307"/>
      <c r="U541" s="307"/>
      <c r="V541" s="307"/>
      <c r="W541" s="307"/>
      <c r="X541" s="307"/>
      <c r="Y541" s="307"/>
      <c r="Z541" s="307"/>
    </row>
    <row r="542" spans="1:26" ht="17.399999999999999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  <c r="M542" s="307"/>
      <c r="N542" s="307"/>
      <c r="O542" s="307"/>
      <c r="P542" s="307"/>
      <c r="Q542" s="307"/>
      <c r="R542" s="307"/>
      <c r="S542" s="307"/>
      <c r="T542" s="307"/>
      <c r="U542" s="307"/>
      <c r="V542" s="307"/>
      <c r="W542" s="307"/>
      <c r="X542" s="307"/>
      <c r="Y542" s="307"/>
      <c r="Z542" s="307"/>
    </row>
    <row r="543" spans="1:26" ht="17.399999999999999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  <c r="M543" s="307"/>
      <c r="N543" s="307"/>
      <c r="O543" s="307"/>
      <c r="P543" s="307"/>
      <c r="Q543" s="307"/>
      <c r="R543" s="307"/>
      <c r="S543" s="307"/>
      <c r="T543" s="307"/>
      <c r="U543" s="307"/>
      <c r="V543" s="307"/>
      <c r="W543" s="307"/>
      <c r="X543" s="307"/>
      <c r="Y543" s="307"/>
      <c r="Z543" s="307"/>
    </row>
    <row r="544" spans="1:26" ht="17.399999999999999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  <c r="M544" s="307"/>
      <c r="N544" s="307"/>
      <c r="O544" s="307"/>
      <c r="P544" s="307"/>
      <c r="Q544" s="307"/>
      <c r="R544" s="307"/>
      <c r="S544" s="307"/>
      <c r="T544" s="307"/>
      <c r="U544" s="307"/>
      <c r="V544" s="307"/>
      <c r="W544" s="307"/>
      <c r="X544" s="307"/>
      <c r="Y544" s="307"/>
      <c r="Z544" s="307"/>
    </row>
    <row r="545" spans="1:26" ht="17.399999999999999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  <c r="M545" s="307"/>
      <c r="N545" s="307"/>
      <c r="O545" s="307"/>
      <c r="P545" s="307"/>
      <c r="Q545" s="307"/>
      <c r="R545" s="307"/>
      <c r="S545" s="307"/>
      <c r="T545" s="307"/>
      <c r="U545" s="307"/>
      <c r="V545" s="307"/>
      <c r="W545" s="307"/>
      <c r="X545" s="307"/>
      <c r="Y545" s="307"/>
      <c r="Z545" s="307"/>
    </row>
    <row r="546" spans="1:26" ht="17.399999999999999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  <c r="M546" s="307"/>
      <c r="N546" s="307"/>
      <c r="O546" s="307"/>
      <c r="P546" s="307"/>
      <c r="Q546" s="307"/>
      <c r="R546" s="307"/>
      <c r="S546" s="307"/>
      <c r="T546" s="307"/>
      <c r="U546" s="307"/>
      <c r="V546" s="307"/>
      <c r="W546" s="307"/>
      <c r="X546" s="307"/>
      <c r="Y546" s="307"/>
      <c r="Z546" s="307"/>
    </row>
    <row r="547" spans="1:26" ht="17.399999999999999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  <c r="M547" s="307"/>
      <c r="N547" s="307"/>
      <c r="O547" s="307"/>
      <c r="P547" s="307"/>
      <c r="Q547" s="307"/>
      <c r="R547" s="307"/>
      <c r="S547" s="307"/>
      <c r="T547" s="307"/>
      <c r="U547" s="307"/>
      <c r="V547" s="307"/>
      <c r="W547" s="307"/>
      <c r="X547" s="307"/>
      <c r="Y547" s="307"/>
      <c r="Z547" s="307"/>
    </row>
    <row r="548" spans="1:26" ht="17.399999999999999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  <c r="M548" s="307"/>
      <c r="N548" s="307"/>
      <c r="O548" s="307"/>
      <c r="P548" s="307"/>
      <c r="Q548" s="307"/>
      <c r="R548" s="307"/>
      <c r="S548" s="307"/>
      <c r="T548" s="307"/>
      <c r="U548" s="307"/>
      <c r="V548" s="307"/>
      <c r="W548" s="307"/>
      <c r="X548" s="307"/>
      <c r="Y548" s="307"/>
      <c r="Z548" s="307"/>
    </row>
    <row r="549" spans="1:26" ht="17.399999999999999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  <c r="M549" s="307"/>
      <c r="N549" s="307"/>
      <c r="O549" s="307"/>
      <c r="P549" s="307"/>
      <c r="Q549" s="307"/>
      <c r="R549" s="307"/>
      <c r="S549" s="307"/>
      <c r="T549" s="307"/>
      <c r="U549" s="307"/>
      <c r="V549" s="307"/>
      <c r="W549" s="307"/>
      <c r="X549" s="307"/>
      <c r="Y549" s="307"/>
      <c r="Z549" s="307"/>
    </row>
    <row r="550" spans="1:26" ht="17.399999999999999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  <c r="M550" s="307"/>
      <c r="N550" s="307"/>
      <c r="O550" s="307"/>
      <c r="P550" s="307"/>
      <c r="Q550" s="307"/>
      <c r="R550" s="307"/>
      <c r="S550" s="307"/>
      <c r="T550" s="307"/>
      <c r="U550" s="307"/>
      <c r="V550" s="307"/>
      <c r="W550" s="307"/>
      <c r="X550" s="307"/>
      <c r="Y550" s="307"/>
      <c r="Z550" s="307"/>
    </row>
    <row r="551" spans="1:26" ht="17.399999999999999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  <c r="M551" s="307"/>
      <c r="N551" s="307"/>
      <c r="O551" s="307"/>
      <c r="P551" s="307"/>
      <c r="Q551" s="307"/>
      <c r="R551" s="307"/>
      <c r="S551" s="307"/>
      <c r="T551" s="307"/>
      <c r="U551" s="307"/>
      <c r="V551" s="307"/>
      <c r="W551" s="307"/>
      <c r="X551" s="307"/>
      <c r="Y551" s="307"/>
      <c r="Z551" s="307"/>
    </row>
    <row r="552" spans="1:26" ht="17.399999999999999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  <c r="M552" s="307"/>
      <c r="N552" s="307"/>
      <c r="O552" s="307"/>
      <c r="P552" s="307"/>
      <c r="Q552" s="307"/>
      <c r="R552" s="307"/>
      <c r="S552" s="307"/>
      <c r="T552" s="307"/>
      <c r="U552" s="307"/>
      <c r="V552" s="307"/>
      <c r="W552" s="307"/>
      <c r="X552" s="307"/>
      <c r="Y552" s="307"/>
      <c r="Z552" s="307"/>
    </row>
    <row r="553" spans="1:26" ht="17.399999999999999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  <c r="M553" s="307"/>
      <c r="N553" s="307"/>
      <c r="O553" s="307"/>
      <c r="P553" s="307"/>
      <c r="Q553" s="307"/>
      <c r="R553" s="307"/>
      <c r="S553" s="307"/>
      <c r="T553" s="307"/>
      <c r="U553" s="307"/>
      <c r="V553" s="307"/>
      <c r="W553" s="307"/>
      <c r="X553" s="307"/>
      <c r="Y553" s="307"/>
      <c r="Z553" s="307"/>
    </row>
    <row r="554" spans="1:26" ht="17.399999999999999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  <c r="M554" s="307"/>
      <c r="N554" s="307"/>
      <c r="O554" s="307"/>
      <c r="P554" s="307"/>
      <c r="Q554" s="307"/>
      <c r="R554" s="307"/>
      <c r="S554" s="307"/>
      <c r="T554" s="307"/>
      <c r="U554" s="307"/>
      <c r="V554" s="307"/>
      <c r="W554" s="307"/>
      <c r="X554" s="307"/>
      <c r="Y554" s="307"/>
      <c r="Z554" s="307"/>
    </row>
    <row r="555" spans="1:26" ht="17.399999999999999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  <c r="M555" s="307"/>
      <c r="N555" s="307"/>
      <c r="O555" s="307"/>
      <c r="P555" s="307"/>
      <c r="Q555" s="307"/>
      <c r="R555" s="307"/>
      <c r="S555" s="307"/>
      <c r="T555" s="307"/>
      <c r="U555" s="307"/>
      <c r="V555" s="307"/>
      <c r="W555" s="307"/>
      <c r="X555" s="307"/>
      <c r="Y555" s="307"/>
      <c r="Z555" s="307"/>
    </row>
    <row r="556" spans="1:26" ht="17.399999999999999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  <c r="M556" s="307"/>
      <c r="N556" s="307"/>
      <c r="O556" s="307"/>
      <c r="P556" s="307"/>
      <c r="Q556" s="307"/>
      <c r="R556" s="307"/>
      <c r="S556" s="307"/>
      <c r="T556" s="307"/>
      <c r="U556" s="307"/>
      <c r="V556" s="307"/>
      <c r="W556" s="307"/>
      <c r="X556" s="307"/>
      <c r="Y556" s="307"/>
      <c r="Z556" s="307"/>
    </row>
    <row r="557" spans="1:26" ht="17.399999999999999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  <c r="M557" s="307"/>
      <c r="N557" s="307"/>
      <c r="O557" s="307"/>
      <c r="P557" s="307"/>
      <c r="Q557" s="307"/>
      <c r="R557" s="307"/>
      <c r="S557" s="307"/>
      <c r="T557" s="307"/>
      <c r="U557" s="307"/>
      <c r="V557" s="307"/>
      <c r="W557" s="307"/>
      <c r="X557" s="307"/>
      <c r="Y557" s="307"/>
      <c r="Z557" s="307"/>
    </row>
    <row r="558" spans="1:26" ht="17.399999999999999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  <c r="M558" s="307"/>
      <c r="N558" s="307"/>
      <c r="O558" s="307"/>
      <c r="P558" s="307"/>
      <c r="Q558" s="307"/>
      <c r="R558" s="307"/>
      <c r="S558" s="307"/>
      <c r="T558" s="307"/>
      <c r="U558" s="307"/>
      <c r="V558" s="307"/>
      <c r="W558" s="307"/>
      <c r="X558" s="307"/>
      <c r="Y558" s="307"/>
      <c r="Z558" s="307"/>
    </row>
    <row r="559" spans="1:26" ht="17.399999999999999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  <c r="M559" s="307"/>
      <c r="N559" s="307"/>
      <c r="O559" s="307"/>
      <c r="P559" s="307"/>
      <c r="Q559" s="307"/>
      <c r="R559" s="307"/>
      <c r="S559" s="307"/>
      <c r="T559" s="307"/>
      <c r="U559" s="307"/>
      <c r="V559" s="307"/>
      <c r="W559" s="307"/>
      <c r="X559" s="307"/>
      <c r="Y559" s="307"/>
      <c r="Z559" s="307"/>
    </row>
    <row r="560" spans="1:26" ht="17.399999999999999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  <c r="M560" s="307"/>
      <c r="N560" s="307"/>
      <c r="O560" s="307"/>
      <c r="P560" s="307"/>
      <c r="Q560" s="307"/>
      <c r="R560" s="307"/>
      <c r="S560" s="307"/>
      <c r="T560" s="307"/>
      <c r="U560" s="307"/>
      <c r="V560" s="307"/>
      <c r="W560" s="307"/>
      <c r="X560" s="307"/>
      <c r="Y560" s="307"/>
      <c r="Z560" s="307"/>
    </row>
    <row r="561" spans="1:26" ht="17.399999999999999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  <c r="M561" s="307"/>
      <c r="N561" s="307"/>
      <c r="O561" s="307"/>
      <c r="P561" s="307"/>
      <c r="Q561" s="307"/>
      <c r="R561" s="307"/>
      <c r="S561" s="307"/>
      <c r="T561" s="307"/>
      <c r="U561" s="307"/>
      <c r="V561" s="307"/>
      <c r="W561" s="307"/>
      <c r="X561" s="307"/>
      <c r="Y561" s="307"/>
      <c r="Z561" s="307"/>
    </row>
    <row r="562" spans="1:26" ht="17.399999999999999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  <c r="M562" s="307"/>
      <c r="N562" s="307"/>
      <c r="O562" s="307"/>
      <c r="P562" s="307"/>
      <c r="Q562" s="307"/>
      <c r="R562" s="307"/>
      <c r="S562" s="307"/>
      <c r="T562" s="307"/>
      <c r="U562" s="307"/>
      <c r="V562" s="307"/>
      <c r="W562" s="307"/>
      <c r="X562" s="307"/>
      <c r="Y562" s="307"/>
      <c r="Z562" s="307"/>
    </row>
    <row r="563" spans="1:26" ht="17.399999999999999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  <c r="M563" s="307"/>
      <c r="N563" s="307"/>
      <c r="O563" s="307"/>
      <c r="P563" s="307"/>
      <c r="Q563" s="307"/>
      <c r="R563" s="307"/>
      <c r="S563" s="307"/>
      <c r="T563" s="307"/>
      <c r="U563" s="307"/>
      <c r="V563" s="307"/>
      <c r="W563" s="307"/>
      <c r="X563" s="307"/>
      <c r="Y563" s="307"/>
      <c r="Z563" s="307"/>
    </row>
    <row r="564" spans="1:26" ht="17.399999999999999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  <c r="M564" s="307"/>
      <c r="N564" s="307"/>
      <c r="O564" s="307"/>
      <c r="P564" s="307"/>
      <c r="Q564" s="307"/>
      <c r="R564" s="307"/>
      <c r="S564" s="307"/>
      <c r="T564" s="307"/>
      <c r="U564" s="307"/>
      <c r="V564" s="307"/>
      <c r="W564" s="307"/>
      <c r="X564" s="307"/>
      <c r="Y564" s="307"/>
      <c r="Z564" s="307"/>
    </row>
    <row r="565" spans="1:26" ht="17.399999999999999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  <c r="M565" s="307"/>
      <c r="N565" s="307"/>
      <c r="O565" s="307"/>
      <c r="P565" s="307"/>
      <c r="Q565" s="307"/>
      <c r="R565" s="307"/>
      <c r="S565" s="307"/>
      <c r="T565" s="307"/>
      <c r="U565" s="307"/>
      <c r="V565" s="307"/>
      <c r="W565" s="307"/>
      <c r="X565" s="307"/>
      <c r="Y565" s="307"/>
      <c r="Z565" s="307"/>
    </row>
    <row r="566" spans="1:26" ht="17.399999999999999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  <c r="M566" s="307"/>
      <c r="N566" s="307"/>
      <c r="O566" s="307"/>
      <c r="P566" s="307"/>
      <c r="Q566" s="307"/>
      <c r="R566" s="307"/>
      <c r="S566" s="307"/>
      <c r="T566" s="307"/>
      <c r="U566" s="307"/>
      <c r="V566" s="307"/>
      <c r="W566" s="307"/>
      <c r="X566" s="307"/>
      <c r="Y566" s="307"/>
      <c r="Z566" s="307"/>
    </row>
    <row r="567" spans="1:26" ht="17.399999999999999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  <c r="M567" s="307"/>
      <c r="N567" s="307"/>
      <c r="O567" s="307"/>
      <c r="P567" s="307"/>
      <c r="Q567" s="307"/>
      <c r="R567" s="307"/>
      <c r="S567" s="307"/>
      <c r="T567" s="307"/>
      <c r="U567" s="307"/>
      <c r="V567" s="307"/>
      <c r="W567" s="307"/>
      <c r="X567" s="307"/>
      <c r="Y567" s="307"/>
      <c r="Z567" s="307"/>
    </row>
    <row r="568" spans="1:26" ht="17.399999999999999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  <c r="M568" s="307"/>
      <c r="N568" s="307"/>
      <c r="O568" s="307"/>
      <c r="P568" s="307"/>
      <c r="Q568" s="307"/>
      <c r="R568" s="307"/>
      <c r="S568" s="307"/>
      <c r="T568" s="307"/>
      <c r="U568" s="307"/>
      <c r="V568" s="307"/>
      <c r="W568" s="307"/>
      <c r="X568" s="307"/>
      <c r="Y568" s="307"/>
      <c r="Z568" s="307"/>
    </row>
    <row r="569" spans="1:26" ht="17.399999999999999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  <c r="M569" s="307"/>
      <c r="N569" s="307"/>
      <c r="O569" s="307"/>
      <c r="P569" s="307"/>
      <c r="Q569" s="307"/>
      <c r="R569" s="307"/>
      <c r="S569" s="307"/>
      <c r="T569" s="307"/>
      <c r="U569" s="307"/>
      <c r="V569" s="307"/>
      <c r="W569" s="307"/>
      <c r="X569" s="307"/>
      <c r="Y569" s="307"/>
      <c r="Z569" s="307"/>
    </row>
    <row r="570" spans="1:26" ht="17.399999999999999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  <c r="M570" s="307"/>
      <c r="N570" s="307"/>
      <c r="O570" s="307"/>
      <c r="P570" s="307"/>
      <c r="Q570" s="307"/>
      <c r="R570" s="307"/>
      <c r="S570" s="307"/>
      <c r="T570" s="307"/>
      <c r="U570" s="307"/>
      <c r="V570" s="307"/>
      <c r="W570" s="307"/>
      <c r="X570" s="307"/>
      <c r="Y570" s="307"/>
      <c r="Z570" s="307"/>
    </row>
    <row r="571" spans="1:26" ht="17.399999999999999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  <c r="M571" s="307"/>
      <c r="N571" s="307"/>
      <c r="O571" s="307"/>
      <c r="P571" s="307"/>
      <c r="Q571" s="307"/>
      <c r="R571" s="307"/>
      <c r="S571" s="307"/>
      <c r="T571" s="307"/>
      <c r="U571" s="307"/>
      <c r="V571" s="307"/>
      <c r="W571" s="307"/>
      <c r="X571" s="307"/>
      <c r="Y571" s="307"/>
      <c r="Z571" s="307"/>
    </row>
    <row r="572" spans="1:26" ht="17.399999999999999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  <c r="M572" s="307"/>
      <c r="N572" s="307"/>
      <c r="O572" s="307"/>
      <c r="P572" s="307"/>
      <c r="Q572" s="307"/>
      <c r="R572" s="307"/>
      <c r="S572" s="307"/>
      <c r="T572" s="307"/>
      <c r="U572" s="307"/>
      <c r="V572" s="307"/>
      <c r="W572" s="307"/>
      <c r="X572" s="307"/>
      <c r="Y572" s="307"/>
      <c r="Z572" s="307"/>
    </row>
    <row r="573" spans="1:26" ht="17.399999999999999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  <c r="M573" s="307"/>
      <c r="N573" s="307"/>
      <c r="O573" s="307"/>
      <c r="P573" s="307"/>
      <c r="Q573" s="307"/>
      <c r="R573" s="307"/>
      <c r="S573" s="307"/>
      <c r="T573" s="307"/>
      <c r="U573" s="307"/>
      <c r="V573" s="307"/>
      <c r="W573" s="307"/>
      <c r="X573" s="307"/>
      <c r="Y573" s="307"/>
      <c r="Z573" s="307"/>
    </row>
    <row r="574" spans="1:26" ht="17.399999999999999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  <c r="M574" s="307"/>
      <c r="N574" s="307"/>
      <c r="O574" s="307"/>
      <c r="P574" s="307"/>
      <c r="Q574" s="307"/>
      <c r="R574" s="307"/>
      <c r="S574" s="307"/>
      <c r="T574" s="307"/>
      <c r="U574" s="307"/>
      <c r="V574" s="307"/>
      <c r="W574" s="307"/>
      <c r="X574" s="307"/>
      <c r="Y574" s="307"/>
      <c r="Z574" s="307"/>
    </row>
    <row r="575" spans="1:26" ht="17.399999999999999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  <c r="M575" s="307"/>
      <c r="N575" s="307"/>
      <c r="O575" s="307"/>
      <c r="P575" s="307"/>
      <c r="Q575" s="307"/>
      <c r="R575" s="307"/>
      <c r="S575" s="307"/>
      <c r="T575" s="307"/>
      <c r="U575" s="307"/>
      <c r="V575" s="307"/>
      <c r="W575" s="307"/>
      <c r="X575" s="307"/>
      <c r="Y575" s="307"/>
      <c r="Z575" s="307"/>
    </row>
    <row r="576" spans="1:26" ht="17.399999999999999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  <c r="M576" s="307"/>
      <c r="N576" s="307"/>
      <c r="O576" s="307"/>
      <c r="P576" s="307"/>
      <c r="Q576" s="307"/>
      <c r="R576" s="307"/>
      <c r="S576" s="307"/>
      <c r="T576" s="307"/>
      <c r="U576" s="307"/>
      <c r="V576" s="307"/>
      <c r="W576" s="307"/>
      <c r="X576" s="307"/>
      <c r="Y576" s="307"/>
      <c r="Z576" s="307"/>
    </row>
    <row r="577" spans="1:26" ht="17.399999999999999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  <c r="M577" s="307"/>
      <c r="N577" s="307"/>
      <c r="O577" s="307"/>
      <c r="P577" s="307"/>
      <c r="Q577" s="307"/>
      <c r="R577" s="307"/>
      <c r="S577" s="307"/>
      <c r="T577" s="307"/>
      <c r="U577" s="307"/>
      <c r="V577" s="307"/>
      <c r="W577" s="307"/>
      <c r="X577" s="307"/>
      <c r="Y577" s="307"/>
      <c r="Z577" s="307"/>
    </row>
    <row r="578" spans="1:26" ht="17.399999999999999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  <c r="M578" s="307"/>
      <c r="N578" s="307"/>
      <c r="O578" s="307"/>
      <c r="P578" s="307"/>
      <c r="Q578" s="307"/>
      <c r="R578" s="307"/>
      <c r="S578" s="307"/>
      <c r="T578" s="307"/>
      <c r="U578" s="307"/>
      <c r="V578" s="307"/>
      <c r="W578" s="307"/>
      <c r="X578" s="307"/>
      <c r="Y578" s="307"/>
      <c r="Z578" s="307"/>
    </row>
    <row r="579" spans="1:26" ht="17.399999999999999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  <c r="M579" s="307"/>
      <c r="N579" s="307"/>
      <c r="O579" s="307"/>
      <c r="P579" s="307"/>
      <c r="Q579" s="307"/>
      <c r="R579" s="307"/>
      <c r="S579" s="307"/>
      <c r="T579" s="307"/>
      <c r="U579" s="307"/>
      <c r="V579" s="307"/>
      <c r="W579" s="307"/>
      <c r="X579" s="307"/>
      <c r="Y579" s="307"/>
      <c r="Z579" s="307"/>
    </row>
    <row r="580" spans="1:26" ht="17.399999999999999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  <c r="M580" s="307"/>
      <c r="N580" s="307"/>
      <c r="O580" s="307"/>
      <c r="P580" s="307"/>
      <c r="Q580" s="307"/>
      <c r="R580" s="307"/>
      <c r="S580" s="307"/>
      <c r="T580" s="307"/>
      <c r="U580" s="307"/>
      <c r="V580" s="307"/>
      <c r="W580" s="307"/>
      <c r="X580" s="307"/>
      <c r="Y580" s="307"/>
      <c r="Z580" s="307"/>
    </row>
    <row r="581" spans="1:26" ht="17.399999999999999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  <c r="M581" s="307"/>
      <c r="N581" s="307"/>
      <c r="O581" s="307"/>
      <c r="P581" s="307"/>
      <c r="Q581" s="307"/>
      <c r="R581" s="307"/>
      <c r="S581" s="307"/>
      <c r="T581" s="307"/>
      <c r="U581" s="307"/>
      <c r="V581" s="307"/>
      <c r="W581" s="307"/>
      <c r="X581" s="307"/>
      <c r="Y581" s="307"/>
      <c r="Z581" s="307"/>
    </row>
    <row r="582" spans="1:26" ht="17.399999999999999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  <c r="M582" s="307"/>
      <c r="N582" s="307"/>
      <c r="O582" s="307"/>
      <c r="P582" s="307"/>
      <c r="Q582" s="307"/>
      <c r="R582" s="307"/>
      <c r="S582" s="307"/>
      <c r="T582" s="307"/>
      <c r="U582" s="307"/>
      <c r="V582" s="307"/>
      <c r="W582" s="307"/>
      <c r="X582" s="307"/>
      <c r="Y582" s="307"/>
      <c r="Z582" s="307"/>
    </row>
    <row r="583" spans="1:26" ht="17.399999999999999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  <c r="M583" s="307"/>
      <c r="N583" s="307"/>
      <c r="O583" s="307"/>
      <c r="P583" s="307"/>
      <c r="Q583" s="307"/>
      <c r="R583" s="307"/>
      <c r="S583" s="307"/>
      <c r="T583" s="307"/>
      <c r="U583" s="307"/>
      <c r="V583" s="307"/>
      <c r="W583" s="307"/>
      <c r="X583" s="307"/>
      <c r="Y583" s="307"/>
      <c r="Z583" s="307"/>
    </row>
    <row r="584" spans="1:26" ht="17.399999999999999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  <c r="M584" s="307"/>
      <c r="N584" s="307"/>
      <c r="O584" s="307"/>
      <c r="P584" s="307"/>
      <c r="Q584" s="307"/>
      <c r="R584" s="307"/>
      <c r="S584" s="307"/>
      <c r="T584" s="307"/>
      <c r="U584" s="307"/>
      <c r="V584" s="307"/>
      <c r="W584" s="307"/>
      <c r="X584" s="307"/>
      <c r="Y584" s="307"/>
      <c r="Z584" s="307"/>
    </row>
    <row r="585" spans="1:26" ht="17.399999999999999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  <c r="M585" s="307"/>
      <c r="N585" s="307"/>
      <c r="O585" s="307"/>
      <c r="P585" s="307"/>
      <c r="Q585" s="307"/>
      <c r="R585" s="307"/>
      <c r="S585" s="307"/>
      <c r="T585" s="307"/>
      <c r="U585" s="307"/>
      <c r="V585" s="307"/>
      <c r="W585" s="307"/>
      <c r="X585" s="307"/>
      <c r="Y585" s="307"/>
      <c r="Z585" s="307"/>
    </row>
    <row r="586" spans="1:26" ht="17.399999999999999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  <c r="M586" s="307"/>
      <c r="N586" s="307"/>
      <c r="O586" s="307"/>
      <c r="P586" s="307"/>
      <c r="Q586" s="307"/>
      <c r="R586" s="307"/>
      <c r="S586" s="307"/>
      <c r="T586" s="307"/>
      <c r="U586" s="307"/>
      <c r="V586" s="307"/>
      <c r="W586" s="307"/>
      <c r="X586" s="307"/>
      <c r="Y586" s="307"/>
      <c r="Z586" s="307"/>
    </row>
    <row r="587" spans="1:26" ht="17.399999999999999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  <c r="M587" s="307"/>
      <c r="N587" s="307"/>
      <c r="O587" s="307"/>
      <c r="P587" s="307"/>
      <c r="Q587" s="307"/>
      <c r="R587" s="307"/>
      <c r="S587" s="307"/>
      <c r="T587" s="307"/>
      <c r="U587" s="307"/>
      <c r="V587" s="307"/>
      <c r="W587" s="307"/>
      <c r="X587" s="307"/>
      <c r="Y587" s="307"/>
      <c r="Z587" s="307"/>
    </row>
    <row r="588" spans="1:26" ht="17.399999999999999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  <c r="M588" s="307"/>
      <c r="N588" s="307"/>
      <c r="O588" s="307"/>
      <c r="P588" s="307"/>
      <c r="Q588" s="307"/>
      <c r="R588" s="307"/>
      <c r="S588" s="307"/>
      <c r="T588" s="307"/>
      <c r="U588" s="307"/>
      <c r="V588" s="307"/>
      <c r="W588" s="307"/>
      <c r="X588" s="307"/>
      <c r="Y588" s="307"/>
      <c r="Z588" s="307"/>
    </row>
    <row r="589" spans="1:26" ht="17.399999999999999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  <c r="M589" s="307"/>
      <c r="N589" s="307"/>
      <c r="O589" s="307"/>
      <c r="P589" s="307"/>
      <c r="Q589" s="307"/>
      <c r="R589" s="307"/>
      <c r="S589" s="307"/>
      <c r="T589" s="307"/>
      <c r="U589" s="307"/>
      <c r="V589" s="307"/>
      <c r="W589" s="307"/>
      <c r="X589" s="307"/>
      <c r="Y589" s="307"/>
      <c r="Z589" s="307"/>
    </row>
    <row r="590" spans="1:26" ht="17.399999999999999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  <c r="M590" s="307"/>
      <c r="N590" s="307"/>
      <c r="O590" s="307"/>
      <c r="P590" s="307"/>
      <c r="Q590" s="307"/>
      <c r="R590" s="307"/>
      <c r="S590" s="307"/>
      <c r="T590" s="307"/>
      <c r="U590" s="307"/>
      <c r="V590" s="307"/>
      <c r="W590" s="307"/>
      <c r="X590" s="307"/>
      <c r="Y590" s="307"/>
      <c r="Z590" s="307"/>
    </row>
    <row r="591" spans="1:26" ht="17.399999999999999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  <c r="M591" s="307"/>
      <c r="N591" s="307"/>
      <c r="O591" s="307"/>
      <c r="P591" s="307"/>
      <c r="Q591" s="307"/>
      <c r="R591" s="307"/>
      <c r="S591" s="307"/>
      <c r="T591" s="307"/>
      <c r="U591" s="307"/>
      <c r="V591" s="307"/>
      <c r="W591" s="307"/>
      <c r="X591" s="307"/>
      <c r="Y591" s="307"/>
      <c r="Z591" s="307"/>
    </row>
    <row r="592" spans="1:26" ht="17.399999999999999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  <c r="M592" s="307"/>
      <c r="N592" s="307"/>
      <c r="O592" s="307"/>
      <c r="P592" s="307"/>
      <c r="Q592" s="307"/>
      <c r="R592" s="307"/>
      <c r="S592" s="307"/>
      <c r="T592" s="307"/>
      <c r="U592" s="307"/>
      <c r="V592" s="307"/>
      <c r="W592" s="307"/>
      <c r="X592" s="307"/>
      <c r="Y592" s="307"/>
      <c r="Z592" s="307"/>
    </row>
    <row r="593" spans="1:26" ht="17.399999999999999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  <c r="M593" s="307"/>
      <c r="N593" s="307"/>
      <c r="O593" s="307"/>
      <c r="P593" s="307"/>
      <c r="Q593" s="307"/>
      <c r="R593" s="307"/>
      <c r="S593" s="307"/>
      <c r="T593" s="307"/>
      <c r="U593" s="307"/>
      <c r="V593" s="307"/>
      <c r="W593" s="307"/>
      <c r="X593" s="307"/>
      <c r="Y593" s="307"/>
      <c r="Z593" s="307"/>
    </row>
    <row r="594" spans="1:26" ht="17.399999999999999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  <c r="M594" s="307"/>
      <c r="N594" s="307"/>
      <c r="O594" s="307"/>
      <c r="P594" s="307"/>
      <c r="Q594" s="307"/>
      <c r="R594" s="307"/>
      <c r="S594" s="307"/>
      <c r="T594" s="307"/>
      <c r="U594" s="307"/>
      <c r="V594" s="307"/>
      <c r="W594" s="307"/>
      <c r="X594" s="307"/>
      <c r="Y594" s="307"/>
      <c r="Z594" s="307"/>
    </row>
    <row r="595" spans="1:26" ht="17.399999999999999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  <c r="M595" s="307"/>
      <c r="N595" s="307"/>
      <c r="O595" s="307"/>
      <c r="P595" s="307"/>
      <c r="Q595" s="307"/>
      <c r="R595" s="307"/>
      <c r="S595" s="307"/>
      <c r="T595" s="307"/>
      <c r="U595" s="307"/>
      <c r="V595" s="307"/>
      <c r="W595" s="307"/>
      <c r="X595" s="307"/>
      <c r="Y595" s="307"/>
      <c r="Z595" s="307"/>
    </row>
    <row r="596" spans="1:26" ht="17.399999999999999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  <c r="M596" s="307"/>
      <c r="N596" s="307"/>
      <c r="O596" s="307"/>
      <c r="P596" s="307"/>
      <c r="Q596" s="307"/>
      <c r="R596" s="307"/>
      <c r="S596" s="307"/>
      <c r="T596" s="307"/>
      <c r="U596" s="307"/>
      <c r="V596" s="307"/>
      <c r="W596" s="307"/>
      <c r="X596" s="307"/>
      <c r="Y596" s="307"/>
      <c r="Z596" s="307"/>
    </row>
    <row r="597" spans="1:26" ht="17.399999999999999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  <c r="M597" s="307"/>
      <c r="N597" s="307"/>
      <c r="O597" s="307"/>
      <c r="P597" s="307"/>
      <c r="Q597" s="307"/>
      <c r="R597" s="307"/>
      <c r="S597" s="307"/>
      <c r="T597" s="307"/>
      <c r="U597" s="307"/>
      <c r="V597" s="307"/>
      <c r="W597" s="307"/>
      <c r="X597" s="307"/>
      <c r="Y597" s="307"/>
      <c r="Z597" s="307"/>
    </row>
    <row r="598" spans="1:26" ht="17.399999999999999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  <c r="M598" s="307"/>
      <c r="N598" s="307"/>
      <c r="O598" s="307"/>
      <c r="P598" s="307"/>
      <c r="Q598" s="307"/>
      <c r="R598" s="307"/>
      <c r="S598" s="307"/>
      <c r="T598" s="307"/>
      <c r="U598" s="307"/>
      <c r="V598" s="307"/>
      <c r="W598" s="307"/>
      <c r="X598" s="307"/>
      <c r="Y598" s="307"/>
      <c r="Z598" s="307"/>
    </row>
    <row r="599" spans="1:26" ht="17.399999999999999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  <c r="M599" s="307"/>
      <c r="N599" s="307"/>
      <c r="O599" s="307"/>
      <c r="P599" s="307"/>
      <c r="Q599" s="307"/>
      <c r="R599" s="307"/>
      <c r="S599" s="307"/>
      <c r="T599" s="307"/>
      <c r="U599" s="307"/>
      <c r="V599" s="307"/>
      <c r="W599" s="307"/>
      <c r="X599" s="307"/>
      <c r="Y599" s="307"/>
      <c r="Z599" s="307"/>
    </row>
    <row r="600" spans="1:26" ht="17.399999999999999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  <c r="M600" s="307"/>
      <c r="N600" s="307"/>
      <c r="O600" s="307"/>
      <c r="P600" s="307"/>
      <c r="Q600" s="307"/>
      <c r="R600" s="307"/>
      <c r="S600" s="307"/>
      <c r="T600" s="307"/>
      <c r="U600" s="307"/>
      <c r="V600" s="307"/>
      <c r="W600" s="307"/>
      <c r="X600" s="307"/>
      <c r="Y600" s="307"/>
      <c r="Z600" s="307"/>
    </row>
    <row r="601" spans="1:26" ht="17.399999999999999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  <c r="M601" s="307"/>
      <c r="N601" s="307"/>
      <c r="O601" s="307"/>
      <c r="P601" s="307"/>
      <c r="Q601" s="307"/>
      <c r="R601" s="307"/>
      <c r="S601" s="307"/>
      <c r="T601" s="307"/>
      <c r="U601" s="307"/>
      <c r="V601" s="307"/>
      <c r="W601" s="307"/>
      <c r="X601" s="307"/>
      <c r="Y601" s="307"/>
      <c r="Z601" s="307"/>
    </row>
    <row r="602" spans="1:26" ht="17.399999999999999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  <c r="M602" s="307"/>
      <c r="N602" s="307"/>
      <c r="O602" s="307"/>
      <c r="P602" s="307"/>
      <c r="Q602" s="307"/>
      <c r="R602" s="307"/>
      <c r="S602" s="307"/>
      <c r="T602" s="307"/>
      <c r="U602" s="307"/>
      <c r="V602" s="307"/>
      <c r="W602" s="307"/>
      <c r="X602" s="307"/>
      <c r="Y602" s="307"/>
      <c r="Z602" s="307"/>
    </row>
    <row r="603" spans="1:26" ht="17.399999999999999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  <c r="M603" s="307"/>
      <c r="N603" s="307"/>
      <c r="O603" s="307"/>
      <c r="P603" s="307"/>
      <c r="Q603" s="307"/>
      <c r="R603" s="307"/>
      <c r="S603" s="307"/>
      <c r="T603" s="307"/>
      <c r="U603" s="307"/>
      <c r="V603" s="307"/>
      <c r="W603" s="307"/>
      <c r="X603" s="307"/>
      <c r="Y603" s="307"/>
      <c r="Z603" s="307"/>
    </row>
    <row r="604" spans="1:26" ht="17.399999999999999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  <c r="M604" s="307"/>
      <c r="N604" s="307"/>
      <c r="O604" s="307"/>
      <c r="P604" s="307"/>
      <c r="Q604" s="307"/>
      <c r="R604" s="307"/>
      <c r="S604" s="307"/>
      <c r="T604" s="307"/>
      <c r="U604" s="307"/>
      <c r="V604" s="307"/>
      <c r="W604" s="307"/>
      <c r="X604" s="307"/>
      <c r="Y604" s="307"/>
      <c r="Z604" s="307"/>
    </row>
    <row r="605" spans="1:26" ht="17.399999999999999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  <c r="M605" s="307"/>
      <c r="N605" s="307"/>
      <c r="O605" s="307"/>
      <c r="P605" s="307"/>
      <c r="Q605" s="307"/>
      <c r="R605" s="307"/>
      <c r="S605" s="307"/>
      <c r="T605" s="307"/>
      <c r="U605" s="307"/>
      <c r="V605" s="307"/>
      <c r="W605" s="307"/>
      <c r="X605" s="307"/>
      <c r="Y605" s="307"/>
      <c r="Z605" s="307"/>
    </row>
    <row r="606" spans="1:26" ht="17.399999999999999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  <c r="M606" s="307"/>
      <c r="N606" s="307"/>
      <c r="O606" s="307"/>
      <c r="P606" s="307"/>
      <c r="Q606" s="307"/>
      <c r="R606" s="307"/>
      <c r="S606" s="307"/>
      <c r="T606" s="307"/>
      <c r="U606" s="307"/>
      <c r="V606" s="307"/>
      <c r="W606" s="307"/>
      <c r="X606" s="307"/>
      <c r="Y606" s="307"/>
      <c r="Z606" s="307"/>
    </row>
    <row r="607" spans="1:26" ht="17.399999999999999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  <c r="M607" s="307"/>
      <c r="N607" s="307"/>
      <c r="O607" s="307"/>
      <c r="P607" s="307"/>
      <c r="Q607" s="307"/>
      <c r="R607" s="307"/>
      <c r="S607" s="307"/>
      <c r="T607" s="307"/>
      <c r="U607" s="307"/>
      <c r="V607" s="307"/>
      <c r="W607" s="307"/>
      <c r="X607" s="307"/>
      <c r="Y607" s="307"/>
      <c r="Z607" s="307"/>
    </row>
    <row r="608" spans="1:26" ht="17.399999999999999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  <c r="M608" s="307"/>
      <c r="N608" s="307"/>
      <c r="O608" s="307"/>
      <c r="P608" s="307"/>
      <c r="Q608" s="307"/>
      <c r="R608" s="307"/>
      <c r="S608" s="307"/>
      <c r="T608" s="307"/>
      <c r="U608" s="307"/>
      <c r="V608" s="307"/>
      <c r="W608" s="307"/>
      <c r="X608" s="307"/>
      <c r="Y608" s="307"/>
      <c r="Z608" s="307"/>
    </row>
    <row r="609" spans="1:26" ht="17.399999999999999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  <c r="M609" s="307"/>
      <c r="N609" s="307"/>
      <c r="O609" s="307"/>
      <c r="P609" s="307"/>
      <c r="Q609" s="307"/>
      <c r="R609" s="307"/>
      <c r="S609" s="307"/>
      <c r="T609" s="307"/>
      <c r="U609" s="307"/>
      <c r="V609" s="307"/>
      <c r="W609" s="307"/>
      <c r="X609" s="307"/>
      <c r="Y609" s="307"/>
      <c r="Z609" s="307"/>
    </row>
    <row r="610" spans="1:26" ht="17.399999999999999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  <c r="M610" s="307"/>
      <c r="N610" s="307"/>
      <c r="O610" s="307"/>
      <c r="P610" s="307"/>
      <c r="Q610" s="307"/>
      <c r="R610" s="307"/>
      <c r="S610" s="307"/>
      <c r="T610" s="307"/>
      <c r="U610" s="307"/>
      <c r="V610" s="307"/>
      <c r="W610" s="307"/>
      <c r="X610" s="307"/>
      <c r="Y610" s="307"/>
      <c r="Z610" s="307"/>
    </row>
    <row r="611" spans="1:26" ht="17.399999999999999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  <c r="M611" s="307"/>
      <c r="N611" s="307"/>
      <c r="O611" s="307"/>
      <c r="P611" s="307"/>
      <c r="Q611" s="307"/>
      <c r="R611" s="307"/>
      <c r="S611" s="307"/>
      <c r="T611" s="307"/>
      <c r="U611" s="307"/>
      <c r="V611" s="307"/>
      <c r="W611" s="307"/>
      <c r="X611" s="307"/>
      <c r="Y611" s="307"/>
      <c r="Z611" s="307"/>
    </row>
    <row r="612" spans="1:26" ht="17.399999999999999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  <c r="M612" s="307"/>
      <c r="N612" s="307"/>
      <c r="O612" s="307"/>
      <c r="P612" s="307"/>
      <c r="Q612" s="307"/>
      <c r="R612" s="307"/>
      <c r="S612" s="307"/>
      <c r="T612" s="307"/>
      <c r="U612" s="307"/>
      <c r="V612" s="307"/>
      <c r="W612" s="307"/>
      <c r="X612" s="307"/>
      <c r="Y612" s="307"/>
      <c r="Z612" s="307"/>
    </row>
    <row r="613" spans="1:26" ht="17.399999999999999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  <c r="M613" s="307"/>
      <c r="N613" s="307"/>
      <c r="O613" s="307"/>
      <c r="P613" s="307"/>
      <c r="Q613" s="307"/>
      <c r="R613" s="307"/>
      <c r="S613" s="307"/>
      <c r="T613" s="307"/>
      <c r="U613" s="307"/>
      <c r="V613" s="307"/>
      <c r="W613" s="307"/>
      <c r="X613" s="307"/>
      <c r="Y613" s="307"/>
      <c r="Z613" s="307"/>
    </row>
    <row r="614" spans="1:26" ht="17.399999999999999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  <c r="M614" s="307"/>
      <c r="N614" s="307"/>
      <c r="O614" s="307"/>
      <c r="P614" s="307"/>
      <c r="Q614" s="307"/>
      <c r="R614" s="307"/>
      <c r="S614" s="307"/>
      <c r="T614" s="307"/>
      <c r="U614" s="307"/>
      <c r="V614" s="307"/>
      <c r="W614" s="307"/>
      <c r="X614" s="307"/>
      <c r="Y614" s="307"/>
      <c r="Z614" s="307"/>
    </row>
    <row r="615" spans="1:26" ht="17.399999999999999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  <c r="M615" s="307"/>
      <c r="N615" s="307"/>
      <c r="O615" s="307"/>
      <c r="P615" s="307"/>
      <c r="Q615" s="307"/>
      <c r="R615" s="307"/>
      <c r="S615" s="307"/>
      <c r="T615" s="307"/>
      <c r="U615" s="307"/>
      <c r="V615" s="307"/>
      <c r="W615" s="307"/>
      <c r="X615" s="307"/>
      <c r="Y615" s="307"/>
      <c r="Z615" s="307"/>
    </row>
    <row r="616" spans="1:26" ht="17.399999999999999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  <c r="M616" s="307"/>
      <c r="N616" s="307"/>
      <c r="O616" s="307"/>
      <c r="P616" s="307"/>
      <c r="Q616" s="307"/>
      <c r="R616" s="307"/>
      <c r="S616" s="307"/>
      <c r="T616" s="307"/>
      <c r="U616" s="307"/>
      <c r="V616" s="307"/>
      <c r="W616" s="307"/>
      <c r="X616" s="307"/>
      <c r="Y616" s="307"/>
      <c r="Z616" s="307"/>
    </row>
    <row r="617" spans="1:26" ht="17.399999999999999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  <c r="M617" s="307"/>
      <c r="N617" s="307"/>
      <c r="O617" s="307"/>
      <c r="P617" s="307"/>
      <c r="Q617" s="307"/>
      <c r="R617" s="307"/>
      <c r="S617" s="307"/>
      <c r="T617" s="307"/>
      <c r="U617" s="307"/>
      <c r="V617" s="307"/>
      <c r="W617" s="307"/>
      <c r="X617" s="307"/>
      <c r="Y617" s="307"/>
      <c r="Z617" s="307"/>
    </row>
    <row r="618" spans="1:26" ht="17.399999999999999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  <c r="M618" s="307"/>
      <c r="N618" s="307"/>
      <c r="O618" s="307"/>
      <c r="P618" s="307"/>
      <c r="Q618" s="307"/>
      <c r="R618" s="307"/>
      <c r="S618" s="307"/>
      <c r="T618" s="307"/>
      <c r="U618" s="307"/>
      <c r="V618" s="307"/>
      <c r="W618" s="307"/>
      <c r="X618" s="307"/>
      <c r="Y618" s="307"/>
      <c r="Z618" s="307"/>
    </row>
    <row r="619" spans="1:26" ht="17.399999999999999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  <c r="M619" s="307"/>
      <c r="N619" s="307"/>
      <c r="O619" s="307"/>
      <c r="P619" s="307"/>
      <c r="Q619" s="307"/>
      <c r="R619" s="307"/>
      <c r="S619" s="307"/>
      <c r="T619" s="307"/>
      <c r="U619" s="307"/>
      <c r="V619" s="307"/>
      <c r="W619" s="307"/>
      <c r="X619" s="307"/>
      <c r="Y619" s="307"/>
      <c r="Z619" s="307"/>
    </row>
    <row r="620" spans="1:26" ht="17.399999999999999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  <c r="M620" s="307"/>
      <c r="N620" s="307"/>
      <c r="O620" s="307"/>
      <c r="P620" s="307"/>
      <c r="Q620" s="307"/>
      <c r="R620" s="307"/>
      <c r="S620" s="307"/>
      <c r="T620" s="307"/>
      <c r="U620" s="307"/>
      <c r="V620" s="307"/>
      <c r="W620" s="307"/>
      <c r="X620" s="307"/>
      <c r="Y620" s="307"/>
      <c r="Z620" s="307"/>
    </row>
    <row r="621" spans="1:26" ht="17.399999999999999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  <c r="M621" s="307"/>
      <c r="N621" s="307"/>
      <c r="O621" s="307"/>
      <c r="P621" s="307"/>
      <c r="Q621" s="307"/>
      <c r="R621" s="307"/>
      <c r="S621" s="307"/>
      <c r="T621" s="307"/>
      <c r="U621" s="307"/>
      <c r="V621" s="307"/>
      <c r="W621" s="307"/>
      <c r="X621" s="307"/>
      <c r="Y621" s="307"/>
      <c r="Z621" s="307"/>
    </row>
    <row r="622" spans="1:26" ht="17.399999999999999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  <c r="M622" s="307"/>
      <c r="N622" s="307"/>
      <c r="O622" s="307"/>
      <c r="P622" s="307"/>
      <c r="Q622" s="307"/>
      <c r="R622" s="307"/>
      <c r="S622" s="307"/>
      <c r="T622" s="307"/>
      <c r="U622" s="307"/>
      <c r="V622" s="307"/>
      <c r="W622" s="307"/>
      <c r="X622" s="307"/>
      <c r="Y622" s="307"/>
      <c r="Z622" s="307"/>
    </row>
    <row r="623" spans="1:26" ht="17.399999999999999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  <c r="M623" s="307"/>
      <c r="N623" s="307"/>
      <c r="O623" s="307"/>
      <c r="P623" s="307"/>
      <c r="Q623" s="307"/>
      <c r="R623" s="307"/>
      <c r="S623" s="307"/>
      <c r="T623" s="307"/>
      <c r="U623" s="307"/>
      <c r="V623" s="307"/>
      <c r="W623" s="307"/>
      <c r="X623" s="307"/>
      <c r="Y623" s="307"/>
      <c r="Z623" s="307"/>
    </row>
    <row r="624" spans="1:26" ht="17.399999999999999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  <c r="M624" s="307"/>
      <c r="N624" s="307"/>
      <c r="O624" s="307"/>
      <c r="P624" s="307"/>
      <c r="Q624" s="307"/>
      <c r="R624" s="307"/>
      <c r="S624" s="307"/>
      <c r="T624" s="307"/>
      <c r="U624" s="307"/>
      <c r="V624" s="307"/>
      <c r="W624" s="307"/>
      <c r="X624" s="307"/>
      <c r="Y624" s="307"/>
      <c r="Z624" s="307"/>
    </row>
    <row r="625" spans="1:26" ht="17.399999999999999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  <c r="M625" s="307"/>
      <c r="N625" s="307"/>
      <c r="O625" s="307"/>
      <c r="P625" s="307"/>
      <c r="Q625" s="307"/>
      <c r="R625" s="307"/>
      <c r="S625" s="307"/>
      <c r="T625" s="307"/>
      <c r="U625" s="307"/>
      <c r="V625" s="307"/>
      <c r="W625" s="307"/>
      <c r="X625" s="307"/>
      <c r="Y625" s="307"/>
      <c r="Z625" s="307"/>
    </row>
    <row r="626" spans="1:26" ht="17.399999999999999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  <c r="M626" s="307"/>
      <c r="N626" s="307"/>
      <c r="O626" s="307"/>
      <c r="P626" s="307"/>
      <c r="Q626" s="307"/>
      <c r="R626" s="307"/>
      <c r="S626" s="307"/>
      <c r="T626" s="307"/>
      <c r="U626" s="307"/>
      <c r="V626" s="307"/>
      <c r="W626" s="307"/>
      <c r="X626" s="307"/>
      <c r="Y626" s="307"/>
      <c r="Z626" s="307"/>
    </row>
    <row r="627" spans="1:26" ht="17.399999999999999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  <c r="M627" s="307"/>
      <c r="N627" s="307"/>
      <c r="O627" s="307"/>
      <c r="P627" s="307"/>
      <c r="Q627" s="307"/>
      <c r="R627" s="307"/>
      <c r="S627" s="307"/>
      <c r="T627" s="307"/>
      <c r="U627" s="307"/>
      <c r="V627" s="307"/>
      <c r="W627" s="307"/>
      <c r="X627" s="307"/>
      <c r="Y627" s="307"/>
      <c r="Z627" s="307"/>
    </row>
    <row r="628" spans="1:26" ht="17.399999999999999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  <c r="M628" s="307"/>
      <c r="N628" s="307"/>
      <c r="O628" s="307"/>
      <c r="P628" s="307"/>
      <c r="Q628" s="307"/>
      <c r="R628" s="307"/>
      <c r="S628" s="307"/>
      <c r="T628" s="307"/>
      <c r="U628" s="307"/>
      <c r="V628" s="307"/>
      <c r="W628" s="307"/>
      <c r="X628" s="307"/>
      <c r="Y628" s="307"/>
      <c r="Z628" s="307"/>
    </row>
    <row r="629" spans="1:26" ht="17.399999999999999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  <c r="M629" s="307"/>
      <c r="N629" s="307"/>
      <c r="O629" s="307"/>
      <c r="P629" s="307"/>
      <c r="Q629" s="307"/>
      <c r="R629" s="307"/>
      <c r="S629" s="307"/>
      <c r="T629" s="307"/>
      <c r="U629" s="307"/>
      <c r="V629" s="307"/>
      <c r="W629" s="307"/>
      <c r="X629" s="307"/>
      <c r="Y629" s="307"/>
      <c r="Z629" s="307"/>
    </row>
    <row r="630" spans="1:26" ht="17.399999999999999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  <c r="M630" s="307"/>
      <c r="N630" s="307"/>
      <c r="O630" s="307"/>
      <c r="P630" s="307"/>
      <c r="Q630" s="307"/>
      <c r="R630" s="307"/>
      <c r="S630" s="307"/>
      <c r="T630" s="307"/>
      <c r="U630" s="307"/>
      <c r="V630" s="307"/>
      <c r="W630" s="307"/>
      <c r="X630" s="307"/>
      <c r="Y630" s="307"/>
      <c r="Z630" s="307"/>
    </row>
    <row r="631" spans="1:26" ht="17.399999999999999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  <c r="M631" s="307"/>
      <c r="N631" s="307"/>
      <c r="O631" s="307"/>
      <c r="P631" s="307"/>
      <c r="Q631" s="307"/>
      <c r="R631" s="307"/>
      <c r="S631" s="307"/>
      <c r="T631" s="307"/>
      <c r="U631" s="307"/>
      <c r="V631" s="307"/>
      <c r="W631" s="307"/>
      <c r="X631" s="307"/>
      <c r="Y631" s="307"/>
      <c r="Z631" s="307"/>
    </row>
    <row r="632" spans="1:26" ht="17.399999999999999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  <c r="M632" s="307"/>
      <c r="N632" s="307"/>
      <c r="O632" s="307"/>
      <c r="P632" s="307"/>
      <c r="Q632" s="307"/>
      <c r="R632" s="307"/>
      <c r="S632" s="307"/>
      <c r="T632" s="307"/>
      <c r="U632" s="307"/>
      <c r="V632" s="307"/>
      <c r="W632" s="307"/>
      <c r="X632" s="307"/>
      <c r="Y632" s="307"/>
      <c r="Z632" s="307"/>
    </row>
    <row r="633" spans="1:26" ht="17.399999999999999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  <c r="M633" s="307"/>
      <c r="N633" s="307"/>
      <c r="O633" s="307"/>
      <c r="P633" s="307"/>
      <c r="Q633" s="307"/>
      <c r="R633" s="307"/>
      <c r="S633" s="307"/>
      <c r="T633" s="307"/>
      <c r="U633" s="307"/>
      <c r="V633" s="307"/>
      <c r="W633" s="307"/>
      <c r="X633" s="307"/>
      <c r="Y633" s="307"/>
      <c r="Z633" s="307"/>
    </row>
    <row r="634" spans="1:26" ht="17.399999999999999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  <c r="M634" s="307"/>
      <c r="N634" s="307"/>
      <c r="O634" s="307"/>
      <c r="P634" s="307"/>
      <c r="Q634" s="307"/>
      <c r="R634" s="307"/>
      <c r="S634" s="307"/>
      <c r="T634" s="307"/>
      <c r="U634" s="307"/>
      <c r="V634" s="307"/>
      <c r="W634" s="307"/>
      <c r="X634" s="307"/>
      <c r="Y634" s="307"/>
      <c r="Z634" s="307"/>
    </row>
    <row r="635" spans="1:26" ht="17.399999999999999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  <c r="M635" s="307"/>
      <c r="N635" s="307"/>
      <c r="O635" s="307"/>
      <c r="P635" s="307"/>
      <c r="Q635" s="307"/>
      <c r="R635" s="307"/>
      <c r="S635" s="307"/>
      <c r="T635" s="307"/>
      <c r="U635" s="307"/>
      <c r="V635" s="307"/>
      <c r="W635" s="307"/>
      <c r="X635" s="307"/>
      <c r="Y635" s="307"/>
      <c r="Z635" s="307"/>
    </row>
    <row r="636" spans="1:26" ht="17.399999999999999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  <c r="M636" s="307"/>
      <c r="N636" s="307"/>
      <c r="O636" s="307"/>
      <c r="P636" s="307"/>
      <c r="Q636" s="307"/>
      <c r="R636" s="307"/>
      <c r="S636" s="307"/>
      <c r="T636" s="307"/>
      <c r="U636" s="307"/>
      <c r="V636" s="307"/>
      <c r="W636" s="307"/>
      <c r="X636" s="307"/>
      <c r="Y636" s="307"/>
      <c r="Z636" s="307"/>
    </row>
    <row r="637" spans="1:26" ht="17.399999999999999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  <c r="M637" s="307"/>
      <c r="N637" s="307"/>
      <c r="O637" s="307"/>
      <c r="P637" s="307"/>
      <c r="Q637" s="307"/>
      <c r="R637" s="307"/>
      <c r="S637" s="307"/>
      <c r="T637" s="307"/>
      <c r="U637" s="307"/>
      <c r="V637" s="307"/>
      <c r="W637" s="307"/>
      <c r="X637" s="307"/>
      <c r="Y637" s="307"/>
      <c r="Z637" s="307"/>
    </row>
    <row r="638" spans="1:26" ht="17.399999999999999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  <c r="M638" s="307"/>
      <c r="N638" s="307"/>
      <c r="O638" s="307"/>
      <c r="P638" s="307"/>
      <c r="Q638" s="307"/>
      <c r="R638" s="307"/>
      <c r="S638" s="307"/>
      <c r="T638" s="307"/>
      <c r="U638" s="307"/>
      <c r="V638" s="307"/>
      <c r="W638" s="307"/>
      <c r="X638" s="307"/>
      <c r="Y638" s="307"/>
      <c r="Z638" s="307"/>
    </row>
    <row r="639" spans="1:26" ht="17.399999999999999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  <c r="M639" s="307"/>
      <c r="N639" s="307"/>
      <c r="O639" s="307"/>
      <c r="P639" s="307"/>
      <c r="Q639" s="307"/>
      <c r="R639" s="307"/>
      <c r="S639" s="307"/>
      <c r="T639" s="307"/>
      <c r="U639" s="307"/>
      <c r="V639" s="307"/>
      <c r="W639" s="307"/>
      <c r="X639" s="307"/>
      <c r="Y639" s="307"/>
      <c r="Z639" s="307"/>
    </row>
    <row r="640" spans="1:26" ht="17.399999999999999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  <c r="M640" s="307"/>
      <c r="N640" s="307"/>
      <c r="O640" s="307"/>
      <c r="P640" s="307"/>
      <c r="Q640" s="307"/>
      <c r="R640" s="307"/>
      <c r="S640" s="307"/>
      <c r="T640" s="307"/>
      <c r="U640" s="307"/>
      <c r="V640" s="307"/>
      <c r="W640" s="307"/>
      <c r="X640" s="307"/>
      <c r="Y640" s="307"/>
      <c r="Z640" s="307"/>
    </row>
    <row r="641" spans="1:26" ht="17.399999999999999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  <c r="M641" s="307"/>
      <c r="N641" s="307"/>
      <c r="O641" s="307"/>
      <c r="P641" s="307"/>
      <c r="Q641" s="307"/>
      <c r="R641" s="307"/>
      <c r="S641" s="307"/>
      <c r="T641" s="307"/>
      <c r="U641" s="307"/>
      <c r="V641" s="307"/>
      <c r="W641" s="307"/>
      <c r="X641" s="307"/>
      <c r="Y641" s="307"/>
      <c r="Z641" s="307"/>
    </row>
    <row r="642" spans="1:26" ht="17.399999999999999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  <c r="M642" s="307"/>
      <c r="N642" s="307"/>
      <c r="O642" s="307"/>
      <c r="P642" s="307"/>
      <c r="Q642" s="307"/>
      <c r="R642" s="307"/>
      <c r="S642" s="307"/>
      <c r="T642" s="307"/>
      <c r="U642" s="307"/>
      <c r="V642" s="307"/>
      <c r="W642" s="307"/>
      <c r="X642" s="307"/>
      <c r="Y642" s="307"/>
      <c r="Z642" s="307"/>
    </row>
    <row r="643" spans="1:26" ht="17.399999999999999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  <c r="M643" s="307"/>
      <c r="N643" s="307"/>
      <c r="O643" s="307"/>
      <c r="P643" s="307"/>
      <c r="Q643" s="307"/>
      <c r="R643" s="307"/>
      <c r="S643" s="307"/>
      <c r="T643" s="307"/>
      <c r="U643" s="307"/>
      <c r="V643" s="307"/>
      <c r="W643" s="307"/>
      <c r="X643" s="307"/>
      <c r="Y643" s="307"/>
      <c r="Z643" s="307"/>
    </row>
    <row r="644" spans="1:26" ht="17.399999999999999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  <c r="M644" s="307"/>
      <c r="N644" s="307"/>
      <c r="O644" s="307"/>
      <c r="P644" s="307"/>
      <c r="Q644" s="307"/>
      <c r="R644" s="307"/>
      <c r="S644" s="307"/>
      <c r="T644" s="307"/>
      <c r="U644" s="307"/>
      <c r="V644" s="307"/>
      <c r="W644" s="307"/>
      <c r="X644" s="307"/>
      <c r="Y644" s="307"/>
      <c r="Z644" s="307"/>
    </row>
    <row r="645" spans="1:26" ht="17.399999999999999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  <c r="M645" s="307"/>
      <c r="N645" s="307"/>
      <c r="O645" s="307"/>
      <c r="P645" s="307"/>
      <c r="Q645" s="307"/>
      <c r="R645" s="307"/>
      <c r="S645" s="307"/>
      <c r="T645" s="307"/>
      <c r="U645" s="307"/>
      <c r="V645" s="307"/>
      <c r="W645" s="307"/>
      <c r="X645" s="307"/>
      <c r="Y645" s="307"/>
      <c r="Z645" s="307"/>
    </row>
    <row r="646" spans="1:26" ht="17.399999999999999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  <c r="M646" s="307"/>
      <c r="N646" s="307"/>
      <c r="O646" s="307"/>
      <c r="P646" s="307"/>
      <c r="Q646" s="307"/>
      <c r="R646" s="307"/>
      <c r="S646" s="307"/>
      <c r="T646" s="307"/>
      <c r="U646" s="307"/>
      <c r="V646" s="307"/>
      <c r="W646" s="307"/>
      <c r="X646" s="307"/>
      <c r="Y646" s="307"/>
      <c r="Z646" s="307"/>
    </row>
    <row r="647" spans="1:26" ht="17.399999999999999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  <c r="M647" s="307"/>
      <c r="N647" s="307"/>
      <c r="O647" s="307"/>
      <c r="P647" s="307"/>
      <c r="Q647" s="307"/>
      <c r="R647" s="307"/>
      <c r="S647" s="307"/>
      <c r="T647" s="307"/>
      <c r="U647" s="307"/>
      <c r="V647" s="307"/>
      <c r="W647" s="307"/>
      <c r="X647" s="307"/>
      <c r="Y647" s="307"/>
      <c r="Z647" s="307"/>
    </row>
    <row r="648" spans="1:26" ht="17.399999999999999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  <c r="M648" s="307"/>
      <c r="N648" s="307"/>
      <c r="O648" s="307"/>
      <c r="P648" s="307"/>
      <c r="Q648" s="307"/>
      <c r="R648" s="307"/>
      <c r="S648" s="307"/>
      <c r="T648" s="307"/>
      <c r="U648" s="307"/>
      <c r="V648" s="307"/>
      <c r="W648" s="307"/>
      <c r="X648" s="307"/>
      <c r="Y648" s="307"/>
      <c r="Z648" s="307"/>
    </row>
    <row r="649" spans="1:26" ht="17.399999999999999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  <c r="M649" s="307"/>
      <c r="N649" s="307"/>
      <c r="O649" s="307"/>
      <c r="P649" s="307"/>
      <c r="Q649" s="307"/>
      <c r="R649" s="307"/>
      <c r="S649" s="307"/>
      <c r="T649" s="307"/>
      <c r="U649" s="307"/>
      <c r="V649" s="307"/>
      <c r="W649" s="307"/>
      <c r="X649" s="307"/>
      <c r="Y649" s="307"/>
      <c r="Z649" s="307"/>
    </row>
    <row r="650" spans="1:26" ht="17.399999999999999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  <c r="M650" s="307"/>
      <c r="N650" s="307"/>
      <c r="O650" s="307"/>
      <c r="P650" s="307"/>
      <c r="Q650" s="307"/>
      <c r="R650" s="307"/>
      <c r="S650" s="307"/>
      <c r="T650" s="307"/>
      <c r="U650" s="307"/>
      <c r="V650" s="307"/>
      <c r="W650" s="307"/>
      <c r="X650" s="307"/>
      <c r="Y650" s="307"/>
      <c r="Z650" s="307"/>
    </row>
    <row r="651" spans="1:26" ht="17.399999999999999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  <c r="M651" s="307"/>
      <c r="N651" s="307"/>
      <c r="O651" s="307"/>
      <c r="P651" s="307"/>
      <c r="Q651" s="307"/>
      <c r="R651" s="307"/>
      <c r="S651" s="307"/>
      <c r="T651" s="307"/>
      <c r="U651" s="307"/>
      <c r="V651" s="307"/>
      <c r="W651" s="307"/>
      <c r="X651" s="307"/>
      <c r="Y651" s="307"/>
      <c r="Z651" s="307"/>
    </row>
    <row r="652" spans="1:26" ht="17.399999999999999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  <c r="M652" s="307"/>
      <c r="N652" s="307"/>
      <c r="O652" s="307"/>
      <c r="P652" s="307"/>
      <c r="Q652" s="307"/>
      <c r="R652" s="307"/>
      <c r="S652" s="307"/>
      <c r="T652" s="307"/>
      <c r="U652" s="307"/>
      <c r="V652" s="307"/>
      <c r="W652" s="307"/>
      <c r="X652" s="307"/>
      <c r="Y652" s="307"/>
      <c r="Z652" s="307"/>
    </row>
    <row r="653" spans="1:26" ht="17.399999999999999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  <c r="M653" s="307"/>
      <c r="N653" s="307"/>
      <c r="O653" s="307"/>
      <c r="P653" s="307"/>
      <c r="Q653" s="307"/>
      <c r="R653" s="307"/>
      <c r="S653" s="307"/>
      <c r="T653" s="307"/>
      <c r="U653" s="307"/>
      <c r="V653" s="307"/>
      <c r="W653" s="307"/>
      <c r="X653" s="307"/>
      <c r="Y653" s="307"/>
      <c r="Z653" s="307"/>
    </row>
    <row r="654" spans="1:26" ht="17.399999999999999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  <c r="M654" s="307"/>
      <c r="N654" s="307"/>
      <c r="O654" s="307"/>
      <c r="P654" s="307"/>
      <c r="Q654" s="307"/>
      <c r="R654" s="307"/>
      <c r="S654" s="307"/>
      <c r="T654" s="307"/>
      <c r="U654" s="307"/>
      <c r="V654" s="307"/>
      <c r="W654" s="307"/>
      <c r="X654" s="307"/>
      <c r="Y654" s="307"/>
      <c r="Z654" s="307"/>
    </row>
    <row r="655" spans="1:26" ht="17.399999999999999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  <c r="M655" s="307"/>
      <c r="N655" s="307"/>
      <c r="O655" s="307"/>
      <c r="P655" s="307"/>
      <c r="Q655" s="307"/>
      <c r="R655" s="307"/>
      <c r="S655" s="307"/>
      <c r="T655" s="307"/>
      <c r="U655" s="307"/>
      <c r="V655" s="307"/>
      <c r="W655" s="307"/>
      <c r="X655" s="307"/>
      <c r="Y655" s="307"/>
      <c r="Z655" s="307"/>
    </row>
    <row r="656" spans="1:26" ht="17.399999999999999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  <c r="M656" s="307"/>
      <c r="N656" s="307"/>
      <c r="O656" s="307"/>
      <c r="P656" s="307"/>
      <c r="Q656" s="307"/>
      <c r="R656" s="307"/>
      <c r="S656" s="307"/>
      <c r="T656" s="307"/>
      <c r="U656" s="307"/>
      <c r="V656" s="307"/>
      <c r="W656" s="307"/>
      <c r="X656" s="307"/>
      <c r="Y656" s="307"/>
      <c r="Z656" s="307"/>
    </row>
    <row r="657" spans="1:26" ht="17.399999999999999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  <c r="M657" s="307"/>
      <c r="N657" s="307"/>
      <c r="O657" s="307"/>
      <c r="P657" s="307"/>
      <c r="Q657" s="307"/>
      <c r="R657" s="307"/>
      <c r="S657" s="307"/>
      <c r="T657" s="307"/>
      <c r="U657" s="307"/>
      <c r="V657" s="307"/>
      <c r="W657" s="307"/>
      <c r="X657" s="307"/>
      <c r="Y657" s="307"/>
      <c r="Z657" s="307"/>
    </row>
    <row r="658" spans="1:26" ht="17.399999999999999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  <c r="M658" s="307"/>
      <c r="N658" s="307"/>
      <c r="O658" s="307"/>
      <c r="P658" s="307"/>
      <c r="Q658" s="307"/>
      <c r="R658" s="307"/>
      <c r="S658" s="307"/>
      <c r="T658" s="307"/>
      <c r="U658" s="307"/>
      <c r="V658" s="307"/>
      <c r="W658" s="307"/>
      <c r="X658" s="307"/>
      <c r="Y658" s="307"/>
      <c r="Z658" s="307"/>
    </row>
    <row r="659" spans="1:26" ht="17.399999999999999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  <c r="M659" s="307"/>
      <c r="N659" s="307"/>
      <c r="O659" s="307"/>
      <c r="P659" s="307"/>
      <c r="Q659" s="307"/>
      <c r="R659" s="307"/>
      <c r="S659" s="307"/>
      <c r="T659" s="307"/>
      <c r="U659" s="307"/>
      <c r="V659" s="307"/>
      <c r="W659" s="307"/>
      <c r="X659" s="307"/>
      <c r="Y659" s="307"/>
      <c r="Z659" s="307"/>
    </row>
    <row r="660" spans="1:26" ht="17.399999999999999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  <c r="M660" s="307"/>
      <c r="N660" s="307"/>
      <c r="O660" s="307"/>
      <c r="P660" s="307"/>
      <c r="Q660" s="307"/>
      <c r="R660" s="307"/>
      <c r="S660" s="307"/>
      <c r="T660" s="307"/>
      <c r="U660" s="307"/>
      <c r="V660" s="307"/>
      <c r="W660" s="307"/>
      <c r="X660" s="307"/>
      <c r="Y660" s="307"/>
      <c r="Z660" s="307"/>
    </row>
    <row r="661" spans="1:26" ht="17.399999999999999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  <c r="M661" s="307"/>
      <c r="N661" s="307"/>
      <c r="O661" s="307"/>
      <c r="P661" s="307"/>
      <c r="Q661" s="307"/>
      <c r="R661" s="307"/>
      <c r="S661" s="307"/>
      <c r="T661" s="307"/>
      <c r="U661" s="307"/>
      <c r="V661" s="307"/>
      <c r="W661" s="307"/>
      <c r="X661" s="307"/>
      <c r="Y661" s="307"/>
      <c r="Z661" s="307"/>
    </row>
    <row r="662" spans="1:26" ht="17.399999999999999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  <c r="M662" s="307"/>
      <c r="N662" s="307"/>
      <c r="O662" s="307"/>
      <c r="P662" s="307"/>
      <c r="Q662" s="307"/>
      <c r="R662" s="307"/>
      <c r="S662" s="307"/>
      <c r="T662" s="307"/>
      <c r="U662" s="307"/>
      <c r="V662" s="307"/>
      <c r="W662" s="307"/>
      <c r="X662" s="307"/>
      <c r="Y662" s="307"/>
      <c r="Z662" s="307"/>
    </row>
    <row r="663" spans="1:26" ht="17.399999999999999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  <c r="M663" s="307"/>
      <c r="N663" s="307"/>
      <c r="O663" s="307"/>
      <c r="P663" s="307"/>
      <c r="Q663" s="307"/>
      <c r="R663" s="307"/>
      <c r="S663" s="307"/>
      <c r="T663" s="307"/>
      <c r="U663" s="307"/>
      <c r="V663" s="307"/>
      <c r="W663" s="307"/>
      <c r="X663" s="307"/>
      <c r="Y663" s="307"/>
      <c r="Z663" s="307"/>
    </row>
    <row r="664" spans="1:26" ht="17.399999999999999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  <c r="M664" s="307"/>
      <c r="N664" s="307"/>
      <c r="O664" s="307"/>
      <c r="P664" s="307"/>
      <c r="Q664" s="307"/>
      <c r="R664" s="307"/>
      <c r="S664" s="307"/>
      <c r="T664" s="307"/>
      <c r="U664" s="307"/>
      <c r="V664" s="307"/>
      <c r="W664" s="307"/>
      <c r="X664" s="307"/>
      <c r="Y664" s="307"/>
      <c r="Z664" s="307"/>
    </row>
    <row r="665" spans="1:26" ht="17.399999999999999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  <c r="M665" s="307"/>
      <c r="N665" s="307"/>
      <c r="O665" s="307"/>
      <c r="P665" s="307"/>
      <c r="Q665" s="307"/>
      <c r="R665" s="307"/>
      <c r="S665" s="307"/>
      <c r="T665" s="307"/>
      <c r="U665" s="307"/>
      <c r="V665" s="307"/>
      <c r="W665" s="307"/>
      <c r="X665" s="307"/>
      <c r="Y665" s="307"/>
      <c r="Z665" s="307"/>
    </row>
    <row r="666" spans="1:26" ht="17.399999999999999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  <c r="M666" s="307"/>
      <c r="N666" s="307"/>
      <c r="O666" s="307"/>
      <c r="P666" s="307"/>
      <c r="Q666" s="307"/>
      <c r="R666" s="307"/>
      <c r="S666" s="307"/>
      <c r="T666" s="307"/>
      <c r="U666" s="307"/>
      <c r="V666" s="307"/>
      <c r="W666" s="307"/>
      <c r="X666" s="307"/>
      <c r="Y666" s="307"/>
      <c r="Z666" s="307"/>
    </row>
    <row r="667" spans="1:26" ht="17.399999999999999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  <c r="M667" s="307"/>
      <c r="N667" s="307"/>
      <c r="O667" s="307"/>
      <c r="P667" s="307"/>
      <c r="Q667" s="307"/>
      <c r="R667" s="307"/>
      <c r="S667" s="307"/>
      <c r="T667" s="307"/>
      <c r="U667" s="307"/>
      <c r="V667" s="307"/>
      <c r="W667" s="307"/>
      <c r="X667" s="307"/>
      <c r="Y667" s="307"/>
      <c r="Z667" s="307"/>
    </row>
    <row r="668" spans="1:26" ht="17.399999999999999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  <c r="M668" s="307"/>
      <c r="N668" s="307"/>
      <c r="O668" s="307"/>
      <c r="P668" s="307"/>
      <c r="Q668" s="307"/>
      <c r="R668" s="307"/>
      <c r="S668" s="307"/>
      <c r="T668" s="307"/>
      <c r="U668" s="307"/>
      <c r="V668" s="307"/>
      <c r="W668" s="307"/>
      <c r="X668" s="307"/>
      <c r="Y668" s="307"/>
      <c r="Z668" s="307"/>
    </row>
    <row r="669" spans="1:26" ht="17.399999999999999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  <c r="M669" s="307"/>
      <c r="N669" s="307"/>
      <c r="O669" s="307"/>
      <c r="P669" s="307"/>
      <c r="Q669" s="307"/>
      <c r="R669" s="307"/>
      <c r="S669" s="307"/>
      <c r="T669" s="307"/>
      <c r="U669" s="307"/>
      <c r="V669" s="307"/>
      <c r="W669" s="307"/>
      <c r="X669" s="307"/>
      <c r="Y669" s="307"/>
      <c r="Z669" s="307"/>
    </row>
    <row r="670" spans="1:26" ht="17.399999999999999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  <c r="M670" s="307"/>
      <c r="N670" s="307"/>
      <c r="O670" s="307"/>
      <c r="P670" s="307"/>
      <c r="Q670" s="307"/>
      <c r="R670" s="307"/>
      <c r="S670" s="307"/>
      <c r="T670" s="307"/>
      <c r="U670" s="307"/>
      <c r="V670" s="307"/>
      <c r="W670" s="307"/>
      <c r="X670" s="307"/>
      <c r="Y670" s="307"/>
      <c r="Z670" s="307"/>
    </row>
    <row r="671" spans="1:26" ht="17.399999999999999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  <c r="M671" s="307"/>
      <c r="N671" s="307"/>
      <c r="O671" s="307"/>
      <c r="P671" s="307"/>
      <c r="Q671" s="307"/>
      <c r="R671" s="307"/>
      <c r="S671" s="307"/>
      <c r="T671" s="307"/>
      <c r="U671" s="307"/>
      <c r="V671" s="307"/>
      <c r="W671" s="307"/>
      <c r="X671" s="307"/>
      <c r="Y671" s="307"/>
      <c r="Z671" s="307"/>
    </row>
    <row r="672" spans="1:26" ht="17.399999999999999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  <c r="M672" s="307"/>
      <c r="N672" s="307"/>
      <c r="O672" s="307"/>
      <c r="P672" s="307"/>
      <c r="Q672" s="307"/>
      <c r="R672" s="307"/>
      <c r="S672" s="307"/>
      <c r="T672" s="307"/>
      <c r="U672" s="307"/>
      <c r="V672" s="307"/>
      <c r="W672" s="307"/>
      <c r="X672" s="307"/>
      <c r="Y672" s="307"/>
      <c r="Z672" s="307"/>
    </row>
    <row r="673" spans="1:26" ht="17.399999999999999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  <c r="M673" s="307"/>
      <c r="N673" s="307"/>
      <c r="O673" s="307"/>
      <c r="P673" s="307"/>
      <c r="Q673" s="307"/>
      <c r="R673" s="307"/>
      <c r="S673" s="307"/>
      <c r="T673" s="307"/>
      <c r="U673" s="307"/>
      <c r="V673" s="307"/>
      <c r="W673" s="307"/>
      <c r="X673" s="307"/>
      <c r="Y673" s="307"/>
      <c r="Z673" s="307"/>
    </row>
    <row r="674" spans="1:26" ht="17.399999999999999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  <c r="M674" s="307"/>
      <c r="N674" s="307"/>
      <c r="O674" s="307"/>
      <c r="P674" s="307"/>
      <c r="Q674" s="307"/>
      <c r="R674" s="307"/>
      <c r="S674" s="307"/>
      <c r="T674" s="307"/>
      <c r="U674" s="307"/>
      <c r="V674" s="307"/>
      <c r="W674" s="307"/>
      <c r="X674" s="307"/>
      <c r="Y674" s="307"/>
      <c r="Z674" s="307"/>
    </row>
    <row r="675" spans="1:26" ht="17.399999999999999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  <c r="M675" s="307"/>
      <c r="N675" s="307"/>
      <c r="O675" s="307"/>
      <c r="P675" s="307"/>
      <c r="Q675" s="307"/>
      <c r="R675" s="307"/>
      <c r="S675" s="307"/>
      <c r="T675" s="307"/>
      <c r="U675" s="307"/>
      <c r="V675" s="307"/>
      <c r="W675" s="307"/>
      <c r="X675" s="307"/>
      <c r="Y675" s="307"/>
      <c r="Z675" s="307"/>
    </row>
    <row r="676" spans="1:26" ht="17.399999999999999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  <c r="M676" s="307"/>
      <c r="N676" s="307"/>
      <c r="O676" s="307"/>
      <c r="P676" s="307"/>
      <c r="Q676" s="307"/>
      <c r="R676" s="307"/>
      <c r="S676" s="307"/>
      <c r="T676" s="307"/>
      <c r="U676" s="307"/>
      <c r="V676" s="307"/>
      <c r="W676" s="307"/>
      <c r="X676" s="307"/>
      <c r="Y676" s="307"/>
      <c r="Z676" s="307"/>
    </row>
    <row r="677" spans="1:26" ht="17.399999999999999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  <c r="M677" s="307"/>
      <c r="N677" s="307"/>
      <c r="O677" s="307"/>
      <c r="P677" s="307"/>
      <c r="Q677" s="307"/>
      <c r="R677" s="307"/>
      <c r="S677" s="307"/>
      <c r="T677" s="307"/>
      <c r="U677" s="307"/>
      <c r="V677" s="307"/>
      <c r="W677" s="307"/>
      <c r="X677" s="307"/>
      <c r="Y677" s="307"/>
      <c r="Z677" s="307"/>
    </row>
    <row r="678" spans="1:26" ht="17.399999999999999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  <c r="M678" s="307"/>
      <c r="N678" s="307"/>
      <c r="O678" s="307"/>
      <c r="P678" s="307"/>
      <c r="Q678" s="307"/>
      <c r="R678" s="307"/>
      <c r="S678" s="307"/>
      <c r="T678" s="307"/>
      <c r="U678" s="307"/>
      <c r="V678" s="307"/>
      <c r="W678" s="307"/>
      <c r="X678" s="307"/>
      <c r="Y678" s="307"/>
      <c r="Z678" s="307"/>
    </row>
    <row r="679" spans="1:26" ht="17.399999999999999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  <c r="M679" s="307"/>
      <c r="N679" s="307"/>
      <c r="O679" s="307"/>
      <c r="P679" s="307"/>
      <c r="Q679" s="307"/>
      <c r="R679" s="307"/>
      <c r="S679" s="307"/>
      <c r="T679" s="307"/>
      <c r="U679" s="307"/>
      <c r="V679" s="307"/>
      <c r="W679" s="307"/>
      <c r="X679" s="307"/>
      <c r="Y679" s="307"/>
      <c r="Z679" s="307"/>
    </row>
    <row r="680" spans="1:26" ht="17.399999999999999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  <c r="M680" s="307"/>
      <c r="N680" s="307"/>
      <c r="O680" s="307"/>
      <c r="P680" s="307"/>
      <c r="Q680" s="307"/>
      <c r="R680" s="307"/>
      <c r="S680" s="307"/>
      <c r="T680" s="307"/>
      <c r="U680" s="307"/>
      <c r="V680" s="307"/>
      <c r="W680" s="307"/>
      <c r="X680" s="307"/>
      <c r="Y680" s="307"/>
      <c r="Z680" s="307"/>
    </row>
    <row r="681" spans="1:26" ht="17.399999999999999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  <c r="M681" s="307"/>
      <c r="N681" s="307"/>
      <c r="O681" s="307"/>
      <c r="P681" s="307"/>
      <c r="Q681" s="307"/>
      <c r="R681" s="307"/>
      <c r="S681" s="307"/>
      <c r="T681" s="307"/>
      <c r="U681" s="307"/>
      <c r="V681" s="307"/>
      <c r="W681" s="307"/>
      <c r="X681" s="307"/>
      <c r="Y681" s="307"/>
      <c r="Z681" s="307"/>
    </row>
    <row r="682" spans="1:26" ht="17.399999999999999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  <c r="M682" s="307"/>
      <c r="N682" s="307"/>
      <c r="O682" s="307"/>
      <c r="P682" s="307"/>
      <c r="Q682" s="307"/>
      <c r="R682" s="307"/>
      <c r="S682" s="307"/>
      <c r="T682" s="307"/>
      <c r="U682" s="307"/>
      <c r="V682" s="307"/>
      <c r="W682" s="307"/>
      <c r="X682" s="307"/>
      <c r="Y682" s="307"/>
      <c r="Z682" s="307"/>
    </row>
    <row r="683" spans="1:26" ht="17.399999999999999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  <c r="M683" s="307"/>
      <c r="N683" s="307"/>
      <c r="O683" s="307"/>
      <c r="P683" s="307"/>
      <c r="Q683" s="307"/>
      <c r="R683" s="307"/>
      <c r="S683" s="307"/>
      <c r="T683" s="307"/>
      <c r="U683" s="307"/>
      <c r="V683" s="307"/>
      <c r="W683" s="307"/>
      <c r="X683" s="307"/>
      <c r="Y683" s="307"/>
      <c r="Z683" s="307"/>
    </row>
    <row r="684" spans="1:26" ht="17.399999999999999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  <c r="M684" s="307"/>
      <c r="N684" s="307"/>
      <c r="O684" s="307"/>
      <c r="P684" s="307"/>
      <c r="Q684" s="307"/>
      <c r="R684" s="307"/>
      <c r="S684" s="307"/>
      <c r="T684" s="307"/>
      <c r="U684" s="307"/>
      <c r="V684" s="307"/>
      <c r="W684" s="307"/>
      <c r="X684" s="307"/>
      <c r="Y684" s="307"/>
      <c r="Z684" s="307"/>
    </row>
    <row r="685" spans="1:26" ht="17.399999999999999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  <c r="M685" s="307"/>
      <c r="N685" s="307"/>
      <c r="O685" s="307"/>
      <c r="P685" s="307"/>
      <c r="Q685" s="307"/>
      <c r="R685" s="307"/>
      <c r="S685" s="307"/>
      <c r="T685" s="307"/>
      <c r="U685" s="307"/>
      <c r="V685" s="307"/>
      <c r="W685" s="307"/>
      <c r="X685" s="307"/>
      <c r="Y685" s="307"/>
      <c r="Z685" s="307"/>
    </row>
    <row r="686" spans="1:26" ht="17.399999999999999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  <c r="M686" s="307"/>
      <c r="N686" s="307"/>
      <c r="O686" s="307"/>
      <c r="P686" s="307"/>
      <c r="Q686" s="307"/>
      <c r="R686" s="307"/>
      <c r="S686" s="307"/>
      <c r="T686" s="307"/>
      <c r="U686" s="307"/>
      <c r="V686" s="307"/>
      <c r="W686" s="307"/>
      <c r="X686" s="307"/>
      <c r="Y686" s="307"/>
      <c r="Z686" s="307"/>
    </row>
    <row r="687" spans="1:26" ht="17.399999999999999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  <c r="M687" s="307"/>
      <c r="N687" s="307"/>
      <c r="O687" s="307"/>
      <c r="P687" s="307"/>
      <c r="Q687" s="307"/>
      <c r="R687" s="307"/>
      <c r="S687" s="307"/>
      <c r="T687" s="307"/>
      <c r="U687" s="307"/>
      <c r="V687" s="307"/>
      <c r="W687" s="307"/>
      <c r="X687" s="307"/>
      <c r="Y687" s="307"/>
      <c r="Z687" s="307"/>
    </row>
    <row r="688" spans="1:26" ht="17.399999999999999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  <c r="M688" s="307"/>
      <c r="N688" s="307"/>
      <c r="O688" s="307"/>
      <c r="P688" s="307"/>
      <c r="Q688" s="307"/>
      <c r="R688" s="307"/>
      <c r="S688" s="307"/>
      <c r="T688" s="307"/>
      <c r="U688" s="307"/>
      <c r="V688" s="307"/>
      <c r="W688" s="307"/>
      <c r="X688" s="307"/>
      <c r="Y688" s="307"/>
      <c r="Z688" s="307"/>
    </row>
    <row r="689" spans="1:26" ht="17.399999999999999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  <c r="M689" s="307"/>
      <c r="N689" s="307"/>
      <c r="O689" s="307"/>
      <c r="P689" s="307"/>
      <c r="Q689" s="307"/>
      <c r="R689" s="307"/>
      <c r="S689" s="307"/>
      <c r="T689" s="307"/>
      <c r="U689" s="307"/>
      <c r="V689" s="307"/>
      <c r="W689" s="307"/>
      <c r="X689" s="307"/>
      <c r="Y689" s="307"/>
      <c r="Z689" s="307"/>
    </row>
    <row r="690" spans="1:26" ht="17.399999999999999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  <c r="M690" s="307"/>
      <c r="N690" s="307"/>
      <c r="O690" s="307"/>
      <c r="P690" s="307"/>
      <c r="Q690" s="307"/>
      <c r="R690" s="307"/>
      <c r="S690" s="307"/>
      <c r="T690" s="307"/>
      <c r="U690" s="307"/>
      <c r="V690" s="307"/>
      <c r="W690" s="307"/>
      <c r="X690" s="307"/>
      <c r="Y690" s="307"/>
      <c r="Z690" s="307"/>
    </row>
    <row r="691" spans="1:26" ht="17.399999999999999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  <c r="M691" s="307"/>
      <c r="N691" s="307"/>
      <c r="O691" s="307"/>
      <c r="P691" s="307"/>
      <c r="Q691" s="307"/>
      <c r="R691" s="307"/>
      <c r="S691" s="307"/>
      <c r="T691" s="307"/>
      <c r="U691" s="307"/>
      <c r="V691" s="307"/>
      <c r="W691" s="307"/>
      <c r="X691" s="307"/>
      <c r="Y691" s="307"/>
      <c r="Z691" s="307"/>
    </row>
    <row r="692" spans="1:26" ht="17.399999999999999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  <c r="M692" s="307"/>
      <c r="N692" s="307"/>
      <c r="O692" s="307"/>
      <c r="P692" s="307"/>
      <c r="Q692" s="307"/>
      <c r="R692" s="307"/>
      <c r="S692" s="307"/>
      <c r="T692" s="307"/>
      <c r="U692" s="307"/>
      <c r="V692" s="307"/>
      <c r="W692" s="307"/>
      <c r="X692" s="307"/>
      <c r="Y692" s="307"/>
      <c r="Z692" s="307"/>
    </row>
    <row r="693" spans="1:26" ht="17.399999999999999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  <c r="M693" s="307"/>
      <c r="N693" s="307"/>
      <c r="O693" s="307"/>
      <c r="P693" s="307"/>
      <c r="Q693" s="307"/>
      <c r="R693" s="307"/>
      <c r="S693" s="307"/>
      <c r="T693" s="307"/>
      <c r="U693" s="307"/>
      <c r="V693" s="307"/>
      <c r="W693" s="307"/>
      <c r="X693" s="307"/>
      <c r="Y693" s="307"/>
      <c r="Z693" s="307"/>
    </row>
    <row r="694" spans="1:26" ht="17.399999999999999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  <c r="M694" s="307"/>
      <c r="N694" s="307"/>
      <c r="O694" s="307"/>
      <c r="P694" s="307"/>
      <c r="Q694" s="307"/>
      <c r="R694" s="307"/>
      <c r="S694" s="307"/>
      <c r="T694" s="307"/>
      <c r="U694" s="307"/>
      <c r="V694" s="307"/>
      <c r="W694" s="307"/>
      <c r="X694" s="307"/>
      <c r="Y694" s="307"/>
      <c r="Z694" s="307"/>
    </row>
    <row r="695" spans="1:26" ht="17.399999999999999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  <c r="M695" s="307"/>
      <c r="N695" s="307"/>
      <c r="O695" s="307"/>
      <c r="P695" s="307"/>
      <c r="Q695" s="307"/>
      <c r="R695" s="307"/>
      <c r="S695" s="307"/>
      <c r="T695" s="307"/>
      <c r="U695" s="307"/>
      <c r="V695" s="307"/>
      <c r="W695" s="307"/>
      <c r="X695" s="307"/>
      <c r="Y695" s="307"/>
      <c r="Z695" s="307"/>
    </row>
    <row r="696" spans="1:26" ht="17.399999999999999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  <c r="M696" s="307"/>
      <c r="N696" s="307"/>
      <c r="O696" s="307"/>
      <c r="P696" s="307"/>
      <c r="Q696" s="307"/>
      <c r="R696" s="307"/>
      <c r="S696" s="307"/>
      <c r="T696" s="307"/>
      <c r="U696" s="307"/>
      <c r="V696" s="307"/>
      <c r="W696" s="307"/>
      <c r="X696" s="307"/>
      <c r="Y696" s="307"/>
      <c r="Z696" s="307"/>
    </row>
    <row r="697" spans="1:26" ht="17.399999999999999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  <c r="M697" s="307"/>
      <c r="N697" s="307"/>
      <c r="O697" s="307"/>
      <c r="P697" s="307"/>
      <c r="Q697" s="307"/>
      <c r="R697" s="307"/>
      <c r="S697" s="307"/>
      <c r="T697" s="307"/>
      <c r="U697" s="307"/>
      <c r="V697" s="307"/>
      <c r="W697" s="307"/>
      <c r="X697" s="307"/>
      <c r="Y697" s="307"/>
      <c r="Z697" s="307"/>
    </row>
    <row r="698" spans="1:26" ht="17.399999999999999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  <c r="M698" s="307"/>
      <c r="N698" s="307"/>
      <c r="O698" s="307"/>
      <c r="P698" s="307"/>
      <c r="Q698" s="307"/>
      <c r="R698" s="307"/>
      <c r="S698" s="307"/>
      <c r="T698" s="307"/>
      <c r="U698" s="307"/>
      <c r="V698" s="307"/>
      <c r="W698" s="307"/>
      <c r="X698" s="307"/>
      <c r="Y698" s="307"/>
      <c r="Z698" s="307"/>
    </row>
    <row r="699" spans="1:26" ht="17.399999999999999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  <c r="M699" s="307"/>
      <c r="N699" s="307"/>
      <c r="O699" s="307"/>
      <c r="P699" s="307"/>
      <c r="Q699" s="307"/>
      <c r="R699" s="307"/>
      <c r="S699" s="307"/>
      <c r="T699" s="307"/>
      <c r="U699" s="307"/>
      <c r="V699" s="307"/>
      <c r="W699" s="307"/>
      <c r="X699" s="307"/>
      <c r="Y699" s="307"/>
      <c r="Z699" s="307"/>
    </row>
    <row r="700" spans="1:26" ht="17.399999999999999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  <c r="M700" s="307"/>
      <c r="N700" s="307"/>
      <c r="O700" s="307"/>
      <c r="P700" s="307"/>
      <c r="Q700" s="307"/>
      <c r="R700" s="307"/>
      <c r="S700" s="307"/>
      <c r="T700" s="307"/>
      <c r="U700" s="307"/>
      <c r="V700" s="307"/>
      <c r="W700" s="307"/>
      <c r="X700" s="307"/>
      <c r="Y700" s="307"/>
      <c r="Z700" s="307"/>
    </row>
    <row r="701" spans="1:26" ht="17.399999999999999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  <c r="M701" s="307"/>
      <c r="N701" s="307"/>
      <c r="O701" s="307"/>
      <c r="P701" s="307"/>
      <c r="Q701" s="307"/>
      <c r="R701" s="307"/>
      <c r="S701" s="307"/>
      <c r="T701" s="307"/>
      <c r="U701" s="307"/>
      <c r="V701" s="307"/>
      <c r="W701" s="307"/>
      <c r="X701" s="307"/>
      <c r="Y701" s="307"/>
      <c r="Z701" s="307"/>
    </row>
    <row r="702" spans="1:26" ht="17.399999999999999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  <c r="M702" s="307"/>
      <c r="N702" s="307"/>
      <c r="O702" s="307"/>
      <c r="P702" s="307"/>
      <c r="Q702" s="307"/>
      <c r="R702" s="307"/>
      <c r="S702" s="307"/>
      <c r="T702" s="307"/>
      <c r="U702" s="307"/>
      <c r="V702" s="307"/>
      <c r="W702" s="307"/>
      <c r="X702" s="307"/>
      <c r="Y702" s="307"/>
      <c r="Z702" s="307"/>
    </row>
    <row r="703" spans="1:26" ht="17.399999999999999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  <c r="M703" s="307"/>
      <c r="N703" s="307"/>
      <c r="O703" s="307"/>
      <c r="P703" s="307"/>
      <c r="Q703" s="307"/>
      <c r="R703" s="307"/>
      <c r="S703" s="307"/>
      <c r="T703" s="307"/>
      <c r="U703" s="307"/>
      <c r="V703" s="307"/>
      <c r="W703" s="307"/>
      <c r="X703" s="307"/>
      <c r="Y703" s="307"/>
      <c r="Z703" s="307"/>
    </row>
    <row r="704" spans="1:26" ht="17.399999999999999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  <c r="M704" s="307"/>
      <c r="N704" s="307"/>
      <c r="O704" s="307"/>
      <c r="P704" s="307"/>
      <c r="Q704" s="307"/>
      <c r="R704" s="307"/>
      <c r="S704" s="307"/>
      <c r="T704" s="307"/>
      <c r="U704" s="307"/>
      <c r="V704" s="307"/>
      <c r="W704" s="307"/>
      <c r="X704" s="307"/>
      <c r="Y704" s="307"/>
      <c r="Z704" s="307"/>
    </row>
    <row r="705" spans="1:26" ht="17.399999999999999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  <c r="M705" s="307"/>
      <c r="N705" s="307"/>
      <c r="O705" s="307"/>
      <c r="P705" s="307"/>
      <c r="Q705" s="307"/>
      <c r="R705" s="307"/>
      <c r="S705" s="307"/>
      <c r="T705" s="307"/>
      <c r="U705" s="307"/>
      <c r="V705" s="307"/>
      <c r="W705" s="307"/>
      <c r="X705" s="307"/>
      <c r="Y705" s="307"/>
      <c r="Z705" s="307"/>
    </row>
    <row r="706" spans="1:26" ht="17.399999999999999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  <c r="M706" s="307"/>
      <c r="N706" s="307"/>
      <c r="O706" s="307"/>
      <c r="P706" s="307"/>
      <c r="Q706" s="307"/>
      <c r="R706" s="307"/>
      <c r="S706" s="307"/>
      <c r="T706" s="307"/>
      <c r="U706" s="307"/>
      <c r="V706" s="307"/>
      <c r="W706" s="307"/>
      <c r="X706" s="307"/>
      <c r="Y706" s="307"/>
      <c r="Z706" s="307"/>
    </row>
    <row r="707" spans="1:26" ht="17.399999999999999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  <c r="M707" s="307"/>
      <c r="N707" s="307"/>
      <c r="O707" s="307"/>
      <c r="P707" s="307"/>
      <c r="Q707" s="307"/>
      <c r="R707" s="307"/>
      <c r="S707" s="307"/>
      <c r="T707" s="307"/>
      <c r="U707" s="307"/>
      <c r="V707" s="307"/>
      <c r="W707" s="307"/>
      <c r="X707" s="307"/>
      <c r="Y707" s="307"/>
      <c r="Z707" s="307"/>
    </row>
    <row r="708" spans="1:26" ht="17.399999999999999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  <c r="M708" s="307"/>
      <c r="N708" s="307"/>
      <c r="O708" s="307"/>
      <c r="P708" s="307"/>
      <c r="Q708" s="307"/>
      <c r="R708" s="307"/>
      <c r="S708" s="307"/>
      <c r="T708" s="307"/>
      <c r="U708" s="307"/>
      <c r="V708" s="307"/>
      <c r="W708" s="307"/>
      <c r="X708" s="307"/>
      <c r="Y708" s="307"/>
      <c r="Z708" s="307"/>
    </row>
    <row r="709" spans="1:26" ht="17.399999999999999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  <c r="M709" s="307"/>
      <c r="N709" s="307"/>
      <c r="O709" s="307"/>
      <c r="P709" s="307"/>
      <c r="Q709" s="307"/>
      <c r="R709" s="307"/>
      <c r="S709" s="307"/>
      <c r="T709" s="307"/>
      <c r="U709" s="307"/>
      <c r="V709" s="307"/>
      <c r="W709" s="307"/>
      <c r="X709" s="307"/>
      <c r="Y709" s="307"/>
      <c r="Z709" s="307"/>
    </row>
    <row r="710" spans="1:26" ht="17.399999999999999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  <c r="M710" s="307"/>
      <c r="N710" s="307"/>
      <c r="O710" s="307"/>
      <c r="P710" s="307"/>
      <c r="Q710" s="307"/>
      <c r="R710" s="307"/>
      <c r="S710" s="307"/>
      <c r="T710" s="307"/>
      <c r="U710" s="307"/>
      <c r="V710" s="307"/>
      <c r="W710" s="307"/>
      <c r="X710" s="307"/>
      <c r="Y710" s="307"/>
      <c r="Z710" s="307"/>
    </row>
    <row r="711" spans="1:26" ht="17.399999999999999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  <c r="M711" s="307"/>
      <c r="N711" s="307"/>
      <c r="O711" s="307"/>
      <c r="P711" s="307"/>
      <c r="Q711" s="307"/>
      <c r="R711" s="307"/>
      <c r="S711" s="307"/>
      <c r="T711" s="307"/>
      <c r="U711" s="307"/>
      <c r="V711" s="307"/>
      <c r="W711" s="307"/>
      <c r="X711" s="307"/>
      <c r="Y711" s="307"/>
      <c r="Z711" s="307"/>
    </row>
    <row r="712" spans="1:26" ht="17.399999999999999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  <c r="M712" s="307"/>
      <c r="N712" s="307"/>
      <c r="O712" s="307"/>
      <c r="P712" s="307"/>
      <c r="Q712" s="307"/>
      <c r="R712" s="307"/>
      <c r="S712" s="307"/>
      <c r="T712" s="307"/>
      <c r="U712" s="307"/>
      <c r="V712" s="307"/>
      <c r="W712" s="307"/>
      <c r="X712" s="307"/>
      <c r="Y712" s="307"/>
      <c r="Z712" s="307"/>
    </row>
    <row r="713" spans="1:26" ht="17.399999999999999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  <c r="M713" s="307"/>
      <c r="N713" s="307"/>
      <c r="O713" s="307"/>
      <c r="P713" s="307"/>
      <c r="Q713" s="307"/>
      <c r="R713" s="307"/>
      <c r="S713" s="307"/>
      <c r="T713" s="307"/>
      <c r="U713" s="307"/>
      <c r="V713" s="307"/>
      <c r="W713" s="307"/>
      <c r="X713" s="307"/>
      <c r="Y713" s="307"/>
      <c r="Z713" s="307"/>
    </row>
    <row r="714" spans="1:26" ht="17.399999999999999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  <c r="M714" s="307"/>
      <c r="N714" s="307"/>
      <c r="O714" s="307"/>
      <c r="P714" s="307"/>
      <c r="Q714" s="307"/>
      <c r="R714" s="307"/>
      <c r="S714" s="307"/>
      <c r="T714" s="307"/>
      <c r="U714" s="307"/>
      <c r="V714" s="307"/>
      <c r="W714" s="307"/>
      <c r="X714" s="307"/>
      <c r="Y714" s="307"/>
      <c r="Z714" s="307"/>
    </row>
    <row r="715" spans="1:26" ht="17.399999999999999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  <c r="M715" s="307"/>
      <c r="N715" s="307"/>
      <c r="O715" s="307"/>
      <c r="P715" s="307"/>
      <c r="Q715" s="307"/>
      <c r="R715" s="307"/>
      <c r="S715" s="307"/>
      <c r="T715" s="307"/>
      <c r="U715" s="307"/>
      <c r="V715" s="307"/>
      <c r="W715" s="307"/>
      <c r="X715" s="307"/>
      <c r="Y715" s="307"/>
      <c r="Z715" s="307"/>
    </row>
    <row r="716" spans="1:26" ht="17.399999999999999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  <c r="M716" s="307"/>
      <c r="N716" s="307"/>
      <c r="O716" s="307"/>
      <c r="P716" s="307"/>
      <c r="Q716" s="307"/>
      <c r="R716" s="307"/>
      <c r="S716" s="307"/>
      <c r="T716" s="307"/>
      <c r="U716" s="307"/>
      <c r="V716" s="307"/>
      <c r="W716" s="307"/>
      <c r="X716" s="307"/>
      <c r="Y716" s="307"/>
      <c r="Z716" s="307"/>
    </row>
    <row r="717" spans="1:26" ht="17.399999999999999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  <c r="M717" s="307"/>
      <c r="N717" s="307"/>
      <c r="O717" s="307"/>
      <c r="P717" s="307"/>
      <c r="Q717" s="307"/>
      <c r="R717" s="307"/>
      <c r="S717" s="307"/>
      <c r="T717" s="307"/>
      <c r="U717" s="307"/>
      <c r="V717" s="307"/>
      <c r="W717" s="307"/>
      <c r="X717" s="307"/>
      <c r="Y717" s="307"/>
      <c r="Z717" s="307"/>
    </row>
    <row r="718" spans="1:26" ht="17.399999999999999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  <c r="M718" s="307"/>
      <c r="N718" s="307"/>
      <c r="O718" s="307"/>
      <c r="P718" s="307"/>
      <c r="Q718" s="307"/>
      <c r="R718" s="307"/>
      <c r="S718" s="307"/>
      <c r="T718" s="307"/>
      <c r="U718" s="307"/>
      <c r="V718" s="307"/>
      <c r="W718" s="307"/>
      <c r="X718" s="307"/>
      <c r="Y718" s="307"/>
      <c r="Z718" s="307"/>
    </row>
    <row r="719" spans="1:26" ht="17.399999999999999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  <c r="M719" s="307"/>
      <c r="N719" s="307"/>
      <c r="O719" s="307"/>
      <c r="P719" s="307"/>
      <c r="Q719" s="307"/>
      <c r="R719" s="307"/>
      <c r="S719" s="307"/>
      <c r="T719" s="307"/>
      <c r="U719" s="307"/>
      <c r="V719" s="307"/>
      <c r="W719" s="307"/>
      <c r="X719" s="307"/>
      <c r="Y719" s="307"/>
      <c r="Z719" s="307"/>
    </row>
    <row r="720" spans="1:26" ht="17.399999999999999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  <c r="M720" s="307"/>
      <c r="N720" s="307"/>
      <c r="O720" s="307"/>
      <c r="P720" s="307"/>
      <c r="Q720" s="307"/>
      <c r="R720" s="307"/>
      <c r="S720" s="307"/>
      <c r="T720" s="307"/>
      <c r="U720" s="307"/>
      <c r="V720" s="307"/>
      <c r="W720" s="307"/>
      <c r="X720" s="307"/>
      <c r="Y720" s="307"/>
      <c r="Z720" s="307"/>
    </row>
    <row r="721" spans="1:26" ht="17.399999999999999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  <c r="M721" s="307"/>
      <c r="N721" s="307"/>
      <c r="O721" s="307"/>
      <c r="P721" s="307"/>
      <c r="Q721" s="307"/>
      <c r="R721" s="307"/>
      <c r="S721" s="307"/>
      <c r="T721" s="307"/>
      <c r="U721" s="307"/>
      <c r="V721" s="307"/>
      <c r="W721" s="307"/>
      <c r="X721" s="307"/>
      <c r="Y721" s="307"/>
      <c r="Z721" s="307"/>
    </row>
    <row r="722" spans="1:26" ht="17.399999999999999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  <c r="M722" s="307"/>
      <c r="N722" s="307"/>
      <c r="O722" s="307"/>
      <c r="P722" s="307"/>
      <c r="Q722" s="307"/>
      <c r="R722" s="307"/>
      <c r="S722" s="307"/>
      <c r="T722" s="307"/>
      <c r="U722" s="307"/>
      <c r="V722" s="307"/>
      <c r="W722" s="307"/>
      <c r="X722" s="307"/>
      <c r="Y722" s="307"/>
      <c r="Z722" s="307"/>
    </row>
    <row r="723" spans="1:26" ht="17.399999999999999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  <c r="M723" s="307"/>
      <c r="N723" s="307"/>
      <c r="O723" s="307"/>
      <c r="P723" s="307"/>
      <c r="Q723" s="307"/>
      <c r="R723" s="307"/>
      <c r="S723" s="307"/>
      <c r="T723" s="307"/>
      <c r="U723" s="307"/>
      <c r="V723" s="307"/>
      <c r="W723" s="307"/>
      <c r="X723" s="307"/>
      <c r="Y723" s="307"/>
      <c r="Z723" s="307"/>
    </row>
    <row r="724" spans="1:26" ht="17.399999999999999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  <c r="M724" s="307"/>
      <c r="N724" s="307"/>
      <c r="O724" s="307"/>
      <c r="P724" s="307"/>
      <c r="Q724" s="307"/>
      <c r="R724" s="307"/>
      <c r="S724" s="307"/>
      <c r="T724" s="307"/>
      <c r="U724" s="307"/>
      <c r="V724" s="307"/>
      <c r="W724" s="307"/>
      <c r="X724" s="307"/>
      <c r="Y724" s="307"/>
      <c r="Z724" s="307"/>
    </row>
    <row r="725" spans="1:26" ht="17.399999999999999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  <c r="M725" s="307"/>
      <c r="N725" s="307"/>
      <c r="O725" s="307"/>
      <c r="P725" s="307"/>
      <c r="Q725" s="307"/>
      <c r="R725" s="307"/>
      <c r="S725" s="307"/>
      <c r="T725" s="307"/>
      <c r="U725" s="307"/>
      <c r="V725" s="307"/>
      <c r="W725" s="307"/>
      <c r="X725" s="307"/>
      <c r="Y725" s="307"/>
      <c r="Z725" s="307"/>
    </row>
    <row r="726" spans="1:26" ht="17.399999999999999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  <c r="M726" s="307"/>
      <c r="N726" s="307"/>
      <c r="O726" s="307"/>
      <c r="P726" s="307"/>
      <c r="Q726" s="307"/>
      <c r="R726" s="307"/>
      <c r="S726" s="307"/>
      <c r="T726" s="307"/>
      <c r="U726" s="307"/>
      <c r="V726" s="307"/>
      <c r="W726" s="307"/>
      <c r="X726" s="307"/>
      <c r="Y726" s="307"/>
      <c r="Z726" s="307"/>
    </row>
    <row r="727" spans="1:26" ht="17.399999999999999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  <c r="M727" s="307"/>
      <c r="N727" s="307"/>
      <c r="O727" s="307"/>
      <c r="P727" s="307"/>
      <c r="Q727" s="307"/>
      <c r="R727" s="307"/>
      <c r="S727" s="307"/>
      <c r="T727" s="307"/>
      <c r="U727" s="307"/>
      <c r="V727" s="307"/>
      <c r="W727" s="307"/>
      <c r="X727" s="307"/>
      <c r="Y727" s="307"/>
      <c r="Z727" s="307"/>
    </row>
    <row r="728" spans="1:26" ht="17.399999999999999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  <c r="M728" s="307"/>
      <c r="N728" s="307"/>
      <c r="O728" s="307"/>
      <c r="P728" s="307"/>
      <c r="Q728" s="307"/>
      <c r="R728" s="307"/>
      <c r="S728" s="307"/>
      <c r="T728" s="307"/>
      <c r="U728" s="307"/>
      <c r="V728" s="307"/>
      <c r="W728" s="307"/>
      <c r="X728" s="307"/>
      <c r="Y728" s="307"/>
      <c r="Z728" s="307"/>
    </row>
    <row r="729" spans="1:26" ht="17.399999999999999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  <c r="M729" s="307"/>
      <c r="N729" s="307"/>
      <c r="O729" s="307"/>
      <c r="P729" s="307"/>
      <c r="Q729" s="307"/>
      <c r="R729" s="307"/>
      <c r="S729" s="307"/>
      <c r="T729" s="307"/>
      <c r="U729" s="307"/>
      <c r="V729" s="307"/>
      <c r="W729" s="307"/>
      <c r="X729" s="307"/>
      <c r="Y729" s="307"/>
      <c r="Z729" s="307"/>
    </row>
    <row r="730" spans="1:26" ht="17.399999999999999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  <c r="M730" s="307"/>
      <c r="N730" s="307"/>
      <c r="O730" s="307"/>
      <c r="P730" s="307"/>
      <c r="Q730" s="307"/>
      <c r="R730" s="307"/>
      <c r="S730" s="307"/>
      <c r="T730" s="307"/>
      <c r="U730" s="307"/>
      <c r="V730" s="307"/>
      <c r="W730" s="307"/>
      <c r="X730" s="307"/>
      <c r="Y730" s="307"/>
      <c r="Z730" s="307"/>
    </row>
    <row r="731" spans="1:26" ht="17.399999999999999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  <c r="M731" s="307"/>
      <c r="N731" s="307"/>
      <c r="O731" s="307"/>
      <c r="P731" s="307"/>
      <c r="Q731" s="307"/>
      <c r="R731" s="307"/>
      <c r="S731" s="307"/>
      <c r="T731" s="307"/>
      <c r="U731" s="307"/>
      <c r="V731" s="307"/>
      <c r="W731" s="307"/>
      <c r="X731" s="307"/>
      <c r="Y731" s="307"/>
      <c r="Z731" s="307"/>
    </row>
    <row r="732" spans="1:26" ht="17.399999999999999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  <c r="M732" s="307"/>
      <c r="N732" s="307"/>
      <c r="O732" s="307"/>
      <c r="P732" s="307"/>
      <c r="Q732" s="307"/>
      <c r="R732" s="307"/>
      <c r="S732" s="307"/>
      <c r="T732" s="307"/>
      <c r="U732" s="307"/>
      <c r="V732" s="307"/>
      <c r="W732" s="307"/>
      <c r="X732" s="307"/>
      <c r="Y732" s="307"/>
      <c r="Z732" s="307"/>
    </row>
    <row r="733" spans="1:26" ht="17.399999999999999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  <c r="M733" s="307"/>
      <c r="N733" s="307"/>
      <c r="O733" s="307"/>
      <c r="P733" s="307"/>
      <c r="Q733" s="307"/>
      <c r="R733" s="307"/>
      <c r="S733" s="307"/>
      <c r="T733" s="307"/>
      <c r="U733" s="307"/>
      <c r="V733" s="307"/>
      <c r="W733" s="307"/>
      <c r="X733" s="307"/>
      <c r="Y733" s="307"/>
      <c r="Z733" s="307"/>
    </row>
    <row r="734" spans="1:26" ht="17.399999999999999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  <c r="M734" s="307"/>
      <c r="N734" s="307"/>
      <c r="O734" s="307"/>
      <c r="P734" s="307"/>
      <c r="Q734" s="307"/>
      <c r="R734" s="307"/>
      <c r="S734" s="307"/>
      <c r="T734" s="307"/>
      <c r="U734" s="307"/>
      <c r="V734" s="307"/>
      <c r="W734" s="307"/>
      <c r="X734" s="307"/>
      <c r="Y734" s="307"/>
      <c r="Z734" s="307"/>
    </row>
    <row r="735" spans="1:26" ht="17.399999999999999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  <c r="M735" s="307"/>
      <c r="N735" s="307"/>
      <c r="O735" s="307"/>
      <c r="P735" s="307"/>
      <c r="Q735" s="307"/>
      <c r="R735" s="307"/>
      <c r="S735" s="307"/>
      <c r="T735" s="307"/>
      <c r="U735" s="307"/>
      <c r="V735" s="307"/>
      <c r="W735" s="307"/>
      <c r="X735" s="307"/>
      <c r="Y735" s="307"/>
      <c r="Z735" s="307"/>
    </row>
    <row r="736" spans="1:26" ht="17.399999999999999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  <c r="M736" s="307"/>
      <c r="N736" s="307"/>
      <c r="O736" s="307"/>
      <c r="P736" s="307"/>
      <c r="Q736" s="307"/>
      <c r="R736" s="307"/>
      <c r="S736" s="307"/>
      <c r="T736" s="307"/>
      <c r="U736" s="307"/>
      <c r="V736" s="307"/>
      <c r="W736" s="307"/>
      <c r="X736" s="307"/>
      <c r="Y736" s="307"/>
      <c r="Z736" s="307"/>
    </row>
    <row r="737" spans="1:26" ht="17.399999999999999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  <c r="M737" s="307"/>
      <c r="N737" s="307"/>
      <c r="O737" s="307"/>
      <c r="P737" s="307"/>
      <c r="Q737" s="307"/>
      <c r="R737" s="307"/>
      <c r="S737" s="307"/>
      <c r="T737" s="307"/>
      <c r="U737" s="307"/>
      <c r="V737" s="307"/>
      <c r="W737" s="307"/>
      <c r="X737" s="307"/>
      <c r="Y737" s="307"/>
      <c r="Z737" s="307"/>
    </row>
    <row r="738" spans="1:26" ht="17.399999999999999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  <c r="M738" s="307"/>
      <c r="N738" s="307"/>
      <c r="O738" s="307"/>
      <c r="P738" s="307"/>
      <c r="Q738" s="307"/>
      <c r="R738" s="307"/>
      <c r="S738" s="307"/>
      <c r="T738" s="307"/>
      <c r="U738" s="307"/>
      <c r="V738" s="307"/>
      <c r="W738" s="307"/>
      <c r="X738" s="307"/>
      <c r="Y738" s="307"/>
      <c r="Z738" s="307"/>
    </row>
    <row r="739" spans="1:26" ht="17.399999999999999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  <c r="M739" s="307"/>
      <c r="N739" s="307"/>
      <c r="O739" s="307"/>
      <c r="P739" s="307"/>
      <c r="Q739" s="307"/>
      <c r="R739" s="307"/>
      <c r="S739" s="307"/>
      <c r="T739" s="307"/>
      <c r="U739" s="307"/>
      <c r="V739" s="307"/>
      <c r="W739" s="307"/>
      <c r="X739" s="307"/>
      <c r="Y739" s="307"/>
      <c r="Z739" s="307"/>
    </row>
    <row r="740" spans="1:26" ht="17.399999999999999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  <c r="M740" s="307"/>
      <c r="N740" s="307"/>
      <c r="O740" s="307"/>
      <c r="P740" s="307"/>
      <c r="Q740" s="307"/>
      <c r="R740" s="307"/>
      <c r="S740" s="307"/>
      <c r="T740" s="307"/>
      <c r="U740" s="307"/>
      <c r="V740" s="307"/>
      <c r="W740" s="307"/>
      <c r="X740" s="307"/>
      <c r="Y740" s="307"/>
      <c r="Z740" s="307"/>
    </row>
    <row r="741" spans="1:26" ht="17.399999999999999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  <c r="M741" s="307"/>
      <c r="N741" s="307"/>
      <c r="O741" s="307"/>
      <c r="P741" s="307"/>
      <c r="Q741" s="307"/>
      <c r="R741" s="307"/>
      <c r="S741" s="307"/>
      <c r="T741" s="307"/>
      <c r="U741" s="307"/>
      <c r="V741" s="307"/>
      <c r="W741" s="307"/>
      <c r="X741" s="307"/>
      <c r="Y741" s="307"/>
      <c r="Z741" s="307"/>
    </row>
    <row r="742" spans="1:26" ht="17.399999999999999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  <c r="M742" s="307"/>
      <c r="N742" s="307"/>
      <c r="O742" s="307"/>
      <c r="P742" s="307"/>
      <c r="Q742" s="307"/>
      <c r="R742" s="307"/>
      <c r="S742" s="307"/>
      <c r="T742" s="307"/>
      <c r="U742" s="307"/>
      <c r="V742" s="307"/>
      <c r="W742" s="307"/>
      <c r="X742" s="307"/>
      <c r="Y742" s="307"/>
      <c r="Z742" s="307"/>
    </row>
    <row r="743" spans="1:26" ht="17.399999999999999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  <c r="M743" s="307"/>
      <c r="N743" s="307"/>
      <c r="O743" s="307"/>
      <c r="P743" s="307"/>
      <c r="Q743" s="307"/>
      <c r="R743" s="307"/>
      <c r="S743" s="307"/>
      <c r="T743" s="307"/>
      <c r="U743" s="307"/>
      <c r="V743" s="307"/>
      <c r="W743" s="307"/>
      <c r="X743" s="307"/>
      <c r="Y743" s="307"/>
      <c r="Z743" s="307"/>
    </row>
    <row r="744" spans="1:26" ht="17.399999999999999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  <c r="M744" s="307"/>
      <c r="N744" s="307"/>
      <c r="O744" s="307"/>
      <c r="P744" s="307"/>
      <c r="Q744" s="307"/>
      <c r="R744" s="307"/>
      <c r="S744" s="307"/>
      <c r="T744" s="307"/>
      <c r="U744" s="307"/>
      <c r="V744" s="307"/>
      <c r="W744" s="307"/>
      <c r="X744" s="307"/>
      <c r="Y744" s="307"/>
      <c r="Z744" s="307"/>
    </row>
    <row r="745" spans="1:26" ht="17.399999999999999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  <c r="M745" s="307"/>
      <c r="N745" s="307"/>
      <c r="O745" s="307"/>
      <c r="P745" s="307"/>
      <c r="Q745" s="307"/>
      <c r="R745" s="307"/>
      <c r="S745" s="307"/>
      <c r="T745" s="307"/>
      <c r="U745" s="307"/>
      <c r="V745" s="307"/>
      <c r="W745" s="307"/>
      <c r="X745" s="307"/>
      <c r="Y745" s="307"/>
      <c r="Z745" s="307"/>
    </row>
    <row r="746" spans="1:26" ht="17.399999999999999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  <c r="M746" s="307"/>
      <c r="N746" s="307"/>
      <c r="O746" s="307"/>
      <c r="P746" s="307"/>
      <c r="Q746" s="307"/>
      <c r="R746" s="307"/>
      <c r="S746" s="307"/>
      <c r="T746" s="307"/>
      <c r="U746" s="307"/>
      <c r="V746" s="307"/>
      <c r="W746" s="307"/>
      <c r="X746" s="307"/>
      <c r="Y746" s="307"/>
      <c r="Z746" s="307"/>
    </row>
    <row r="747" spans="1:26" ht="17.399999999999999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  <c r="M747" s="307"/>
      <c r="N747" s="307"/>
      <c r="O747" s="307"/>
      <c r="P747" s="307"/>
      <c r="Q747" s="307"/>
      <c r="R747" s="307"/>
      <c r="S747" s="307"/>
      <c r="T747" s="307"/>
      <c r="U747" s="307"/>
      <c r="V747" s="307"/>
      <c r="W747" s="307"/>
      <c r="X747" s="307"/>
      <c r="Y747" s="307"/>
      <c r="Z747" s="307"/>
    </row>
    <row r="748" spans="1:26" ht="17.399999999999999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  <c r="M748" s="307"/>
      <c r="N748" s="307"/>
      <c r="O748" s="307"/>
      <c r="P748" s="307"/>
      <c r="Q748" s="307"/>
      <c r="R748" s="307"/>
      <c r="S748" s="307"/>
      <c r="T748" s="307"/>
      <c r="U748" s="307"/>
      <c r="V748" s="307"/>
      <c r="W748" s="307"/>
      <c r="X748" s="307"/>
      <c r="Y748" s="307"/>
      <c r="Z748" s="307"/>
    </row>
    <row r="749" spans="1:26" ht="17.399999999999999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  <c r="M749" s="307"/>
      <c r="N749" s="307"/>
      <c r="O749" s="307"/>
      <c r="P749" s="307"/>
      <c r="Q749" s="307"/>
      <c r="R749" s="307"/>
      <c r="S749" s="307"/>
      <c r="T749" s="307"/>
      <c r="U749" s="307"/>
      <c r="V749" s="307"/>
      <c r="W749" s="307"/>
      <c r="X749" s="307"/>
      <c r="Y749" s="307"/>
      <c r="Z749" s="307"/>
    </row>
    <row r="750" spans="1:26" ht="17.399999999999999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  <c r="M750" s="307"/>
      <c r="N750" s="307"/>
      <c r="O750" s="307"/>
      <c r="P750" s="307"/>
      <c r="Q750" s="307"/>
      <c r="R750" s="307"/>
      <c r="S750" s="307"/>
      <c r="T750" s="307"/>
      <c r="U750" s="307"/>
      <c r="V750" s="307"/>
      <c r="W750" s="307"/>
      <c r="X750" s="307"/>
      <c r="Y750" s="307"/>
      <c r="Z750" s="307"/>
    </row>
    <row r="751" spans="1:26" ht="17.399999999999999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  <c r="M751" s="307"/>
      <c r="N751" s="307"/>
      <c r="O751" s="307"/>
      <c r="P751" s="307"/>
      <c r="Q751" s="307"/>
      <c r="R751" s="307"/>
      <c r="S751" s="307"/>
      <c r="T751" s="307"/>
      <c r="U751" s="307"/>
      <c r="V751" s="307"/>
      <c r="W751" s="307"/>
      <c r="X751" s="307"/>
      <c r="Y751" s="307"/>
      <c r="Z751" s="307"/>
    </row>
    <row r="752" spans="1:26" ht="17.399999999999999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  <c r="M752" s="307"/>
      <c r="N752" s="307"/>
      <c r="O752" s="307"/>
      <c r="P752" s="307"/>
      <c r="Q752" s="307"/>
      <c r="R752" s="307"/>
      <c r="S752" s="307"/>
      <c r="T752" s="307"/>
      <c r="U752" s="307"/>
      <c r="V752" s="307"/>
      <c r="W752" s="307"/>
      <c r="X752" s="307"/>
      <c r="Y752" s="307"/>
      <c r="Z752" s="307"/>
    </row>
    <row r="753" spans="1:26" ht="17.399999999999999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  <c r="M753" s="307"/>
      <c r="N753" s="307"/>
      <c r="O753" s="307"/>
      <c r="P753" s="307"/>
      <c r="Q753" s="307"/>
      <c r="R753" s="307"/>
      <c r="S753" s="307"/>
      <c r="T753" s="307"/>
      <c r="U753" s="307"/>
      <c r="V753" s="307"/>
      <c r="W753" s="307"/>
      <c r="X753" s="307"/>
      <c r="Y753" s="307"/>
      <c r="Z753" s="307"/>
    </row>
    <row r="754" spans="1:26" ht="17.399999999999999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  <c r="M754" s="307"/>
      <c r="N754" s="307"/>
      <c r="O754" s="307"/>
      <c r="P754" s="307"/>
      <c r="Q754" s="307"/>
      <c r="R754" s="307"/>
      <c r="S754" s="307"/>
      <c r="T754" s="307"/>
      <c r="U754" s="307"/>
      <c r="V754" s="307"/>
      <c r="W754" s="307"/>
      <c r="X754" s="307"/>
      <c r="Y754" s="307"/>
      <c r="Z754" s="307"/>
    </row>
    <row r="755" spans="1:26" ht="17.399999999999999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  <c r="M755" s="307"/>
      <c r="N755" s="307"/>
      <c r="O755" s="307"/>
      <c r="P755" s="307"/>
      <c r="Q755" s="307"/>
      <c r="R755" s="307"/>
      <c r="S755" s="307"/>
      <c r="T755" s="307"/>
      <c r="U755" s="307"/>
      <c r="V755" s="307"/>
      <c r="W755" s="307"/>
      <c r="X755" s="307"/>
      <c r="Y755" s="307"/>
      <c r="Z755" s="307"/>
    </row>
    <row r="756" spans="1:26" ht="17.399999999999999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  <c r="M756" s="307"/>
      <c r="N756" s="307"/>
      <c r="O756" s="307"/>
      <c r="P756" s="307"/>
      <c r="Q756" s="307"/>
      <c r="R756" s="307"/>
      <c r="S756" s="307"/>
      <c r="T756" s="307"/>
      <c r="U756" s="307"/>
      <c r="V756" s="307"/>
      <c r="W756" s="307"/>
      <c r="X756" s="307"/>
      <c r="Y756" s="307"/>
      <c r="Z756" s="307"/>
    </row>
    <row r="757" spans="1:26" ht="17.399999999999999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  <c r="M757" s="307"/>
      <c r="N757" s="307"/>
      <c r="O757" s="307"/>
      <c r="P757" s="307"/>
      <c r="Q757" s="307"/>
      <c r="R757" s="307"/>
      <c r="S757" s="307"/>
      <c r="T757" s="307"/>
      <c r="U757" s="307"/>
      <c r="V757" s="307"/>
      <c r="W757" s="307"/>
      <c r="X757" s="307"/>
      <c r="Y757" s="307"/>
      <c r="Z757" s="307"/>
    </row>
    <row r="758" spans="1:26" ht="17.399999999999999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  <c r="M758" s="307"/>
      <c r="N758" s="307"/>
      <c r="O758" s="307"/>
      <c r="P758" s="307"/>
      <c r="Q758" s="307"/>
      <c r="R758" s="307"/>
      <c r="S758" s="307"/>
      <c r="T758" s="307"/>
      <c r="U758" s="307"/>
      <c r="V758" s="307"/>
      <c r="W758" s="307"/>
      <c r="X758" s="307"/>
      <c r="Y758" s="307"/>
      <c r="Z758" s="307"/>
    </row>
    <row r="759" spans="1:26" ht="17.399999999999999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  <c r="M759" s="307"/>
      <c r="N759" s="307"/>
      <c r="O759" s="307"/>
      <c r="P759" s="307"/>
      <c r="Q759" s="307"/>
      <c r="R759" s="307"/>
      <c r="S759" s="307"/>
      <c r="T759" s="307"/>
      <c r="U759" s="307"/>
      <c r="V759" s="307"/>
      <c r="W759" s="307"/>
      <c r="X759" s="307"/>
      <c r="Y759" s="307"/>
      <c r="Z759" s="307"/>
    </row>
    <row r="760" spans="1:26" ht="17.399999999999999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  <c r="M760" s="307"/>
      <c r="N760" s="307"/>
      <c r="O760" s="307"/>
      <c r="P760" s="307"/>
      <c r="Q760" s="307"/>
      <c r="R760" s="307"/>
      <c r="S760" s="307"/>
      <c r="T760" s="307"/>
      <c r="U760" s="307"/>
      <c r="V760" s="307"/>
      <c r="W760" s="307"/>
      <c r="X760" s="307"/>
      <c r="Y760" s="307"/>
      <c r="Z760" s="307"/>
    </row>
    <row r="761" spans="1:26" ht="17.399999999999999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  <c r="M761" s="307"/>
      <c r="N761" s="307"/>
      <c r="O761" s="307"/>
      <c r="P761" s="307"/>
      <c r="Q761" s="307"/>
      <c r="R761" s="307"/>
      <c r="S761" s="307"/>
      <c r="T761" s="307"/>
      <c r="U761" s="307"/>
      <c r="V761" s="307"/>
      <c r="W761" s="307"/>
      <c r="X761" s="307"/>
      <c r="Y761" s="307"/>
      <c r="Z761" s="307"/>
    </row>
    <row r="762" spans="1:26" ht="17.399999999999999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  <c r="M762" s="307"/>
      <c r="N762" s="307"/>
      <c r="O762" s="307"/>
      <c r="P762" s="307"/>
      <c r="Q762" s="307"/>
      <c r="R762" s="307"/>
      <c r="S762" s="307"/>
      <c r="T762" s="307"/>
      <c r="U762" s="307"/>
      <c r="V762" s="307"/>
      <c r="W762" s="307"/>
      <c r="X762" s="307"/>
      <c r="Y762" s="307"/>
      <c r="Z762" s="307"/>
    </row>
    <row r="763" spans="1:26" ht="17.399999999999999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  <c r="M763" s="307"/>
      <c r="N763" s="307"/>
      <c r="O763" s="307"/>
      <c r="P763" s="307"/>
      <c r="Q763" s="307"/>
      <c r="R763" s="307"/>
      <c r="S763" s="307"/>
      <c r="T763" s="307"/>
      <c r="U763" s="307"/>
      <c r="V763" s="307"/>
      <c r="W763" s="307"/>
      <c r="X763" s="307"/>
      <c r="Y763" s="307"/>
      <c r="Z763" s="307"/>
    </row>
    <row r="764" spans="1:26" ht="17.399999999999999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  <c r="M764" s="307"/>
      <c r="N764" s="307"/>
      <c r="O764" s="307"/>
      <c r="P764" s="307"/>
      <c r="Q764" s="307"/>
      <c r="R764" s="307"/>
      <c r="S764" s="307"/>
      <c r="T764" s="307"/>
      <c r="U764" s="307"/>
      <c r="V764" s="307"/>
      <c r="W764" s="307"/>
      <c r="X764" s="307"/>
      <c r="Y764" s="307"/>
      <c r="Z764" s="307"/>
    </row>
    <row r="765" spans="1:26" ht="17.399999999999999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  <c r="M765" s="307"/>
      <c r="N765" s="307"/>
      <c r="O765" s="307"/>
      <c r="P765" s="307"/>
      <c r="Q765" s="307"/>
      <c r="R765" s="307"/>
      <c r="S765" s="307"/>
      <c r="T765" s="307"/>
      <c r="U765" s="307"/>
      <c r="V765" s="307"/>
      <c r="W765" s="307"/>
      <c r="X765" s="307"/>
      <c r="Y765" s="307"/>
      <c r="Z765" s="307"/>
    </row>
    <row r="766" spans="1:26" ht="17.399999999999999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  <c r="M766" s="307"/>
      <c r="N766" s="307"/>
      <c r="O766" s="307"/>
      <c r="P766" s="307"/>
      <c r="Q766" s="307"/>
      <c r="R766" s="307"/>
      <c r="S766" s="307"/>
      <c r="T766" s="307"/>
      <c r="U766" s="307"/>
      <c r="V766" s="307"/>
      <c r="W766" s="307"/>
      <c r="X766" s="307"/>
      <c r="Y766" s="307"/>
      <c r="Z766" s="307"/>
    </row>
    <row r="767" spans="1:26" ht="17.399999999999999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  <c r="M767" s="307"/>
      <c r="N767" s="307"/>
      <c r="O767" s="307"/>
      <c r="P767" s="307"/>
      <c r="Q767" s="307"/>
      <c r="R767" s="307"/>
      <c r="S767" s="307"/>
      <c r="T767" s="307"/>
      <c r="U767" s="307"/>
      <c r="V767" s="307"/>
      <c r="W767" s="307"/>
      <c r="X767" s="307"/>
      <c r="Y767" s="307"/>
      <c r="Z767" s="307"/>
    </row>
    <row r="768" spans="1:26" ht="17.399999999999999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  <c r="M768" s="307"/>
      <c r="N768" s="307"/>
      <c r="O768" s="307"/>
      <c r="P768" s="307"/>
      <c r="Q768" s="307"/>
      <c r="R768" s="307"/>
      <c r="S768" s="307"/>
      <c r="T768" s="307"/>
      <c r="U768" s="307"/>
      <c r="V768" s="307"/>
      <c r="W768" s="307"/>
      <c r="X768" s="307"/>
      <c r="Y768" s="307"/>
      <c r="Z768" s="307"/>
    </row>
    <row r="769" spans="1:26" ht="17.399999999999999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  <c r="M769" s="307"/>
      <c r="N769" s="307"/>
      <c r="O769" s="307"/>
      <c r="P769" s="307"/>
      <c r="Q769" s="307"/>
      <c r="R769" s="307"/>
      <c r="S769" s="307"/>
      <c r="T769" s="307"/>
      <c r="U769" s="307"/>
      <c r="V769" s="307"/>
      <c r="W769" s="307"/>
      <c r="X769" s="307"/>
      <c r="Y769" s="307"/>
      <c r="Z769" s="307"/>
    </row>
    <row r="770" spans="1:26" ht="17.399999999999999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  <c r="M770" s="307"/>
      <c r="N770" s="307"/>
      <c r="O770" s="307"/>
      <c r="P770" s="307"/>
      <c r="Q770" s="307"/>
      <c r="R770" s="307"/>
      <c r="S770" s="307"/>
      <c r="T770" s="307"/>
      <c r="U770" s="307"/>
      <c r="V770" s="307"/>
      <c r="W770" s="307"/>
      <c r="X770" s="307"/>
      <c r="Y770" s="307"/>
      <c r="Z770" s="307"/>
    </row>
    <row r="771" spans="1:26" ht="17.399999999999999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  <c r="M771" s="307"/>
      <c r="N771" s="307"/>
      <c r="O771" s="307"/>
      <c r="P771" s="307"/>
      <c r="Q771" s="307"/>
      <c r="R771" s="307"/>
      <c r="S771" s="307"/>
      <c r="T771" s="307"/>
      <c r="U771" s="307"/>
      <c r="V771" s="307"/>
      <c r="W771" s="307"/>
      <c r="X771" s="307"/>
      <c r="Y771" s="307"/>
      <c r="Z771" s="307"/>
    </row>
    <row r="772" spans="1:26" ht="17.399999999999999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  <c r="M772" s="307"/>
      <c r="N772" s="307"/>
      <c r="O772" s="307"/>
      <c r="P772" s="307"/>
      <c r="Q772" s="307"/>
      <c r="R772" s="307"/>
      <c r="S772" s="307"/>
      <c r="T772" s="307"/>
      <c r="U772" s="307"/>
      <c r="V772" s="307"/>
      <c r="W772" s="307"/>
      <c r="X772" s="307"/>
      <c r="Y772" s="307"/>
      <c r="Z772" s="307"/>
    </row>
    <row r="773" spans="1:26" ht="17.399999999999999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  <c r="M773" s="307"/>
      <c r="N773" s="307"/>
      <c r="O773" s="307"/>
      <c r="P773" s="307"/>
      <c r="Q773" s="307"/>
      <c r="R773" s="307"/>
      <c r="S773" s="307"/>
      <c r="T773" s="307"/>
      <c r="U773" s="307"/>
      <c r="V773" s="307"/>
      <c r="W773" s="307"/>
      <c r="X773" s="307"/>
      <c r="Y773" s="307"/>
      <c r="Z773" s="307"/>
    </row>
    <row r="774" spans="1:26" ht="17.399999999999999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  <c r="M774" s="307"/>
      <c r="N774" s="307"/>
      <c r="O774" s="307"/>
      <c r="P774" s="307"/>
      <c r="Q774" s="307"/>
      <c r="R774" s="307"/>
      <c r="S774" s="307"/>
      <c r="T774" s="307"/>
      <c r="U774" s="307"/>
      <c r="V774" s="307"/>
      <c r="W774" s="307"/>
      <c r="X774" s="307"/>
      <c r="Y774" s="307"/>
      <c r="Z774" s="307"/>
    </row>
    <row r="775" spans="1:26" ht="17.399999999999999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  <c r="M775" s="307"/>
      <c r="N775" s="307"/>
      <c r="O775" s="307"/>
      <c r="P775" s="307"/>
      <c r="Q775" s="307"/>
      <c r="R775" s="307"/>
      <c r="S775" s="307"/>
      <c r="T775" s="307"/>
      <c r="U775" s="307"/>
      <c r="V775" s="307"/>
      <c r="W775" s="307"/>
      <c r="X775" s="307"/>
      <c r="Y775" s="307"/>
      <c r="Z775" s="307"/>
    </row>
    <row r="776" spans="1:26" ht="17.399999999999999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  <c r="M776" s="307"/>
      <c r="N776" s="307"/>
      <c r="O776" s="307"/>
      <c r="P776" s="307"/>
      <c r="Q776" s="307"/>
      <c r="R776" s="307"/>
      <c r="S776" s="307"/>
      <c r="T776" s="307"/>
      <c r="U776" s="307"/>
      <c r="V776" s="307"/>
      <c r="W776" s="307"/>
      <c r="X776" s="307"/>
      <c r="Y776" s="307"/>
      <c r="Z776" s="307"/>
    </row>
    <row r="777" spans="1:26" ht="17.399999999999999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  <c r="M777" s="307"/>
      <c r="N777" s="307"/>
      <c r="O777" s="307"/>
      <c r="P777" s="307"/>
      <c r="Q777" s="307"/>
      <c r="R777" s="307"/>
      <c r="S777" s="307"/>
      <c r="T777" s="307"/>
      <c r="U777" s="307"/>
      <c r="V777" s="307"/>
      <c r="W777" s="307"/>
      <c r="X777" s="307"/>
      <c r="Y777" s="307"/>
      <c r="Z777" s="307"/>
    </row>
    <row r="778" spans="1:26" ht="17.399999999999999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  <c r="M778" s="307"/>
      <c r="N778" s="307"/>
      <c r="O778" s="307"/>
      <c r="P778" s="307"/>
      <c r="Q778" s="307"/>
      <c r="R778" s="307"/>
      <c r="S778" s="307"/>
      <c r="T778" s="307"/>
      <c r="U778" s="307"/>
      <c r="V778" s="307"/>
      <c r="W778" s="307"/>
      <c r="X778" s="307"/>
      <c r="Y778" s="307"/>
      <c r="Z778" s="307"/>
    </row>
    <row r="779" spans="1:26" ht="17.399999999999999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  <c r="M779" s="307"/>
      <c r="N779" s="307"/>
      <c r="O779" s="307"/>
      <c r="P779" s="307"/>
      <c r="Q779" s="307"/>
      <c r="R779" s="307"/>
      <c r="S779" s="307"/>
      <c r="T779" s="307"/>
      <c r="U779" s="307"/>
      <c r="V779" s="307"/>
      <c r="W779" s="307"/>
      <c r="X779" s="307"/>
      <c r="Y779" s="307"/>
      <c r="Z779" s="307"/>
    </row>
    <row r="780" spans="1:26" ht="17.399999999999999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  <c r="M780" s="307"/>
      <c r="N780" s="307"/>
      <c r="O780" s="307"/>
      <c r="P780" s="307"/>
      <c r="Q780" s="307"/>
      <c r="R780" s="307"/>
      <c r="S780" s="307"/>
      <c r="T780" s="307"/>
      <c r="U780" s="307"/>
      <c r="V780" s="307"/>
      <c r="W780" s="307"/>
      <c r="X780" s="307"/>
      <c r="Y780" s="307"/>
      <c r="Z780" s="307"/>
    </row>
    <row r="781" spans="1:26" ht="17.399999999999999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  <c r="M781" s="307"/>
      <c r="N781" s="307"/>
      <c r="O781" s="307"/>
      <c r="P781" s="307"/>
      <c r="Q781" s="307"/>
      <c r="R781" s="307"/>
      <c r="S781" s="307"/>
      <c r="T781" s="307"/>
      <c r="U781" s="307"/>
      <c r="V781" s="307"/>
      <c r="W781" s="307"/>
      <c r="X781" s="307"/>
      <c r="Y781" s="307"/>
      <c r="Z781" s="307"/>
    </row>
    <row r="782" spans="1:26" ht="17.399999999999999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  <c r="M782" s="307"/>
      <c r="N782" s="307"/>
      <c r="O782" s="307"/>
      <c r="P782" s="307"/>
      <c r="Q782" s="307"/>
      <c r="R782" s="307"/>
      <c r="S782" s="307"/>
      <c r="T782" s="307"/>
      <c r="U782" s="307"/>
      <c r="V782" s="307"/>
      <c r="W782" s="307"/>
      <c r="X782" s="307"/>
      <c r="Y782" s="307"/>
      <c r="Z782" s="307"/>
    </row>
    <row r="783" spans="1:26" ht="17.399999999999999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  <c r="M783" s="307"/>
      <c r="N783" s="307"/>
      <c r="O783" s="307"/>
      <c r="P783" s="307"/>
      <c r="Q783" s="307"/>
      <c r="R783" s="307"/>
      <c r="S783" s="307"/>
      <c r="T783" s="307"/>
      <c r="U783" s="307"/>
      <c r="V783" s="307"/>
      <c r="W783" s="307"/>
      <c r="X783" s="307"/>
      <c r="Y783" s="307"/>
      <c r="Z783" s="307"/>
    </row>
    <row r="784" spans="1:26" ht="17.399999999999999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  <c r="M784" s="307"/>
      <c r="N784" s="307"/>
      <c r="O784" s="307"/>
      <c r="P784" s="307"/>
      <c r="Q784" s="307"/>
      <c r="R784" s="307"/>
      <c r="S784" s="307"/>
      <c r="T784" s="307"/>
      <c r="U784" s="307"/>
      <c r="V784" s="307"/>
      <c r="W784" s="307"/>
      <c r="X784" s="307"/>
      <c r="Y784" s="307"/>
      <c r="Z784" s="307"/>
    </row>
    <row r="785" spans="1:26" ht="17.399999999999999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  <c r="M785" s="307"/>
      <c r="N785" s="307"/>
      <c r="O785" s="307"/>
      <c r="P785" s="307"/>
      <c r="Q785" s="307"/>
      <c r="R785" s="307"/>
      <c r="S785" s="307"/>
      <c r="T785" s="307"/>
      <c r="U785" s="307"/>
      <c r="V785" s="307"/>
      <c r="W785" s="307"/>
      <c r="X785" s="307"/>
      <c r="Y785" s="307"/>
      <c r="Z785" s="307"/>
    </row>
    <row r="786" spans="1:26" ht="17.399999999999999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  <c r="M786" s="307"/>
      <c r="N786" s="307"/>
      <c r="O786" s="307"/>
      <c r="P786" s="307"/>
      <c r="Q786" s="307"/>
      <c r="R786" s="307"/>
      <c r="S786" s="307"/>
      <c r="T786" s="307"/>
      <c r="U786" s="307"/>
      <c r="V786" s="307"/>
      <c r="W786" s="307"/>
      <c r="X786" s="307"/>
      <c r="Y786" s="307"/>
      <c r="Z786" s="307"/>
    </row>
    <row r="787" spans="1:26" ht="17.399999999999999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  <c r="M787" s="307"/>
      <c r="N787" s="307"/>
      <c r="O787" s="307"/>
      <c r="P787" s="307"/>
      <c r="Q787" s="307"/>
      <c r="R787" s="307"/>
      <c r="S787" s="307"/>
      <c r="T787" s="307"/>
      <c r="U787" s="307"/>
      <c r="V787" s="307"/>
      <c r="W787" s="307"/>
      <c r="X787" s="307"/>
      <c r="Y787" s="307"/>
      <c r="Z787" s="307"/>
    </row>
    <row r="788" spans="1:26" ht="17.399999999999999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  <c r="M788" s="307"/>
      <c r="N788" s="307"/>
      <c r="O788" s="307"/>
      <c r="P788" s="307"/>
      <c r="Q788" s="307"/>
      <c r="R788" s="307"/>
      <c r="S788" s="307"/>
      <c r="T788" s="307"/>
      <c r="U788" s="307"/>
      <c r="V788" s="307"/>
      <c r="W788" s="307"/>
      <c r="X788" s="307"/>
      <c r="Y788" s="307"/>
      <c r="Z788" s="307"/>
    </row>
    <row r="789" spans="1:26" ht="17.399999999999999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  <c r="M789" s="307"/>
      <c r="N789" s="307"/>
      <c r="O789" s="307"/>
      <c r="P789" s="307"/>
      <c r="Q789" s="307"/>
      <c r="R789" s="307"/>
      <c r="S789" s="307"/>
      <c r="T789" s="307"/>
      <c r="U789" s="307"/>
      <c r="V789" s="307"/>
      <c r="W789" s="307"/>
      <c r="X789" s="307"/>
      <c r="Y789" s="307"/>
      <c r="Z789" s="307"/>
    </row>
    <row r="790" spans="1:26" ht="17.399999999999999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  <c r="M790" s="307"/>
      <c r="N790" s="307"/>
      <c r="O790" s="307"/>
      <c r="P790" s="307"/>
      <c r="Q790" s="307"/>
      <c r="R790" s="307"/>
      <c r="S790" s="307"/>
      <c r="T790" s="307"/>
      <c r="U790" s="307"/>
      <c r="V790" s="307"/>
      <c r="W790" s="307"/>
      <c r="X790" s="307"/>
      <c r="Y790" s="307"/>
      <c r="Z790" s="307"/>
    </row>
    <row r="791" spans="1:26" ht="17.399999999999999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  <c r="M791" s="307"/>
      <c r="N791" s="307"/>
      <c r="O791" s="307"/>
      <c r="P791" s="307"/>
      <c r="Q791" s="307"/>
      <c r="R791" s="307"/>
      <c r="S791" s="307"/>
      <c r="T791" s="307"/>
      <c r="U791" s="307"/>
      <c r="V791" s="307"/>
      <c r="W791" s="307"/>
      <c r="X791" s="307"/>
      <c r="Y791" s="307"/>
      <c r="Z791" s="307"/>
    </row>
    <row r="792" spans="1:26" ht="17.399999999999999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  <c r="M792" s="307"/>
      <c r="N792" s="307"/>
      <c r="O792" s="307"/>
      <c r="P792" s="307"/>
      <c r="Q792" s="307"/>
      <c r="R792" s="307"/>
      <c r="S792" s="307"/>
      <c r="T792" s="307"/>
      <c r="U792" s="307"/>
      <c r="V792" s="307"/>
      <c r="W792" s="307"/>
      <c r="X792" s="307"/>
      <c r="Y792" s="307"/>
      <c r="Z792" s="307"/>
    </row>
    <row r="793" spans="1:26" ht="17.399999999999999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  <c r="M793" s="307"/>
      <c r="N793" s="307"/>
      <c r="O793" s="307"/>
      <c r="P793" s="307"/>
      <c r="Q793" s="307"/>
      <c r="R793" s="307"/>
      <c r="S793" s="307"/>
      <c r="T793" s="307"/>
      <c r="U793" s="307"/>
      <c r="V793" s="307"/>
      <c r="W793" s="307"/>
      <c r="X793" s="307"/>
      <c r="Y793" s="307"/>
      <c r="Z793" s="307"/>
    </row>
    <row r="794" spans="1:26" ht="17.399999999999999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  <c r="M794" s="307"/>
      <c r="N794" s="307"/>
      <c r="O794" s="307"/>
      <c r="P794" s="307"/>
      <c r="Q794" s="307"/>
      <c r="R794" s="307"/>
      <c r="S794" s="307"/>
      <c r="T794" s="307"/>
      <c r="U794" s="307"/>
      <c r="V794" s="307"/>
      <c r="W794" s="307"/>
      <c r="X794" s="307"/>
      <c r="Y794" s="307"/>
      <c r="Z794" s="307"/>
    </row>
    <row r="795" spans="1:26" ht="17.399999999999999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  <c r="M795" s="307"/>
      <c r="N795" s="307"/>
      <c r="O795" s="307"/>
      <c r="P795" s="307"/>
      <c r="Q795" s="307"/>
      <c r="R795" s="307"/>
      <c r="S795" s="307"/>
      <c r="T795" s="307"/>
      <c r="U795" s="307"/>
      <c r="V795" s="307"/>
      <c r="W795" s="307"/>
      <c r="X795" s="307"/>
      <c r="Y795" s="307"/>
      <c r="Z795" s="307"/>
    </row>
    <row r="796" spans="1:26" ht="17.399999999999999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  <c r="M796" s="307"/>
      <c r="N796" s="307"/>
      <c r="O796" s="307"/>
      <c r="P796" s="307"/>
      <c r="Q796" s="307"/>
      <c r="R796" s="307"/>
      <c r="S796" s="307"/>
      <c r="T796" s="307"/>
      <c r="U796" s="307"/>
      <c r="V796" s="307"/>
      <c r="W796" s="307"/>
      <c r="X796" s="307"/>
      <c r="Y796" s="307"/>
      <c r="Z796" s="307"/>
    </row>
    <row r="797" spans="1:26" ht="17.399999999999999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  <c r="M797" s="307"/>
      <c r="N797" s="307"/>
      <c r="O797" s="307"/>
      <c r="P797" s="307"/>
      <c r="Q797" s="307"/>
      <c r="R797" s="307"/>
      <c r="S797" s="307"/>
      <c r="T797" s="307"/>
      <c r="U797" s="307"/>
      <c r="V797" s="307"/>
      <c r="W797" s="307"/>
      <c r="X797" s="307"/>
      <c r="Y797" s="307"/>
      <c r="Z797" s="307"/>
    </row>
    <row r="798" spans="1:26" ht="17.399999999999999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  <c r="M798" s="307"/>
      <c r="N798" s="307"/>
      <c r="O798" s="307"/>
      <c r="P798" s="307"/>
      <c r="Q798" s="307"/>
      <c r="R798" s="307"/>
      <c r="S798" s="307"/>
      <c r="T798" s="307"/>
      <c r="U798" s="307"/>
      <c r="V798" s="307"/>
      <c r="W798" s="307"/>
      <c r="X798" s="307"/>
      <c r="Y798" s="307"/>
      <c r="Z798" s="307"/>
    </row>
    <row r="799" spans="1:26" ht="17.399999999999999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  <c r="M799" s="307"/>
      <c r="N799" s="307"/>
      <c r="O799" s="307"/>
      <c r="P799" s="307"/>
      <c r="Q799" s="307"/>
      <c r="R799" s="307"/>
      <c r="S799" s="307"/>
      <c r="T799" s="307"/>
      <c r="U799" s="307"/>
      <c r="V799" s="307"/>
      <c r="W799" s="307"/>
      <c r="X799" s="307"/>
      <c r="Y799" s="307"/>
      <c r="Z799" s="307"/>
    </row>
    <row r="800" spans="1:26" ht="17.399999999999999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  <c r="M800" s="307"/>
      <c r="N800" s="307"/>
      <c r="O800" s="307"/>
      <c r="P800" s="307"/>
      <c r="Q800" s="307"/>
      <c r="R800" s="307"/>
      <c r="S800" s="307"/>
      <c r="T800" s="307"/>
      <c r="U800" s="307"/>
      <c r="V800" s="307"/>
      <c r="W800" s="307"/>
      <c r="X800" s="307"/>
      <c r="Y800" s="307"/>
      <c r="Z800" s="307"/>
    </row>
    <row r="801" spans="1:26" ht="17.399999999999999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  <c r="M801" s="307"/>
      <c r="N801" s="307"/>
      <c r="O801" s="307"/>
      <c r="P801" s="307"/>
      <c r="Q801" s="307"/>
      <c r="R801" s="307"/>
      <c r="S801" s="307"/>
      <c r="T801" s="307"/>
      <c r="U801" s="307"/>
      <c r="V801" s="307"/>
      <c r="W801" s="307"/>
      <c r="X801" s="307"/>
      <c r="Y801" s="307"/>
      <c r="Z801" s="307"/>
    </row>
    <row r="802" spans="1:26" ht="17.399999999999999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  <c r="M802" s="307"/>
      <c r="N802" s="307"/>
      <c r="O802" s="307"/>
      <c r="P802" s="307"/>
      <c r="Q802" s="307"/>
      <c r="R802" s="307"/>
      <c r="S802" s="307"/>
      <c r="T802" s="307"/>
      <c r="U802" s="307"/>
      <c r="V802" s="307"/>
      <c r="W802" s="307"/>
      <c r="X802" s="307"/>
      <c r="Y802" s="307"/>
      <c r="Z802" s="307"/>
    </row>
    <row r="803" spans="1:26" ht="17.399999999999999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  <c r="M803" s="307"/>
      <c r="N803" s="307"/>
      <c r="O803" s="307"/>
      <c r="P803" s="307"/>
      <c r="Q803" s="307"/>
      <c r="R803" s="307"/>
      <c r="S803" s="307"/>
      <c r="T803" s="307"/>
      <c r="U803" s="307"/>
      <c r="V803" s="307"/>
      <c r="W803" s="307"/>
      <c r="X803" s="307"/>
      <c r="Y803" s="307"/>
      <c r="Z803" s="307"/>
    </row>
    <row r="804" spans="1:26" ht="17.399999999999999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  <c r="M804" s="307"/>
      <c r="N804" s="307"/>
      <c r="O804" s="307"/>
      <c r="P804" s="307"/>
      <c r="Q804" s="307"/>
      <c r="R804" s="307"/>
      <c r="S804" s="307"/>
      <c r="T804" s="307"/>
      <c r="U804" s="307"/>
      <c r="V804" s="307"/>
      <c r="W804" s="307"/>
      <c r="X804" s="307"/>
      <c r="Y804" s="307"/>
      <c r="Z804" s="307"/>
    </row>
    <row r="805" spans="1:26" ht="17.399999999999999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  <c r="M805" s="307"/>
      <c r="N805" s="307"/>
      <c r="O805" s="307"/>
      <c r="P805" s="307"/>
      <c r="Q805" s="307"/>
      <c r="R805" s="307"/>
      <c r="S805" s="307"/>
      <c r="T805" s="307"/>
      <c r="U805" s="307"/>
      <c r="V805" s="307"/>
      <c r="W805" s="307"/>
      <c r="X805" s="307"/>
      <c r="Y805" s="307"/>
      <c r="Z805" s="307"/>
    </row>
    <row r="806" spans="1:26" ht="17.399999999999999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  <c r="M806" s="307"/>
      <c r="N806" s="307"/>
      <c r="O806" s="307"/>
      <c r="P806" s="307"/>
      <c r="Q806" s="307"/>
      <c r="R806" s="307"/>
      <c r="S806" s="307"/>
      <c r="T806" s="307"/>
      <c r="U806" s="307"/>
      <c r="V806" s="307"/>
      <c r="W806" s="307"/>
      <c r="X806" s="307"/>
      <c r="Y806" s="307"/>
      <c r="Z806" s="307"/>
    </row>
    <row r="807" spans="1:26" ht="17.399999999999999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  <c r="M807" s="307"/>
      <c r="N807" s="307"/>
      <c r="O807" s="307"/>
      <c r="P807" s="307"/>
      <c r="Q807" s="307"/>
      <c r="R807" s="307"/>
      <c r="S807" s="307"/>
      <c r="T807" s="307"/>
      <c r="U807" s="307"/>
      <c r="V807" s="307"/>
      <c r="W807" s="307"/>
      <c r="X807" s="307"/>
      <c r="Y807" s="307"/>
      <c r="Z807" s="307"/>
    </row>
    <row r="808" spans="1:26" ht="17.399999999999999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  <c r="M808" s="307"/>
      <c r="N808" s="307"/>
      <c r="O808" s="307"/>
      <c r="P808" s="307"/>
      <c r="Q808" s="307"/>
      <c r="R808" s="307"/>
      <c r="S808" s="307"/>
      <c r="T808" s="307"/>
      <c r="U808" s="307"/>
      <c r="V808" s="307"/>
      <c r="W808" s="307"/>
      <c r="X808" s="307"/>
      <c r="Y808" s="307"/>
      <c r="Z808" s="307"/>
    </row>
    <row r="809" spans="1:26" ht="17.399999999999999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  <c r="M809" s="307"/>
      <c r="N809" s="307"/>
      <c r="O809" s="307"/>
      <c r="P809" s="307"/>
      <c r="Q809" s="307"/>
      <c r="R809" s="307"/>
      <c r="S809" s="307"/>
      <c r="T809" s="307"/>
      <c r="U809" s="307"/>
      <c r="V809" s="307"/>
      <c r="W809" s="307"/>
      <c r="X809" s="307"/>
      <c r="Y809" s="307"/>
      <c r="Z809" s="307"/>
    </row>
    <row r="810" spans="1:26" ht="17.399999999999999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  <c r="M810" s="307"/>
      <c r="N810" s="307"/>
      <c r="O810" s="307"/>
      <c r="P810" s="307"/>
      <c r="Q810" s="307"/>
      <c r="R810" s="307"/>
      <c r="S810" s="307"/>
      <c r="T810" s="307"/>
      <c r="U810" s="307"/>
      <c r="V810" s="307"/>
      <c r="W810" s="307"/>
      <c r="X810" s="307"/>
      <c r="Y810" s="307"/>
      <c r="Z810" s="307"/>
    </row>
    <row r="811" spans="1:26" ht="17.399999999999999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  <c r="M811" s="307"/>
      <c r="N811" s="307"/>
      <c r="O811" s="307"/>
      <c r="P811" s="307"/>
      <c r="Q811" s="307"/>
      <c r="R811" s="307"/>
      <c r="S811" s="307"/>
      <c r="T811" s="307"/>
      <c r="U811" s="307"/>
      <c r="V811" s="307"/>
      <c r="W811" s="307"/>
      <c r="X811" s="307"/>
      <c r="Y811" s="307"/>
      <c r="Z811" s="307"/>
    </row>
    <row r="812" spans="1:26" ht="17.399999999999999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  <c r="M812" s="307"/>
      <c r="N812" s="307"/>
      <c r="O812" s="307"/>
      <c r="P812" s="307"/>
      <c r="Q812" s="307"/>
      <c r="R812" s="307"/>
      <c r="S812" s="307"/>
      <c r="T812" s="307"/>
      <c r="U812" s="307"/>
      <c r="V812" s="307"/>
      <c r="W812" s="307"/>
      <c r="X812" s="307"/>
      <c r="Y812" s="307"/>
      <c r="Z812" s="307"/>
    </row>
    <row r="813" spans="1:26" ht="17.399999999999999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  <c r="M813" s="307"/>
      <c r="N813" s="307"/>
      <c r="O813" s="307"/>
      <c r="P813" s="307"/>
      <c r="Q813" s="307"/>
      <c r="R813" s="307"/>
      <c r="S813" s="307"/>
      <c r="T813" s="307"/>
      <c r="U813" s="307"/>
      <c r="V813" s="307"/>
      <c r="W813" s="307"/>
      <c r="X813" s="307"/>
      <c r="Y813" s="307"/>
      <c r="Z813" s="307"/>
    </row>
    <row r="814" spans="1:26" ht="17.399999999999999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  <c r="M814" s="307"/>
      <c r="N814" s="307"/>
      <c r="O814" s="307"/>
      <c r="P814" s="307"/>
      <c r="Q814" s="307"/>
      <c r="R814" s="307"/>
      <c r="S814" s="307"/>
      <c r="T814" s="307"/>
      <c r="U814" s="307"/>
      <c r="V814" s="307"/>
      <c r="W814" s="307"/>
      <c r="X814" s="307"/>
      <c r="Y814" s="307"/>
      <c r="Z814" s="307"/>
    </row>
    <row r="815" spans="1:26" ht="17.399999999999999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  <c r="M815" s="307"/>
      <c r="N815" s="307"/>
      <c r="O815" s="307"/>
      <c r="P815" s="307"/>
      <c r="Q815" s="307"/>
      <c r="R815" s="307"/>
      <c r="S815" s="307"/>
      <c r="T815" s="307"/>
      <c r="U815" s="307"/>
      <c r="V815" s="307"/>
      <c r="W815" s="307"/>
      <c r="X815" s="307"/>
      <c r="Y815" s="307"/>
      <c r="Z815" s="307"/>
    </row>
    <row r="816" spans="1:26" ht="17.399999999999999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</row>
    <row r="817" spans="1:26" ht="17.399999999999999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  <c r="M817" s="307"/>
      <c r="N817" s="307"/>
      <c r="O817" s="307"/>
      <c r="P817" s="307"/>
      <c r="Q817" s="307"/>
      <c r="R817" s="307"/>
      <c r="S817" s="307"/>
      <c r="T817" s="307"/>
      <c r="U817" s="307"/>
      <c r="V817" s="307"/>
      <c r="W817" s="307"/>
      <c r="X817" s="307"/>
      <c r="Y817" s="307"/>
      <c r="Z817" s="307"/>
    </row>
    <row r="818" spans="1:26" ht="17.399999999999999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  <c r="M818" s="307"/>
      <c r="N818" s="307"/>
      <c r="O818" s="307"/>
      <c r="P818" s="307"/>
      <c r="Q818" s="307"/>
      <c r="R818" s="307"/>
      <c r="S818" s="307"/>
      <c r="T818" s="307"/>
      <c r="U818" s="307"/>
      <c r="V818" s="307"/>
      <c r="W818" s="307"/>
      <c r="X818" s="307"/>
      <c r="Y818" s="307"/>
      <c r="Z818" s="307"/>
    </row>
    <row r="819" spans="1:26" ht="17.399999999999999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  <c r="M819" s="307"/>
      <c r="N819" s="307"/>
      <c r="O819" s="307"/>
      <c r="P819" s="307"/>
      <c r="Q819" s="307"/>
      <c r="R819" s="307"/>
      <c r="S819" s="307"/>
      <c r="T819" s="307"/>
      <c r="U819" s="307"/>
      <c r="V819" s="307"/>
      <c r="W819" s="307"/>
      <c r="X819" s="307"/>
      <c r="Y819" s="307"/>
      <c r="Z819" s="307"/>
    </row>
    <row r="820" spans="1:26" ht="17.399999999999999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  <c r="M820" s="307"/>
      <c r="N820" s="307"/>
      <c r="O820" s="307"/>
      <c r="P820" s="307"/>
      <c r="Q820" s="307"/>
      <c r="R820" s="307"/>
      <c r="S820" s="307"/>
      <c r="T820" s="307"/>
      <c r="U820" s="307"/>
      <c r="V820" s="307"/>
      <c r="W820" s="307"/>
      <c r="X820" s="307"/>
      <c r="Y820" s="307"/>
      <c r="Z820" s="307"/>
    </row>
    <row r="821" spans="1:26" ht="17.399999999999999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  <c r="M821" s="307"/>
      <c r="N821" s="307"/>
      <c r="O821" s="307"/>
      <c r="P821" s="307"/>
      <c r="Q821" s="307"/>
      <c r="R821" s="307"/>
      <c r="S821" s="307"/>
      <c r="T821" s="307"/>
      <c r="U821" s="307"/>
      <c r="V821" s="307"/>
      <c r="W821" s="307"/>
      <c r="X821" s="307"/>
      <c r="Y821" s="307"/>
      <c r="Z821" s="307"/>
    </row>
    <row r="822" spans="1:26" ht="17.399999999999999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  <c r="M822" s="307"/>
      <c r="N822" s="307"/>
      <c r="O822" s="307"/>
      <c r="P822" s="307"/>
      <c r="Q822" s="307"/>
      <c r="R822" s="307"/>
      <c r="S822" s="307"/>
      <c r="T822" s="307"/>
      <c r="U822" s="307"/>
      <c r="V822" s="307"/>
      <c r="W822" s="307"/>
      <c r="X822" s="307"/>
      <c r="Y822" s="307"/>
      <c r="Z822" s="307"/>
    </row>
    <row r="823" spans="1:26" ht="17.399999999999999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  <c r="M823" s="307"/>
      <c r="N823" s="307"/>
      <c r="O823" s="307"/>
      <c r="P823" s="307"/>
      <c r="Q823" s="307"/>
      <c r="R823" s="307"/>
      <c r="S823" s="307"/>
      <c r="T823" s="307"/>
      <c r="U823" s="307"/>
      <c r="V823" s="307"/>
      <c r="W823" s="307"/>
      <c r="X823" s="307"/>
      <c r="Y823" s="307"/>
      <c r="Z823" s="307"/>
    </row>
    <row r="824" spans="1:26" ht="17.399999999999999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  <c r="M824" s="307"/>
      <c r="N824" s="307"/>
      <c r="O824" s="307"/>
      <c r="P824" s="307"/>
      <c r="Q824" s="307"/>
      <c r="R824" s="307"/>
      <c r="S824" s="307"/>
      <c r="T824" s="307"/>
      <c r="U824" s="307"/>
      <c r="V824" s="307"/>
      <c r="W824" s="307"/>
      <c r="X824" s="307"/>
      <c r="Y824" s="307"/>
      <c r="Z824" s="307"/>
    </row>
    <row r="825" spans="1:26" ht="17.399999999999999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  <c r="M825" s="307"/>
      <c r="N825" s="307"/>
      <c r="O825" s="307"/>
      <c r="P825" s="307"/>
      <c r="Q825" s="307"/>
      <c r="R825" s="307"/>
      <c r="S825" s="307"/>
      <c r="T825" s="307"/>
      <c r="U825" s="307"/>
      <c r="V825" s="307"/>
      <c r="W825" s="307"/>
      <c r="X825" s="307"/>
      <c r="Y825" s="307"/>
      <c r="Z825" s="307"/>
    </row>
    <row r="826" spans="1:26" ht="17.399999999999999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  <c r="M826" s="307"/>
      <c r="N826" s="307"/>
      <c r="O826" s="307"/>
      <c r="P826" s="307"/>
      <c r="Q826" s="307"/>
      <c r="R826" s="307"/>
      <c r="S826" s="307"/>
      <c r="T826" s="307"/>
      <c r="U826" s="307"/>
      <c r="V826" s="307"/>
      <c r="W826" s="307"/>
      <c r="X826" s="307"/>
      <c r="Y826" s="307"/>
      <c r="Z826" s="307"/>
    </row>
    <row r="827" spans="1:26" ht="17.399999999999999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  <c r="M827" s="307"/>
      <c r="N827" s="307"/>
      <c r="O827" s="307"/>
      <c r="P827" s="307"/>
      <c r="Q827" s="307"/>
      <c r="R827" s="307"/>
      <c r="S827" s="307"/>
      <c r="T827" s="307"/>
      <c r="U827" s="307"/>
      <c r="V827" s="307"/>
      <c r="W827" s="307"/>
      <c r="X827" s="307"/>
      <c r="Y827" s="307"/>
      <c r="Z827" s="307"/>
    </row>
    <row r="828" spans="1:26" ht="17.399999999999999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  <c r="M828" s="307"/>
      <c r="N828" s="307"/>
      <c r="O828" s="307"/>
      <c r="P828" s="307"/>
      <c r="Q828" s="307"/>
      <c r="R828" s="307"/>
      <c r="S828" s="307"/>
      <c r="T828" s="307"/>
      <c r="U828" s="307"/>
      <c r="V828" s="307"/>
      <c r="W828" s="307"/>
      <c r="X828" s="307"/>
      <c r="Y828" s="307"/>
      <c r="Z828" s="307"/>
    </row>
    <row r="829" spans="1:26" ht="17.399999999999999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  <c r="M829" s="307"/>
      <c r="N829" s="307"/>
      <c r="O829" s="307"/>
      <c r="P829" s="307"/>
      <c r="Q829" s="307"/>
      <c r="R829" s="307"/>
      <c r="S829" s="307"/>
      <c r="T829" s="307"/>
      <c r="U829" s="307"/>
      <c r="V829" s="307"/>
      <c r="W829" s="307"/>
      <c r="X829" s="307"/>
      <c r="Y829" s="307"/>
      <c r="Z829" s="307"/>
    </row>
    <row r="830" spans="1:26" ht="17.399999999999999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  <c r="M830" s="307"/>
      <c r="N830" s="307"/>
      <c r="O830" s="307"/>
      <c r="P830" s="307"/>
      <c r="Q830" s="307"/>
      <c r="R830" s="307"/>
      <c r="S830" s="307"/>
      <c r="T830" s="307"/>
      <c r="U830" s="307"/>
      <c r="V830" s="307"/>
      <c r="W830" s="307"/>
      <c r="X830" s="307"/>
      <c r="Y830" s="307"/>
      <c r="Z830" s="307"/>
    </row>
    <row r="831" spans="1:26" ht="17.399999999999999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  <c r="M831" s="307"/>
      <c r="N831" s="307"/>
      <c r="O831" s="307"/>
      <c r="P831" s="307"/>
      <c r="Q831" s="307"/>
      <c r="R831" s="307"/>
      <c r="S831" s="307"/>
      <c r="T831" s="307"/>
      <c r="U831" s="307"/>
      <c r="V831" s="307"/>
      <c r="W831" s="307"/>
      <c r="X831" s="307"/>
      <c r="Y831" s="307"/>
      <c r="Z831" s="307"/>
    </row>
    <row r="832" spans="1:26" ht="17.399999999999999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  <c r="M832" s="307"/>
      <c r="N832" s="307"/>
      <c r="O832" s="307"/>
      <c r="P832" s="307"/>
      <c r="Q832" s="307"/>
      <c r="R832" s="307"/>
      <c r="S832" s="307"/>
      <c r="T832" s="307"/>
      <c r="U832" s="307"/>
      <c r="V832" s="307"/>
      <c r="W832" s="307"/>
      <c r="X832" s="307"/>
      <c r="Y832" s="307"/>
      <c r="Z832" s="307"/>
    </row>
    <row r="833" spans="1:26" ht="17.399999999999999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  <c r="M833" s="307"/>
      <c r="N833" s="307"/>
      <c r="O833" s="307"/>
      <c r="P833" s="307"/>
      <c r="Q833" s="307"/>
      <c r="R833" s="307"/>
      <c r="S833" s="307"/>
      <c r="T833" s="307"/>
      <c r="U833" s="307"/>
      <c r="V833" s="307"/>
      <c r="W833" s="307"/>
      <c r="X833" s="307"/>
      <c r="Y833" s="307"/>
      <c r="Z833" s="307"/>
    </row>
    <row r="834" spans="1:26" ht="17.399999999999999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  <c r="M834" s="307"/>
      <c r="N834" s="307"/>
      <c r="O834" s="307"/>
      <c r="P834" s="307"/>
      <c r="Q834" s="307"/>
      <c r="R834" s="307"/>
      <c r="S834" s="307"/>
      <c r="T834" s="307"/>
      <c r="U834" s="307"/>
      <c r="V834" s="307"/>
      <c r="W834" s="307"/>
      <c r="X834" s="307"/>
      <c r="Y834" s="307"/>
      <c r="Z834" s="307"/>
    </row>
    <row r="835" spans="1:26" ht="17.399999999999999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  <c r="M835" s="307"/>
      <c r="N835" s="307"/>
      <c r="O835" s="307"/>
      <c r="P835" s="307"/>
      <c r="Q835" s="307"/>
      <c r="R835" s="307"/>
      <c r="S835" s="307"/>
      <c r="T835" s="307"/>
      <c r="U835" s="307"/>
      <c r="V835" s="307"/>
      <c r="W835" s="307"/>
      <c r="X835" s="307"/>
      <c r="Y835" s="307"/>
      <c r="Z835" s="307"/>
    </row>
    <row r="836" spans="1:26" ht="17.399999999999999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  <c r="M836" s="307"/>
      <c r="N836" s="307"/>
      <c r="O836" s="307"/>
      <c r="P836" s="307"/>
      <c r="Q836" s="307"/>
      <c r="R836" s="307"/>
      <c r="S836" s="307"/>
      <c r="T836" s="307"/>
      <c r="U836" s="307"/>
      <c r="V836" s="307"/>
      <c r="W836" s="307"/>
      <c r="X836" s="307"/>
      <c r="Y836" s="307"/>
      <c r="Z836" s="307"/>
    </row>
    <row r="837" spans="1:26" ht="17.399999999999999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  <c r="M837" s="307"/>
      <c r="N837" s="307"/>
      <c r="O837" s="307"/>
      <c r="P837" s="307"/>
      <c r="Q837" s="307"/>
      <c r="R837" s="307"/>
      <c r="S837" s="307"/>
      <c r="T837" s="307"/>
      <c r="U837" s="307"/>
      <c r="V837" s="307"/>
      <c r="W837" s="307"/>
      <c r="X837" s="307"/>
      <c r="Y837" s="307"/>
      <c r="Z837" s="307"/>
    </row>
    <row r="838" spans="1:26" ht="17.399999999999999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  <c r="M838" s="307"/>
      <c r="N838" s="307"/>
      <c r="O838" s="307"/>
      <c r="P838" s="307"/>
      <c r="Q838" s="307"/>
      <c r="R838" s="307"/>
      <c r="S838" s="307"/>
      <c r="T838" s="307"/>
      <c r="U838" s="307"/>
      <c r="V838" s="307"/>
      <c r="W838" s="307"/>
      <c r="X838" s="307"/>
      <c r="Y838" s="307"/>
      <c r="Z838" s="307"/>
    </row>
    <row r="839" spans="1:26" ht="17.399999999999999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  <c r="M839" s="307"/>
      <c r="N839" s="307"/>
      <c r="O839" s="307"/>
      <c r="P839" s="307"/>
      <c r="Q839" s="307"/>
      <c r="R839" s="307"/>
      <c r="S839" s="307"/>
      <c r="T839" s="307"/>
      <c r="U839" s="307"/>
      <c r="V839" s="307"/>
      <c r="W839" s="307"/>
      <c r="X839" s="307"/>
      <c r="Y839" s="307"/>
      <c r="Z839" s="307"/>
    </row>
    <row r="840" spans="1:26" ht="17.399999999999999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  <c r="M840" s="307"/>
      <c r="N840" s="307"/>
      <c r="O840" s="307"/>
      <c r="P840" s="307"/>
      <c r="Q840" s="307"/>
      <c r="R840" s="307"/>
      <c r="S840" s="307"/>
      <c r="T840" s="307"/>
      <c r="U840" s="307"/>
      <c r="V840" s="307"/>
      <c r="W840" s="307"/>
      <c r="X840" s="307"/>
      <c r="Y840" s="307"/>
      <c r="Z840" s="307"/>
    </row>
    <row r="841" spans="1:26" ht="17.399999999999999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  <c r="M841" s="307"/>
      <c r="N841" s="307"/>
      <c r="O841" s="307"/>
      <c r="P841" s="307"/>
      <c r="Q841" s="307"/>
      <c r="R841" s="307"/>
      <c r="S841" s="307"/>
      <c r="T841" s="307"/>
      <c r="U841" s="307"/>
      <c r="V841" s="307"/>
      <c r="W841" s="307"/>
      <c r="X841" s="307"/>
      <c r="Y841" s="307"/>
      <c r="Z841" s="307"/>
    </row>
    <row r="842" spans="1:26" ht="17.399999999999999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  <c r="M842" s="307"/>
      <c r="N842" s="307"/>
      <c r="O842" s="307"/>
      <c r="P842" s="307"/>
      <c r="Q842" s="307"/>
      <c r="R842" s="307"/>
      <c r="S842" s="307"/>
      <c r="T842" s="307"/>
      <c r="U842" s="307"/>
      <c r="V842" s="307"/>
      <c r="W842" s="307"/>
      <c r="X842" s="307"/>
      <c r="Y842" s="307"/>
      <c r="Z842" s="307"/>
    </row>
    <row r="843" spans="1:26" ht="17.399999999999999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  <c r="M843" s="307"/>
      <c r="N843" s="307"/>
      <c r="O843" s="307"/>
      <c r="P843" s="307"/>
      <c r="Q843" s="307"/>
      <c r="R843" s="307"/>
      <c r="S843" s="307"/>
      <c r="T843" s="307"/>
      <c r="U843" s="307"/>
      <c r="V843" s="307"/>
      <c r="W843" s="307"/>
      <c r="X843" s="307"/>
      <c r="Y843" s="307"/>
      <c r="Z843" s="307"/>
    </row>
    <row r="844" spans="1:26" ht="17.399999999999999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  <c r="M844" s="307"/>
      <c r="N844" s="307"/>
      <c r="O844" s="307"/>
      <c r="P844" s="307"/>
      <c r="Q844" s="307"/>
      <c r="R844" s="307"/>
      <c r="S844" s="307"/>
      <c r="T844" s="307"/>
      <c r="U844" s="307"/>
      <c r="V844" s="307"/>
      <c r="W844" s="307"/>
      <c r="X844" s="307"/>
      <c r="Y844" s="307"/>
      <c r="Z844" s="307"/>
    </row>
    <row r="845" spans="1:26" ht="17.399999999999999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  <c r="M845" s="307"/>
      <c r="N845" s="307"/>
      <c r="O845" s="307"/>
      <c r="P845" s="307"/>
      <c r="Q845" s="307"/>
      <c r="R845" s="307"/>
      <c r="S845" s="307"/>
      <c r="T845" s="307"/>
      <c r="U845" s="307"/>
      <c r="V845" s="307"/>
      <c r="W845" s="307"/>
      <c r="X845" s="307"/>
      <c r="Y845" s="307"/>
      <c r="Z845" s="307"/>
    </row>
    <row r="846" spans="1:26" ht="17.399999999999999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  <c r="M846" s="307"/>
      <c r="N846" s="307"/>
      <c r="O846" s="307"/>
      <c r="P846" s="307"/>
      <c r="Q846" s="307"/>
      <c r="R846" s="307"/>
      <c r="S846" s="307"/>
      <c r="T846" s="307"/>
      <c r="U846" s="307"/>
      <c r="V846" s="307"/>
      <c r="W846" s="307"/>
      <c r="X846" s="307"/>
      <c r="Y846" s="307"/>
      <c r="Z846" s="307"/>
    </row>
    <row r="847" spans="1:26" ht="17.399999999999999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  <c r="M847" s="307"/>
      <c r="N847" s="307"/>
      <c r="O847" s="307"/>
      <c r="P847" s="307"/>
      <c r="Q847" s="307"/>
      <c r="R847" s="307"/>
      <c r="S847" s="307"/>
      <c r="T847" s="307"/>
      <c r="U847" s="307"/>
      <c r="V847" s="307"/>
      <c r="W847" s="307"/>
      <c r="X847" s="307"/>
      <c r="Y847" s="307"/>
      <c r="Z847" s="307"/>
    </row>
    <row r="848" spans="1:26" ht="17.399999999999999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  <c r="M848" s="307"/>
      <c r="N848" s="307"/>
      <c r="O848" s="307"/>
      <c r="P848" s="307"/>
      <c r="Q848" s="307"/>
      <c r="R848" s="307"/>
      <c r="S848" s="307"/>
      <c r="T848" s="307"/>
      <c r="U848" s="307"/>
      <c r="V848" s="307"/>
      <c r="W848" s="307"/>
      <c r="X848" s="307"/>
      <c r="Y848" s="307"/>
      <c r="Z848" s="307"/>
    </row>
    <row r="849" spans="1:26" ht="17.399999999999999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  <c r="M849" s="307"/>
      <c r="N849" s="307"/>
      <c r="O849" s="307"/>
      <c r="P849" s="307"/>
      <c r="Q849" s="307"/>
      <c r="R849" s="307"/>
      <c r="S849" s="307"/>
      <c r="T849" s="307"/>
      <c r="U849" s="307"/>
      <c r="V849" s="307"/>
      <c r="W849" s="307"/>
      <c r="X849" s="307"/>
      <c r="Y849" s="307"/>
      <c r="Z849" s="307"/>
    </row>
    <row r="850" spans="1:26" ht="17.399999999999999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  <c r="M850" s="307"/>
      <c r="N850" s="307"/>
      <c r="O850" s="307"/>
      <c r="P850" s="307"/>
      <c r="Q850" s="307"/>
      <c r="R850" s="307"/>
      <c r="S850" s="307"/>
      <c r="T850" s="307"/>
      <c r="U850" s="307"/>
      <c r="V850" s="307"/>
      <c r="W850" s="307"/>
      <c r="X850" s="307"/>
      <c r="Y850" s="307"/>
      <c r="Z850" s="307"/>
    </row>
    <row r="851" spans="1:26" ht="17.399999999999999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  <c r="M851" s="307"/>
      <c r="N851" s="307"/>
      <c r="O851" s="307"/>
      <c r="P851" s="307"/>
      <c r="Q851" s="307"/>
      <c r="R851" s="307"/>
      <c r="S851" s="307"/>
      <c r="T851" s="307"/>
      <c r="U851" s="307"/>
      <c r="V851" s="307"/>
      <c r="W851" s="307"/>
      <c r="X851" s="307"/>
      <c r="Y851" s="307"/>
      <c r="Z851" s="307"/>
    </row>
    <row r="852" spans="1:26" ht="17.399999999999999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  <c r="M852" s="307"/>
      <c r="N852" s="307"/>
      <c r="O852" s="307"/>
      <c r="P852" s="307"/>
      <c r="Q852" s="307"/>
      <c r="R852" s="307"/>
      <c r="S852" s="307"/>
      <c r="T852" s="307"/>
      <c r="U852" s="307"/>
      <c r="V852" s="307"/>
      <c r="W852" s="307"/>
      <c r="X852" s="307"/>
      <c r="Y852" s="307"/>
      <c r="Z852" s="307"/>
    </row>
    <row r="853" spans="1:26" ht="17.399999999999999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  <c r="M853" s="307"/>
      <c r="N853" s="307"/>
      <c r="O853" s="307"/>
      <c r="P853" s="307"/>
      <c r="Q853" s="307"/>
      <c r="R853" s="307"/>
      <c r="S853" s="307"/>
      <c r="T853" s="307"/>
      <c r="U853" s="307"/>
      <c r="V853" s="307"/>
      <c r="W853" s="307"/>
      <c r="X853" s="307"/>
      <c r="Y853" s="307"/>
      <c r="Z853" s="307"/>
    </row>
    <row r="854" spans="1:26" ht="17.399999999999999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  <c r="M854" s="307"/>
      <c r="N854" s="307"/>
      <c r="O854" s="307"/>
      <c r="P854" s="307"/>
      <c r="Q854" s="307"/>
      <c r="R854" s="307"/>
      <c r="S854" s="307"/>
      <c r="T854" s="307"/>
      <c r="U854" s="307"/>
      <c r="V854" s="307"/>
      <c r="W854" s="307"/>
      <c r="X854" s="307"/>
      <c r="Y854" s="307"/>
      <c r="Z854" s="307"/>
    </row>
    <row r="855" spans="1:26" ht="17.399999999999999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  <c r="M855" s="307"/>
      <c r="N855" s="307"/>
      <c r="O855" s="307"/>
      <c r="P855" s="307"/>
      <c r="Q855" s="307"/>
      <c r="R855" s="307"/>
      <c r="S855" s="307"/>
      <c r="T855" s="307"/>
      <c r="U855" s="307"/>
      <c r="V855" s="307"/>
      <c r="W855" s="307"/>
      <c r="X855" s="307"/>
      <c r="Y855" s="307"/>
      <c r="Z855" s="307"/>
    </row>
    <row r="856" spans="1:26" ht="17.399999999999999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</row>
    <row r="857" spans="1:26" ht="17.399999999999999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  <c r="M857" s="307"/>
      <c r="N857" s="307"/>
      <c r="O857" s="307"/>
      <c r="P857" s="307"/>
      <c r="Q857" s="307"/>
      <c r="R857" s="307"/>
      <c r="S857" s="307"/>
      <c r="T857" s="307"/>
      <c r="U857" s="307"/>
      <c r="V857" s="307"/>
      <c r="W857" s="307"/>
      <c r="X857" s="307"/>
      <c r="Y857" s="307"/>
      <c r="Z857" s="307"/>
    </row>
    <row r="858" spans="1:26" ht="17.399999999999999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  <c r="M858" s="307"/>
      <c r="N858" s="307"/>
      <c r="O858" s="307"/>
      <c r="P858" s="307"/>
      <c r="Q858" s="307"/>
      <c r="R858" s="307"/>
      <c r="S858" s="307"/>
      <c r="T858" s="307"/>
      <c r="U858" s="307"/>
      <c r="V858" s="307"/>
      <c r="W858" s="307"/>
      <c r="X858" s="307"/>
      <c r="Y858" s="307"/>
      <c r="Z858" s="307"/>
    </row>
    <row r="859" spans="1:26" ht="17.399999999999999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  <c r="M859" s="307"/>
      <c r="N859" s="307"/>
      <c r="O859" s="307"/>
      <c r="P859" s="307"/>
      <c r="Q859" s="307"/>
      <c r="R859" s="307"/>
      <c r="S859" s="307"/>
      <c r="T859" s="307"/>
      <c r="U859" s="307"/>
      <c r="V859" s="307"/>
      <c r="W859" s="307"/>
      <c r="X859" s="307"/>
      <c r="Y859" s="307"/>
      <c r="Z859" s="307"/>
    </row>
    <row r="860" spans="1:26" ht="17.399999999999999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  <c r="M860" s="307"/>
      <c r="N860" s="307"/>
      <c r="O860" s="307"/>
      <c r="P860" s="307"/>
      <c r="Q860" s="307"/>
      <c r="R860" s="307"/>
      <c r="S860" s="307"/>
      <c r="T860" s="307"/>
      <c r="U860" s="307"/>
      <c r="V860" s="307"/>
      <c r="W860" s="307"/>
      <c r="X860" s="307"/>
      <c r="Y860" s="307"/>
      <c r="Z860" s="307"/>
    </row>
    <row r="861" spans="1:26" ht="17.399999999999999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  <c r="M861" s="307"/>
      <c r="N861" s="307"/>
      <c r="O861" s="307"/>
      <c r="P861" s="307"/>
      <c r="Q861" s="307"/>
      <c r="R861" s="307"/>
      <c r="S861" s="307"/>
      <c r="T861" s="307"/>
      <c r="U861" s="307"/>
      <c r="V861" s="307"/>
      <c r="W861" s="307"/>
      <c r="X861" s="307"/>
      <c r="Y861" s="307"/>
      <c r="Z861" s="307"/>
    </row>
    <row r="862" spans="1:26" ht="17.399999999999999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  <c r="M862" s="307"/>
      <c r="N862" s="307"/>
      <c r="O862" s="307"/>
      <c r="P862" s="307"/>
      <c r="Q862" s="307"/>
      <c r="R862" s="307"/>
      <c r="S862" s="307"/>
      <c r="T862" s="307"/>
      <c r="U862" s="307"/>
      <c r="V862" s="307"/>
      <c r="W862" s="307"/>
      <c r="X862" s="307"/>
      <c r="Y862" s="307"/>
      <c r="Z862" s="307"/>
    </row>
    <row r="863" spans="1:26" ht="17.399999999999999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  <c r="M863" s="307"/>
      <c r="N863" s="307"/>
      <c r="O863" s="307"/>
      <c r="P863" s="307"/>
      <c r="Q863" s="307"/>
      <c r="R863" s="307"/>
      <c r="S863" s="307"/>
      <c r="T863" s="307"/>
      <c r="U863" s="307"/>
      <c r="V863" s="307"/>
      <c r="W863" s="307"/>
      <c r="X863" s="307"/>
      <c r="Y863" s="307"/>
      <c r="Z863" s="307"/>
    </row>
    <row r="864" spans="1:26" ht="17.399999999999999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  <c r="M864" s="307"/>
      <c r="N864" s="307"/>
      <c r="O864" s="307"/>
      <c r="P864" s="307"/>
      <c r="Q864" s="307"/>
      <c r="R864" s="307"/>
      <c r="S864" s="307"/>
      <c r="T864" s="307"/>
      <c r="U864" s="307"/>
      <c r="V864" s="307"/>
      <c r="W864" s="307"/>
      <c r="X864" s="307"/>
      <c r="Y864" s="307"/>
      <c r="Z864" s="307"/>
    </row>
    <row r="865" spans="1:26" ht="17.399999999999999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  <c r="M865" s="307"/>
      <c r="N865" s="307"/>
      <c r="O865" s="307"/>
      <c r="P865" s="307"/>
      <c r="Q865" s="307"/>
      <c r="R865" s="307"/>
      <c r="S865" s="307"/>
      <c r="T865" s="307"/>
      <c r="U865" s="307"/>
      <c r="V865" s="307"/>
      <c r="W865" s="307"/>
      <c r="X865" s="307"/>
      <c r="Y865" s="307"/>
      <c r="Z865" s="307"/>
    </row>
    <row r="866" spans="1:26" ht="17.399999999999999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  <c r="M866" s="307"/>
      <c r="N866" s="307"/>
      <c r="O866" s="307"/>
      <c r="P866" s="307"/>
      <c r="Q866" s="307"/>
      <c r="R866" s="307"/>
      <c r="S866" s="307"/>
      <c r="T866" s="307"/>
      <c r="U866" s="307"/>
      <c r="V866" s="307"/>
      <c r="W866" s="307"/>
      <c r="X866" s="307"/>
      <c r="Y866" s="307"/>
      <c r="Z866" s="307"/>
    </row>
    <row r="867" spans="1:26" ht="17.399999999999999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  <c r="M867" s="307"/>
      <c r="N867" s="307"/>
      <c r="O867" s="307"/>
      <c r="P867" s="307"/>
      <c r="Q867" s="307"/>
      <c r="R867" s="307"/>
      <c r="S867" s="307"/>
      <c r="T867" s="307"/>
      <c r="U867" s="307"/>
      <c r="V867" s="307"/>
      <c r="W867" s="307"/>
      <c r="X867" s="307"/>
      <c r="Y867" s="307"/>
      <c r="Z867" s="307"/>
    </row>
    <row r="868" spans="1:26" ht="17.399999999999999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  <c r="M868" s="307"/>
      <c r="N868" s="307"/>
      <c r="O868" s="307"/>
      <c r="P868" s="307"/>
      <c r="Q868" s="307"/>
      <c r="R868" s="307"/>
      <c r="S868" s="307"/>
      <c r="T868" s="307"/>
      <c r="U868" s="307"/>
      <c r="V868" s="307"/>
      <c r="W868" s="307"/>
      <c r="X868" s="307"/>
      <c r="Y868" s="307"/>
      <c r="Z868" s="307"/>
    </row>
    <row r="869" spans="1:26" ht="17.399999999999999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  <c r="M869" s="307"/>
      <c r="N869" s="307"/>
      <c r="O869" s="307"/>
      <c r="P869" s="307"/>
      <c r="Q869" s="307"/>
      <c r="R869" s="307"/>
      <c r="S869" s="307"/>
      <c r="T869" s="307"/>
      <c r="U869" s="307"/>
      <c r="V869" s="307"/>
      <c r="W869" s="307"/>
      <c r="X869" s="307"/>
      <c r="Y869" s="307"/>
      <c r="Z869" s="307"/>
    </row>
    <row r="870" spans="1:26" ht="17.399999999999999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  <c r="M870" s="307"/>
      <c r="N870" s="307"/>
      <c r="O870" s="307"/>
      <c r="P870" s="307"/>
      <c r="Q870" s="307"/>
      <c r="R870" s="307"/>
      <c r="S870" s="307"/>
      <c r="T870" s="307"/>
      <c r="U870" s="307"/>
      <c r="V870" s="307"/>
      <c r="W870" s="307"/>
      <c r="X870" s="307"/>
      <c r="Y870" s="307"/>
      <c r="Z870" s="307"/>
    </row>
    <row r="871" spans="1:26" ht="17.399999999999999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  <c r="M871" s="307"/>
      <c r="N871" s="307"/>
      <c r="O871" s="307"/>
      <c r="P871" s="307"/>
      <c r="Q871" s="307"/>
      <c r="R871" s="307"/>
      <c r="S871" s="307"/>
      <c r="T871" s="307"/>
      <c r="U871" s="307"/>
      <c r="V871" s="307"/>
      <c r="W871" s="307"/>
      <c r="X871" s="307"/>
      <c r="Y871" s="307"/>
      <c r="Z871" s="307"/>
    </row>
    <row r="872" spans="1:26" ht="17.399999999999999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  <c r="M872" s="307"/>
      <c r="N872" s="307"/>
      <c r="O872" s="307"/>
      <c r="P872" s="307"/>
      <c r="Q872" s="307"/>
      <c r="R872" s="307"/>
      <c r="S872" s="307"/>
      <c r="T872" s="307"/>
      <c r="U872" s="307"/>
      <c r="V872" s="307"/>
      <c r="W872" s="307"/>
      <c r="X872" s="307"/>
      <c r="Y872" s="307"/>
      <c r="Z872" s="307"/>
    </row>
    <row r="873" spans="1:26" ht="17.399999999999999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  <c r="M873" s="307"/>
      <c r="N873" s="307"/>
      <c r="O873" s="307"/>
      <c r="P873" s="307"/>
      <c r="Q873" s="307"/>
      <c r="R873" s="307"/>
      <c r="S873" s="307"/>
      <c r="T873" s="307"/>
      <c r="U873" s="307"/>
      <c r="V873" s="307"/>
      <c r="W873" s="307"/>
      <c r="X873" s="307"/>
      <c r="Y873" s="307"/>
      <c r="Z873" s="307"/>
    </row>
    <row r="874" spans="1:26" ht="17.399999999999999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  <c r="M874" s="307"/>
      <c r="N874" s="307"/>
      <c r="O874" s="307"/>
      <c r="P874" s="307"/>
      <c r="Q874" s="307"/>
      <c r="R874" s="307"/>
      <c r="S874" s="307"/>
      <c r="T874" s="307"/>
      <c r="U874" s="307"/>
      <c r="V874" s="307"/>
      <c r="W874" s="307"/>
      <c r="X874" s="307"/>
      <c r="Y874" s="307"/>
      <c r="Z874" s="307"/>
    </row>
    <row r="875" spans="1:26" ht="17.399999999999999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  <c r="M875" s="307"/>
      <c r="N875" s="307"/>
      <c r="O875" s="307"/>
      <c r="P875" s="307"/>
      <c r="Q875" s="307"/>
      <c r="R875" s="307"/>
      <c r="S875" s="307"/>
      <c r="T875" s="307"/>
      <c r="U875" s="307"/>
      <c r="V875" s="307"/>
      <c r="W875" s="307"/>
      <c r="X875" s="307"/>
      <c r="Y875" s="307"/>
      <c r="Z875" s="307"/>
    </row>
    <row r="876" spans="1:26" ht="17.399999999999999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  <c r="M876" s="307"/>
      <c r="N876" s="307"/>
      <c r="O876" s="307"/>
      <c r="P876" s="307"/>
      <c r="Q876" s="307"/>
      <c r="R876" s="307"/>
      <c r="S876" s="307"/>
      <c r="T876" s="307"/>
      <c r="U876" s="307"/>
      <c r="V876" s="307"/>
      <c r="W876" s="307"/>
      <c r="X876" s="307"/>
      <c r="Y876" s="307"/>
      <c r="Z876" s="307"/>
    </row>
    <row r="877" spans="1:26" ht="17.399999999999999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  <c r="M877" s="307"/>
      <c r="N877" s="307"/>
      <c r="O877" s="307"/>
      <c r="P877" s="307"/>
      <c r="Q877" s="307"/>
      <c r="R877" s="307"/>
      <c r="S877" s="307"/>
      <c r="T877" s="307"/>
      <c r="U877" s="307"/>
      <c r="V877" s="307"/>
      <c r="W877" s="307"/>
      <c r="X877" s="307"/>
      <c r="Y877" s="307"/>
      <c r="Z877" s="307"/>
    </row>
    <row r="878" spans="1:26" ht="17.399999999999999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  <c r="M878" s="307"/>
      <c r="N878" s="307"/>
      <c r="O878" s="307"/>
      <c r="P878" s="307"/>
      <c r="Q878" s="307"/>
      <c r="R878" s="307"/>
      <c r="S878" s="307"/>
      <c r="T878" s="307"/>
      <c r="U878" s="307"/>
      <c r="V878" s="307"/>
      <c r="W878" s="307"/>
      <c r="X878" s="307"/>
      <c r="Y878" s="307"/>
      <c r="Z878" s="307"/>
    </row>
    <row r="879" spans="1:26" ht="17.399999999999999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  <c r="M879" s="307"/>
      <c r="N879" s="307"/>
      <c r="O879" s="307"/>
      <c r="P879" s="307"/>
      <c r="Q879" s="307"/>
      <c r="R879" s="307"/>
      <c r="S879" s="307"/>
      <c r="T879" s="307"/>
      <c r="U879" s="307"/>
      <c r="V879" s="307"/>
      <c r="W879" s="307"/>
      <c r="X879" s="307"/>
      <c r="Y879" s="307"/>
      <c r="Z879" s="307"/>
    </row>
    <row r="880" spans="1:26" ht="17.399999999999999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  <c r="M880" s="307"/>
      <c r="N880" s="307"/>
      <c r="O880" s="307"/>
      <c r="P880" s="307"/>
      <c r="Q880" s="307"/>
      <c r="R880" s="307"/>
      <c r="S880" s="307"/>
      <c r="T880" s="307"/>
      <c r="U880" s="307"/>
      <c r="V880" s="307"/>
      <c r="W880" s="307"/>
      <c r="X880" s="307"/>
      <c r="Y880" s="307"/>
      <c r="Z880" s="307"/>
    </row>
    <row r="881" spans="1:26" ht="17.399999999999999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  <c r="M881" s="307"/>
      <c r="N881" s="307"/>
      <c r="O881" s="307"/>
      <c r="P881" s="307"/>
      <c r="Q881" s="307"/>
      <c r="R881" s="307"/>
      <c r="S881" s="307"/>
      <c r="T881" s="307"/>
      <c r="U881" s="307"/>
      <c r="V881" s="307"/>
      <c r="W881" s="307"/>
      <c r="X881" s="307"/>
      <c r="Y881" s="307"/>
      <c r="Z881" s="307"/>
    </row>
    <row r="882" spans="1:26" ht="17.399999999999999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  <c r="M882" s="307"/>
      <c r="N882" s="307"/>
      <c r="O882" s="307"/>
      <c r="P882" s="307"/>
      <c r="Q882" s="307"/>
      <c r="R882" s="307"/>
      <c r="S882" s="307"/>
      <c r="T882" s="307"/>
      <c r="U882" s="307"/>
      <c r="V882" s="307"/>
      <c r="W882" s="307"/>
      <c r="X882" s="307"/>
      <c r="Y882" s="307"/>
      <c r="Z882" s="307"/>
    </row>
    <row r="883" spans="1:26" ht="17.399999999999999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  <c r="M883" s="307"/>
      <c r="N883" s="307"/>
      <c r="O883" s="307"/>
      <c r="P883" s="307"/>
      <c r="Q883" s="307"/>
      <c r="R883" s="307"/>
      <c r="S883" s="307"/>
      <c r="T883" s="307"/>
      <c r="U883" s="307"/>
      <c r="V883" s="307"/>
      <c r="W883" s="307"/>
      <c r="X883" s="307"/>
      <c r="Y883" s="307"/>
      <c r="Z883" s="307"/>
    </row>
    <row r="884" spans="1:26" ht="17.399999999999999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  <c r="M884" s="307"/>
      <c r="N884" s="307"/>
      <c r="O884" s="307"/>
      <c r="P884" s="307"/>
      <c r="Q884" s="307"/>
      <c r="R884" s="307"/>
      <c r="S884" s="307"/>
      <c r="T884" s="307"/>
      <c r="U884" s="307"/>
      <c r="V884" s="307"/>
      <c r="W884" s="307"/>
      <c r="X884" s="307"/>
      <c r="Y884" s="307"/>
      <c r="Z884" s="307"/>
    </row>
    <row r="885" spans="1:26" ht="17.399999999999999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  <c r="M885" s="307"/>
      <c r="N885" s="307"/>
      <c r="O885" s="307"/>
      <c r="P885" s="307"/>
      <c r="Q885" s="307"/>
      <c r="R885" s="307"/>
      <c r="S885" s="307"/>
      <c r="T885" s="307"/>
      <c r="U885" s="307"/>
      <c r="V885" s="307"/>
      <c r="W885" s="307"/>
      <c r="X885" s="307"/>
      <c r="Y885" s="307"/>
      <c r="Z885" s="307"/>
    </row>
    <row r="886" spans="1:26" ht="17.399999999999999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  <c r="M886" s="307"/>
      <c r="N886" s="307"/>
      <c r="O886" s="307"/>
      <c r="P886" s="307"/>
      <c r="Q886" s="307"/>
      <c r="R886" s="307"/>
      <c r="S886" s="307"/>
      <c r="T886" s="307"/>
      <c r="U886" s="307"/>
      <c r="V886" s="307"/>
      <c r="W886" s="307"/>
      <c r="X886" s="307"/>
      <c r="Y886" s="307"/>
      <c r="Z886" s="307"/>
    </row>
    <row r="887" spans="1:26" ht="17.399999999999999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  <c r="M887" s="307"/>
      <c r="N887" s="307"/>
      <c r="O887" s="307"/>
      <c r="P887" s="307"/>
      <c r="Q887" s="307"/>
      <c r="R887" s="307"/>
      <c r="S887" s="307"/>
      <c r="T887" s="307"/>
      <c r="U887" s="307"/>
      <c r="V887" s="307"/>
      <c r="W887" s="307"/>
      <c r="X887" s="307"/>
      <c r="Y887" s="307"/>
      <c r="Z887" s="307"/>
    </row>
    <row r="888" spans="1:26" ht="17.399999999999999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  <c r="M888" s="307"/>
      <c r="N888" s="307"/>
      <c r="O888" s="307"/>
      <c r="P888" s="307"/>
      <c r="Q888" s="307"/>
      <c r="R888" s="307"/>
      <c r="S888" s="307"/>
      <c r="T888" s="307"/>
      <c r="U888" s="307"/>
      <c r="V888" s="307"/>
      <c r="W888" s="307"/>
      <c r="X888" s="307"/>
      <c r="Y888" s="307"/>
      <c r="Z888" s="307"/>
    </row>
    <row r="889" spans="1:26" ht="17.399999999999999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  <c r="M889" s="307"/>
      <c r="N889" s="307"/>
      <c r="O889" s="307"/>
      <c r="P889" s="307"/>
      <c r="Q889" s="307"/>
      <c r="R889" s="307"/>
      <c r="S889" s="307"/>
      <c r="T889" s="307"/>
      <c r="U889" s="307"/>
      <c r="V889" s="307"/>
      <c r="W889" s="307"/>
      <c r="X889" s="307"/>
      <c r="Y889" s="307"/>
      <c r="Z889" s="307"/>
    </row>
    <row r="890" spans="1:26" ht="17.399999999999999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  <c r="M890" s="307"/>
      <c r="N890" s="307"/>
      <c r="O890" s="307"/>
      <c r="P890" s="307"/>
      <c r="Q890" s="307"/>
      <c r="R890" s="307"/>
      <c r="S890" s="307"/>
      <c r="T890" s="307"/>
      <c r="U890" s="307"/>
      <c r="V890" s="307"/>
      <c r="W890" s="307"/>
      <c r="X890" s="307"/>
      <c r="Y890" s="307"/>
      <c r="Z890" s="307"/>
    </row>
    <row r="891" spans="1:26" ht="17.399999999999999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  <c r="M891" s="307"/>
      <c r="N891" s="307"/>
      <c r="O891" s="307"/>
      <c r="P891" s="307"/>
      <c r="Q891" s="307"/>
      <c r="R891" s="307"/>
      <c r="S891" s="307"/>
      <c r="T891" s="307"/>
      <c r="U891" s="307"/>
      <c r="V891" s="307"/>
      <c r="W891" s="307"/>
      <c r="X891" s="307"/>
      <c r="Y891" s="307"/>
      <c r="Z891" s="307"/>
    </row>
    <row r="892" spans="1:26" ht="17.399999999999999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  <c r="M892" s="307"/>
      <c r="N892" s="307"/>
      <c r="O892" s="307"/>
      <c r="P892" s="307"/>
      <c r="Q892" s="307"/>
      <c r="R892" s="307"/>
      <c r="S892" s="307"/>
      <c r="T892" s="307"/>
      <c r="U892" s="307"/>
      <c r="V892" s="307"/>
      <c r="W892" s="307"/>
      <c r="X892" s="307"/>
      <c r="Y892" s="307"/>
      <c r="Z892" s="307"/>
    </row>
    <row r="893" spans="1:26" ht="17.399999999999999">
      <c r="A893" s="307"/>
      <c r="B893" s="307"/>
      <c r="C893" s="307"/>
      <c r="D893" s="307"/>
      <c r="E893" s="307"/>
      <c r="F893" s="307"/>
      <c r="G893" s="307"/>
      <c r="H893" s="307"/>
      <c r="I893" s="307"/>
      <c r="J893" s="307"/>
      <c r="K893" s="307"/>
      <c r="L893" s="307"/>
      <c r="M893" s="307"/>
      <c r="N893" s="307"/>
      <c r="O893" s="307"/>
      <c r="P893" s="307"/>
      <c r="Q893" s="307"/>
      <c r="R893" s="307"/>
      <c r="S893" s="307"/>
      <c r="T893" s="307"/>
      <c r="U893" s="307"/>
      <c r="V893" s="307"/>
      <c r="W893" s="307"/>
      <c r="X893" s="307"/>
      <c r="Y893" s="307"/>
      <c r="Z893" s="307"/>
    </row>
    <row r="894" spans="1:26" ht="17.399999999999999">
      <c r="A894" s="307"/>
      <c r="B894" s="307"/>
      <c r="C894" s="307"/>
      <c r="D894" s="307"/>
      <c r="E894" s="307"/>
      <c r="F894" s="307"/>
      <c r="G894" s="307"/>
      <c r="H894" s="307"/>
      <c r="I894" s="307"/>
      <c r="J894" s="307"/>
      <c r="K894" s="307"/>
      <c r="L894" s="307"/>
      <c r="M894" s="307"/>
      <c r="N894" s="307"/>
      <c r="O894" s="307"/>
      <c r="P894" s="307"/>
      <c r="Q894" s="307"/>
      <c r="R894" s="307"/>
      <c r="S894" s="307"/>
      <c r="T894" s="307"/>
      <c r="U894" s="307"/>
      <c r="V894" s="307"/>
      <c r="W894" s="307"/>
      <c r="X894" s="307"/>
      <c r="Y894" s="307"/>
      <c r="Z894" s="307"/>
    </row>
    <row r="895" spans="1:26" ht="17.399999999999999">
      <c r="A895" s="307"/>
      <c r="B895" s="307"/>
      <c r="C895" s="307"/>
      <c r="D895" s="307"/>
      <c r="E895" s="307"/>
      <c r="F895" s="307"/>
      <c r="G895" s="307"/>
      <c r="H895" s="307"/>
      <c r="I895" s="307"/>
      <c r="J895" s="307"/>
      <c r="K895" s="307"/>
      <c r="L895" s="307"/>
      <c r="M895" s="307"/>
      <c r="N895" s="307"/>
      <c r="O895" s="307"/>
      <c r="P895" s="307"/>
      <c r="Q895" s="307"/>
      <c r="R895" s="307"/>
      <c r="S895" s="307"/>
      <c r="T895" s="307"/>
      <c r="U895" s="307"/>
      <c r="V895" s="307"/>
      <c r="W895" s="307"/>
      <c r="X895" s="307"/>
      <c r="Y895" s="307"/>
      <c r="Z895" s="307"/>
    </row>
    <row r="896" spans="1:26" ht="17.399999999999999">
      <c r="A896" s="307"/>
      <c r="B896" s="307"/>
      <c r="C896" s="307"/>
      <c r="D896" s="307"/>
      <c r="E896" s="307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</row>
    <row r="897" spans="1:26" ht="17.399999999999999">
      <c r="A897" s="307"/>
      <c r="B897" s="307"/>
      <c r="C897" s="307"/>
      <c r="D897" s="307"/>
      <c r="E897" s="307"/>
      <c r="F897" s="307"/>
      <c r="G897" s="307"/>
      <c r="H897" s="307"/>
      <c r="I897" s="307"/>
      <c r="J897" s="307"/>
      <c r="K897" s="307"/>
      <c r="L897" s="307"/>
      <c r="M897" s="307"/>
      <c r="N897" s="307"/>
      <c r="O897" s="307"/>
      <c r="P897" s="307"/>
      <c r="Q897" s="307"/>
      <c r="R897" s="307"/>
      <c r="S897" s="307"/>
      <c r="T897" s="307"/>
      <c r="U897" s="307"/>
      <c r="V897" s="307"/>
      <c r="W897" s="307"/>
      <c r="X897" s="307"/>
      <c r="Y897" s="307"/>
      <c r="Z897" s="307"/>
    </row>
    <row r="898" spans="1:26" ht="17.399999999999999">
      <c r="A898" s="307"/>
      <c r="B898" s="307"/>
      <c r="C898" s="307"/>
      <c r="D898" s="307"/>
      <c r="E898" s="307"/>
      <c r="F898" s="307"/>
      <c r="G898" s="307"/>
      <c r="H898" s="307"/>
      <c r="I898" s="307"/>
      <c r="J898" s="307"/>
      <c r="K898" s="307"/>
      <c r="L898" s="307"/>
      <c r="M898" s="307"/>
      <c r="N898" s="307"/>
      <c r="O898" s="307"/>
      <c r="P898" s="307"/>
      <c r="Q898" s="307"/>
      <c r="R898" s="307"/>
      <c r="S898" s="307"/>
      <c r="T898" s="307"/>
      <c r="U898" s="307"/>
      <c r="V898" s="307"/>
      <c r="W898" s="307"/>
      <c r="X898" s="307"/>
      <c r="Y898" s="307"/>
      <c r="Z898" s="307"/>
    </row>
    <row r="899" spans="1:26" ht="17.399999999999999">
      <c r="A899" s="307"/>
      <c r="B899" s="307"/>
      <c r="C899" s="307"/>
      <c r="D899" s="307"/>
      <c r="E899" s="307"/>
      <c r="F899" s="307"/>
      <c r="G899" s="307"/>
      <c r="H899" s="307"/>
      <c r="I899" s="307"/>
      <c r="J899" s="307"/>
      <c r="K899" s="307"/>
      <c r="L899" s="307"/>
      <c r="M899" s="307"/>
      <c r="N899" s="307"/>
      <c r="O899" s="307"/>
      <c r="P899" s="307"/>
      <c r="Q899" s="307"/>
      <c r="R899" s="307"/>
      <c r="S899" s="307"/>
      <c r="T899" s="307"/>
      <c r="U899" s="307"/>
      <c r="V899" s="307"/>
      <c r="W899" s="307"/>
      <c r="X899" s="307"/>
      <c r="Y899" s="307"/>
      <c r="Z899" s="307"/>
    </row>
    <row r="900" spans="1:26" ht="17.399999999999999">
      <c r="A900" s="307"/>
      <c r="B900" s="307"/>
      <c r="C900" s="307"/>
      <c r="D900" s="307"/>
      <c r="E900" s="307"/>
      <c r="F900" s="307"/>
      <c r="G900" s="307"/>
      <c r="H900" s="307"/>
      <c r="I900" s="307"/>
      <c r="J900" s="307"/>
      <c r="K900" s="307"/>
      <c r="L900" s="307"/>
      <c r="M900" s="307"/>
      <c r="N900" s="307"/>
      <c r="O900" s="307"/>
      <c r="P900" s="307"/>
      <c r="Q900" s="307"/>
      <c r="R900" s="307"/>
      <c r="S900" s="307"/>
      <c r="T900" s="307"/>
      <c r="U900" s="307"/>
      <c r="V900" s="307"/>
      <c r="W900" s="307"/>
      <c r="X900" s="307"/>
      <c r="Y900" s="307"/>
      <c r="Z900" s="307"/>
    </row>
    <row r="901" spans="1:26" ht="17.399999999999999">
      <c r="A901" s="307"/>
      <c r="B901" s="307"/>
      <c r="C901" s="307"/>
      <c r="D901" s="307"/>
      <c r="E901" s="307"/>
      <c r="F901" s="307"/>
      <c r="G901" s="307"/>
      <c r="H901" s="307"/>
      <c r="I901" s="307"/>
      <c r="J901" s="307"/>
      <c r="K901" s="307"/>
      <c r="L901" s="307"/>
      <c r="M901" s="307"/>
      <c r="N901" s="307"/>
      <c r="O901" s="307"/>
      <c r="P901" s="307"/>
      <c r="Q901" s="307"/>
      <c r="R901" s="307"/>
      <c r="S901" s="307"/>
      <c r="T901" s="307"/>
      <c r="U901" s="307"/>
      <c r="V901" s="307"/>
      <c r="W901" s="307"/>
      <c r="X901" s="307"/>
      <c r="Y901" s="307"/>
      <c r="Z901" s="307"/>
    </row>
    <row r="902" spans="1:26" ht="17.399999999999999">
      <c r="A902" s="307"/>
      <c r="B902" s="307"/>
      <c r="C902" s="307"/>
      <c r="D902" s="307"/>
      <c r="E902" s="307"/>
      <c r="F902" s="307"/>
      <c r="G902" s="307"/>
      <c r="H902" s="307"/>
      <c r="I902" s="307"/>
      <c r="J902" s="307"/>
      <c r="K902" s="307"/>
      <c r="L902" s="307"/>
      <c r="M902" s="307"/>
      <c r="N902" s="307"/>
      <c r="O902" s="307"/>
      <c r="P902" s="307"/>
      <c r="Q902" s="307"/>
      <c r="R902" s="307"/>
      <c r="S902" s="307"/>
      <c r="T902" s="307"/>
      <c r="U902" s="307"/>
      <c r="V902" s="307"/>
      <c r="W902" s="307"/>
      <c r="X902" s="307"/>
      <c r="Y902" s="307"/>
      <c r="Z902" s="307"/>
    </row>
    <row r="903" spans="1:26" ht="17.399999999999999">
      <c r="A903" s="307"/>
      <c r="B903" s="307"/>
      <c r="C903" s="307"/>
      <c r="D903" s="307"/>
      <c r="E903" s="307"/>
      <c r="F903" s="307"/>
      <c r="G903" s="307"/>
      <c r="H903" s="307"/>
      <c r="I903" s="307"/>
      <c r="J903" s="307"/>
      <c r="K903" s="307"/>
      <c r="L903" s="307"/>
      <c r="M903" s="307"/>
      <c r="N903" s="307"/>
      <c r="O903" s="307"/>
      <c r="P903" s="307"/>
      <c r="Q903" s="307"/>
      <c r="R903" s="307"/>
      <c r="S903" s="307"/>
      <c r="T903" s="307"/>
      <c r="U903" s="307"/>
      <c r="V903" s="307"/>
      <c r="W903" s="307"/>
      <c r="X903" s="307"/>
      <c r="Y903" s="307"/>
      <c r="Z903" s="307"/>
    </row>
    <row r="904" spans="1:26" ht="17.399999999999999">
      <c r="A904" s="307"/>
      <c r="B904" s="307"/>
      <c r="C904" s="307"/>
      <c r="D904" s="307"/>
      <c r="E904" s="307"/>
      <c r="F904" s="307"/>
      <c r="G904" s="307"/>
      <c r="H904" s="307"/>
      <c r="I904" s="307"/>
      <c r="J904" s="307"/>
      <c r="K904" s="307"/>
      <c r="L904" s="307"/>
      <c r="M904" s="307"/>
      <c r="N904" s="307"/>
      <c r="O904" s="307"/>
      <c r="P904" s="307"/>
      <c r="Q904" s="307"/>
      <c r="R904" s="307"/>
      <c r="S904" s="307"/>
      <c r="T904" s="307"/>
      <c r="U904" s="307"/>
      <c r="V904" s="307"/>
      <c r="W904" s="307"/>
      <c r="X904" s="307"/>
      <c r="Y904" s="307"/>
      <c r="Z904" s="307"/>
    </row>
    <row r="905" spans="1:26" ht="17.399999999999999">
      <c r="A905" s="307"/>
      <c r="B905" s="307"/>
      <c r="C905" s="307"/>
      <c r="D905" s="307"/>
      <c r="E905" s="307"/>
      <c r="F905" s="307"/>
      <c r="G905" s="307"/>
      <c r="H905" s="307"/>
      <c r="I905" s="307"/>
      <c r="J905" s="307"/>
      <c r="K905" s="307"/>
      <c r="L905" s="307"/>
      <c r="M905" s="307"/>
      <c r="N905" s="307"/>
      <c r="O905" s="307"/>
      <c r="P905" s="307"/>
      <c r="Q905" s="307"/>
      <c r="R905" s="307"/>
      <c r="S905" s="307"/>
      <c r="T905" s="307"/>
      <c r="U905" s="307"/>
      <c r="V905" s="307"/>
      <c r="W905" s="307"/>
      <c r="X905" s="307"/>
      <c r="Y905" s="307"/>
      <c r="Z905" s="307"/>
    </row>
    <row r="906" spans="1:26" ht="17.399999999999999">
      <c r="A906" s="307"/>
      <c r="B906" s="307"/>
      <c r="C906" s="307"/>
      <c r="D906" s="307"/>
      <c r="E906" s="307"/>
      <c r="F906" s="307"/>
      <c r="G906" s="307"/>
      <c r="H906" s="307"/>
      <c r="I906" s="307"/>
      <c r="J906" s="307"/>
      <c r="K906" s="307"/>
      <c r="L906" s="307"/>
      <c r="M906" s="307"/>
      <c r="N906" s="307"/>
      <c r="O906" s="307"/>
      <c r="P906" s="307"/>
      <c r="Q906" s="307"/>
      <c r="R906" s="307"/>
      <c r="S906" s="307"/>
      <c r="T906" s="307"/>
      <c r="U906" s="307"/>
      <c r="V906" s="307"/>
      <c r="W906" s="307"/>
      <c r="X906" s="307"/>
      <c r="Y906" s="307"/>
      <c r="Z906" s="307"/>
    </row>
    <row r="907" spans="1:26" ht="17.399999999999999">
      <c r="A907" s="307"/>
      <c r="B907" s="307"/>
      <c r="C907" s="307"/>
      <c r="D907" s="307"/>
      <c r="E907" s="307"/>
      <c r="F907" s="307"/>
      <c r="G907" s="307"/>
      <c r="H907" s="307"/>
      <c r="I907" s="307"/>
      <c r="J907" s="307"/>
      <c r="K907" s="307"/>
      <c r="L907" s="307"/>
      <c r="M907" s="307"/>
      <c r="N907" s="307"/>
      <c r="O907" s="307"/>
      <c r="P907" s="307"/>
      <c r="Q907" s="307"/>
      <c r="R907" s="307"/>
      <c r="S907" s="307"/>
      <c r="T907" s="307"/>
      <c r="U907" s="307"/>
      <c r="V907" s="307"/>
      <c r="W907" s="307"/>
      <c r="X907" s="307"/>
      <c r="Y907" s="307"/>
      <c r="Z907" s="307"/>
    </row>
    <row r="908" spans="1:26" ht="17.399999999999999">
      <c r="A908" s="307"/>
      <c r="B908" s="307"/>
      <c r="C908" s="307"/>
      <c r="D908" s="307"/>
      <c r="E908" s="307"/>
      <c r="F908" s="307"/>
      <c r="G908" s="307"/>
      <c r="H908" s="307"/>
      <c r="I908" s="307"/>
      <c r="J908" s="307"/>
      <c r="K908" s="307"/>
      <c r="L908" s="307"/>
      <c r="M908" s="307"/>
      <c r="N908" s="307"/>
      <c r="O908" s="307"/>
      <c r="P908" s="307"/>
      <c r="Q908" s="307"/>
      <c r="R908" s="307"/>
      <c r="S908" s="307"/>
      <c r="T908" s="307"/>
      <c r="U908" s="307"/>
      <c r="V908" s="307"/>
      <c r="W908" s="307"/>
      <c r="X908" s="307"/>
      <c r="Y908" s="307"/>
      <c r="Z908" s="307"/>
    </row>
    <row r="909" spans="1:26" ht="17.399999999999999">
      <c r="A909" s="307"/>
      <c r="B909" s="307"/>
      <c r="C909" s="307"/>
      <c r="D909" s="307"/>
      <c r="E909" s="307"/>
      <c r="F909" s="307"/>
      <c r="G909" s="307"/>
      <c r="H909" s="307"/>
      <c r="I909" s="307"/>
      <c r="J909" s="307"/>
      <c r="K909" s="307"/>
      <c r="L909" s="307"/>
      <c r="M909" s="307"/>
      <c r="N909" s="307"/>
      <c r="O909" s="307"/>
      <c r="P909" s="307"/>
      <c r="Q909" s="307"/>
      <c r="R909" s="307"/>
      <c r="S909" s="307"/>
      <c r="T909" s="307"/>
      <c r="U909" s="307"/>
      <c r="V909" s="307"/>
      <c r="W909" s="307"/>
      <c r="X909" s="307"/>
      <c r="Y909" s="307"/>
      <c r="Z909" s="307"/>
    </row>
    <row r="910" spans="1:26" ht="17.399999999999999">
      <c r="A910" s="307"/>
      <c r="B910" s="307"/>
      <c r="C910" s="307"/>
      <c r="D910" s="307"/>
      <c r="E910" s="307"/>
      <c r="F910" s="307"/>
      <c r="G910" s="307"/>
      <c r="H910" s="307"/>
      <c r="I910" s="307"/>
      <c r="J910" s="307"/>
      <c r="K910" s="307"/>
      <c r="L910" s="307"/>
      <c r="M910" s="307"/>
      <c r="N910" s="307"/>
      <c r="O910" s="307"/>
      <c r="P910" s="307"/>
      <c r="Q910" s="307"/>
      <c r="R910" s="307"/>
      <c r="S910" s="307"/>
      <c r="T910" s="307"/>
      <c r="U910" s="307"/>
      <c r="V910" s="307"/>
      <c r="W910" s="307"/>
      <c r="X910" s="307"/>
      <c r="Y910" s="307"/>
      <c r="Z910" s="307"/>
    </row>
    <row r="911" spans="1:26" ht="17.399999999999999">
      <c r="A911" s="307"/>
      <c r="B911" s="307"/>
      <c r="C911" s="307"/>
      <c r="D911" s="307"/>
      <c r="E911" s="307"/>
      <c r="F911" s="307"/>
      <c r="G911" s="307"/>
      <c r="H911" s="307"/>
      <c r="I911" s="307"/>
      <c r="J911" s="307"/>
      <c r="K911" s="307"/>
      <c r="L911" s="307"/>
      <c r="M911" s="307"/>
      <c r="N911" s="307"/>
      <c r="O911" s="307"/>
      <c r="P911" s="307"/>
      <c r="Q911" s="307"/>
      <c r="R911" s="307"/>
      <c r="S911" s="307"/>
      <c r="T911" s="307"/>
      <c r="U911" s="307"/>
      <c r="V911" s="307"/>
      <c r="W911" s="307"/>
      <c r="X911" s="307"/>
      <c r="Y911" s="307"/>
      <c r="Z911" s="307"/>
    </row>
    <row r="912" spans="1:26" ht="17.399999999999999">
      <c r="A912" s="307"/>
      <c r="B912" s="307"/>
      <c r="C912" s="307"/>
      <c r="D912" s="307"/>
      <c r="E912" s="307"/>
      <c r="F912" s="307"/>
      <c r="G912" s="307"/>
      <c r="H912" s="307"/>
      <c r="I912" s="307"/>
      <c r="J912" s="307"/>
      <c r="K912" s="307"/>
      <c r="L912" s="307"/>
      <c r="M912" s="307"/>
      <c r="N912" s="307"/>
      <c r="O912" s="307"/>
      <c r="P912" s="307"/>
      <c r="Q912" s="307"/>
      <c r="R912" s="307"/>
      <c r="S912" s="307"/>
      <c r="T912" s="307"/>
      <c r="U912" s="307"/>
      <c r="V912" s="307"/>
      <c r="W912" s="307"/>
      <c r="X912" s="307"/>
      <c r="Y912" s="307"/>
      <c r="Z912" s="307"/>
    </row>
    <row r="913" spans="1:26" ht="17.399999999999999">
      <c r="A913" s="307"/>
      <c r="B913" s="307"/>
      <c r="C913" s="307"/>
      <c r="D913" s="307"/>
      <c r="E913" s="307"/>
      <c r="F913" s="307"/>
      <c r="G913" s="307"/>
      <c r="H913" s="307"/>
      <c r="I913" s="307"/>
      <c r="J913" s="307"/>
      <c r="K913" s="307"/>
      <c r="L913" s="307"/>
      <c r="M913" s="307"/>
      <c r="N913" s="307"/>
      <c r="O913" s="307"/>
      <c r="P913" s="307"/>
      <c r="Q913" s="307"/>
      <c r="R913" s="307"/>
      <c r="S913" s="307"/>
      <c r="T913" s="307"/>
      <c r="U913" s="307"/>
      <c r="V913" s="307"/>
      <c r="W913" s="307"/>
      <c r="X913" s="307"/>
      <c r="Y913" s="307"/>
      <c r="Z913" s="307"/>
    </row>
    <row r="914" spans="1:26" ht="17.399999999999999">
      <c r="A914" s="307"/>
      <c r="B914" s="307"/>
      <c r="C914" s="307"/>
      <c r="D914" s="307"/>
      <c r="E914" s="307"/>
      <c r="F914" s="307"/>
      <c r="G914" s="307"/>
      <c r="H914" s="307"/>
      <c r="I914" s="307"/>
      <c r="J914" s="307"/>
      <c r="K914" s="307"/>
      <c r="L914" s="307"/>
      <c r="M914" s="307"/>
      <c r="N914" s="307"/>
      <c r="O914" s="307"/>
      <c r="P914" s="307"/>
      <c r="Q914" s="307"/>
      <c r="R914" s="307"/>
      <c r="S914" s="307"/>
      <c r="T914" s="307"/>
      <c r="U914" s="307"/>
      <c r="V914" s="307"/>
      <c r="W914" s="307"/>
      <c r="X914" s="307"/>
      <c r="Y914" s="307"/>
      <c r="Z914" s="307"/>
    </row>
    <row r="915" spans="1:26" ht="17.399999999999999">
      <c r="A915" s="307"/>
      <c r="B915" s="307"/>
      <c r="C915" s="307"/>
      <c r="D915" s="307"/>
      <c r="E915" s="307"/>
      <c r="F915" s="307"/>
      <c r="G915" s="307"/>
      <c r="H915" s="307"/>
      <c r="I915" s="307"/>
      <c r="J915" s="307"/>
      <c r="K915" s="307"/>
      <c r="L915" s="307"/>
      <c r="M915" s="307"/>
      <c r="N915" s="307"/>
      <c r="O915" s="307"/>
      <c r="P915" s="307"/>
      <c r="Q915" s="307"/>
      <c r="R915" s="307"/>
      <c r="S915" s="307"/>
      <c r="T915" s="307"/>
      <c r="U915" s="307"/>
      <c r="V915" s="307"/>
      <c r="W915" s="307"/>
      <c r="X915" s="307"/>
      <c r="Y915" s="307"/>
      <c r="Z915" s="307"/>
    </row>
    <row r="916" spans="1:26" ht="17.399999999999999">
      <c r="A916" s="307"/>
      <c r="B916" s="307"/>
      <c r="C916" s="307"/>
      <c r="D916" s="307"/>
      <c r="E916" s="307"/>
      <c r="F916" s="307"/>
      <c r="G916" s="307"/>
      <c r="H916" s="307"/>
      <c r="I916" s="307"/>
      <c r="J916" s="307"/>
      <c r="K916" s="307"/>
      <c r="L916" s="307"/>
      <c r="M916" s="307"/>
      <c r="N916" s="307"/>
      <c r="O916" s="307"/>
      <c r="P916" s="307"/>
      <c r="Q916" s="307"/>
      <c r="R916" s="307"/>
      <c r="S916" s="307"/>
      <c r="T916" s="307"/>
      <c r="U916" s="307"/>
      <c r="V916" s="307"/>
      <c r="W916" s="307"/>
      <c r="X916" s="307"/>
      <c r="Y916" s="307"/>
      <c r="Z916" s="307"/>
    </row>
    <row r="917" spans="1:26" ht="17.399999999999999">
      <c r="A917" s="307"/>
      <c r="B917" s="307"/>
      <c r="C917" s="307"/>
      <c r="D917" s="307"/>
      <c r="E917" s="307"/>
      <c r="F917" s="307"/>
      <c r="G917" s="307"/>
      <c r="H917" s="307"/>
      <c r="I917" s="307"/>
      <c r="J917" s="307"/>
      <c r="K917" s="307"/>
      <c r="L917" s="307"/>
      <c r="M917" s="307"/>
      <c r="N917" s="307"/>
      <c r="O917" s="307"/>
      <c r="P917" s="307"/>
      <c r="Q917" s="307"/>
      <c r="R917" s="307"/>
      <c r="S917" s="307"/>
      <c r="T917" s="307"/>
      <c r="U917" s="307"/>
      <c r="V917" s="307"/>
      <c r="W917" s="307"/>
      <c r="X917" s="307"/>
      <c r="Y917" s="307"/>
      <c r="Z917" s="307"/>
    </row>
    <row r="918" spans="1:26" ht="17.399999999999999">
      <c r="A918" s="307"/>
      <c r="B918" s="307"/>
      <c r="C918" s="307"/>
      <c r="D918" s="307"/>
      <c r="E918" s="307"/>
      <c r="F918" s="307"/>
      <c r="G918" s="307"/>
      <c r="H918" s="307"/>
      <c r="I918" s="307"/>
      <c r="J918" s="307"/>
      <c r="K918" s="307"/>
      <c r="L918" s="307"/>
      <c r="M918" s="307"/>
      <c r="N918" s="307"/>
      <c r="O918" s="307"/>
      <c r="P918" s="307"/>
      <c r="Q918" s="307"/>
      <c r="R918" s="307"/>
      <c r="S918" s="307"/>
      <c r="T918" s="307"/>
      <c r="U918" s="307"/>
      <c r="V918" s="307"/>
      <c r="W918" s="307"/>
      <c r="X918" s="307"/>
      <c r="Y918" s="307"/>
      <c r="Z918" s="307"/>
    </row>
    <row r="919" spans="1:26" ht="17.399999999999999">
      <c r="A919" s="307"/>
      <c r="B919" s="307"/>
      <c r="C919" s="307"/>
      <c r="D919" s="307"/>
      <c r="E919" s="307"/>
      <c r="F919" s="307"/>
      <c r="G919" s="307"/>
      <c r="H919" s="307"/>
      <c r="I919" s="307"/>
      <c r="J919" s="307"/>
      <c r="K919" s="307"/>
      <c r="L919" s="307"/>
      <c r="M919" s="307"/>
      <c r="N919" s="307"/>
      <c r="O919" s="307"/>
      <c r="P919" s="307"/>
      <c r="Q919" s="307"/>
      <c r="R919" s="307"/>
      <c r="S919" s="307"/>
      <c r="T919" s="307"/>
      <c r="U919" s="307"/>
      <c r="V919" s="307"/>
      <c r="W919" s="307"/>
      <c r="X919" s="307"/>
      <c r="Y919" s="307"/>
      <c r="Z919" s="307"/>
    </row>
    <row r="920" spans="1:26" ht="17.399999999999999">
      <c r="A920" s="307"/>
      <c r="B920" s="307"/>
      <c r="C920" s="307"/>
      <c r="D920" s="307"/>
      <c r="E920" s="307"/>
      <c r="F920" s="307"/>
      <c r="G920" s="307"/>
      <c r="H920" s="307"/>
      <c r="I920" s="307"/>
      <c r="J920" s="307"/>
      <c r="K920" s="307"/>
      <c r="L920" s="307"/>
      <c r="M920" s="307"/>
      <c r="N920" s="307"/>
      <c r="O920" s="307"/>
      <c r="P920" s="307"/>
      <c r="Q920" s="307"/>
      <c r="R920" s="307"/>
      <c r="S920" s="307"/>
      <c r="T920" s="307"/>
      <c r="U920" s="307"/>
      <c r="V920" s="307"/>
      <c r="W920" s="307"/>
      <c r="X920" s="307"/>
      <c r="Y920" s="307"/>
      <c r="Z920" s="307"/>
    </row>
    <row r="921" spans="1:26" ht="17.399999999999999">
      <c r="A921" s="307"/>
      <c r="B921" s="307"/>
      <c r="C921" s="307"/>
      <c r="D921" s="307"/>
      <c r="E921" s="307"/>
      <c r="F921" s="307"/>
      <c r="G921" s="307"/>
      <c r="H921" s="307"/>
      <c r="I921" s="307"/>
      <c r="J921" s="307"/>
      <c r="K921" s="307"/>
      <c r="L921" s="307"/>
      <c r="M921" s="307"/>
      <c r="N921" s="307"/>
      <c r="O921" s="307"/>
      <c r="P921" s="307"/>
      <c r="Q921" s="307"/>
      <c r="R921" s="307"/>
      <c r="S921" s="307"/>
      <c r="T921" s="307"/>
      <c r="U921" s="307"/>
      <c r="V921" s="307"/>
      <c r="W921" s="307"/>
      <c r="X921" s="307"/>
      <c r="Y921" s="307"/>
      <c r="Z921" s="307"/>
    </row>
    <row r="922" spans="1:26" ht="17.399999999999999">
      <c r="A922" s="307"/>
      <c r="B922" s="307"/>
      <c r="C922" s="307"/>
      <c r="D922" s="307"/>
      <c r="E922" s="307"/>
      <c r="F922" s="307"/>
      <c r="G922" s="307"/>
      <c r="H922" s="307"/>
      <c r="I922" s="307"/>
      <c r="J922" s="307"/>
      <c r="K922" s="307"/>
      <c r="L922" s="307"/>
      <c r="M922" s="307"/>
      <c r="N922" s="307"/>
      <c r="O922" s="307"/>
      <c r="P922" s="307"/>
      <c r="Q922" s="307"/>
      <c r="R922" s="307"/>
      <c r="S922" s="307"/>
      <c r="T922" s="307"/>
      <c r="U922" s="307"/>
      <c r="V922" s="307"/>
      <c r="W922" s="307"/>
      <c r="X922" s="307"/>
      <c r="Y922" s="307"/>
      <c r="Z922" s="307"/>
    </row>
    <row r="923" spans="1:26" ht="17.399999999999999">
      <c r="A923" s="307"/>
      <c r="B923" s="307"/>
      <c r="C923" s="307"/>
      <c r="D923" s="307"/>
      <c r="E923" s="307"/>
      <c r="F923" s="307"/>
      <c r="G923" s="307"/>
      <c r="H923" s="307"/>
      <c r="I923" s="307"/>
      <c r="J923" s="307"/>
      <c r="K923" s="307"/>
      <c r="L923" s="307"/>
      <c r="M923" s="307"/>
      <c r="N923" s="307"/>
      <c r="O923" s="307"/>
      <c r="P923" s="307"/>
      <c r="Q923" s="307"/>
      <c r="R923" s="307"/>
      <c r="S923" s="307"/>
      <c r="T923" s="307"/>
      <c r="U923" s="307"/>
      <c r="V923" s="307"/>
      <c r="W923" s="307"/>
      <c r="X923" s="307"/>
      <c r="Y923" s="307"/>
      <c r="Z923" s="307"/>
    </row>
    <row r="924" spans="1:26" ht="17.399999999999999">
      <c r="A924" s="307"/>
      <c r="B924" s="307"/>
      <c r="C924" s="307"/>
      <c r="D924" s="307"/>
      <c r="E924" s="307"/>
      <c r="F924" s="307"/>
      <c r="G924" s="307"/>
      <c r="H924" s="307"/>
      <c r="I924" s="307"/>
      <c r="J924" s="307"/>
      <c r="K924" s="307"/>
      <c r="L924" s="307"/>
      <c r="M924" s="307"/>
      <c r="N924" s="307"/>
      <c r="O924" s="307"/>
      <c r="P924" s="307"/>
      <c r="Q924" s="307"/>
      <c r="R924" s="307"/>
      <c r="S924" s="307"/>
      <c r="T924" s="307"/>
      <c r="U924" s="307"/>
      <c r="V924" s="307"/>
      <c r="W924" s="307"/>
      <c r="X924" s="307"/>
      <c r="Y924" s="307"/>
      <c r="Z924" s="307"/>
    </row>
    <row r="925" spans="1:26" ht="17.399999999999999">
      <c r="A925" s="307"/>
      <c r="B925" s="307"/>
      <c r="C925" s="307"/>
      <c r="D925" s="307"/>
      <c r="E925" s="307"/>
      <c r="F925" s="307"/>
      <c r="G925" s="307"/>
      <c r="H925" s="307"/>
      <c r="I925" s="307"/>
      <c r="J925" s="307"/>
      <c r="K925" s="307"/>
      <c r="L925" s="307"/>
      <c r="M925" s="307"/>
      <c r="N925" s="307"/>
      <c r="O925" s="307"/>
      <c r="P925" s="307"/>
      <c r="Q925" s="307"/>
      <c r="R925" s="307"/>
      <c r="S925" s="307"/>
      <c r="T925" s="307"/>
      <c r="U925" s="307"/>
      <c r="V925" s="307"/>
      <c r="W925" s="307"/>
      <c r="X925" s="307"/>
      <c r="Y925" s="307"/>
      <c r="Z925" s="307"/>
    </row>
    <row r="926" spans="1:26" ht="17.399999999999999">
      <c r="A926" s="307"/>
      <c r="B926" s="307"/>
      <c r="C926" s="307"/>
      <c r="D926" s="307"/>
      <c r="E926" s="307"/>
      <c r="F926" s="307"/>
      <c r="G926" s="307"/>
      <c r="H926" s="307"/>
      <c r="I926" s="307"/>
      <c r="J926" s="307"/>
      <c r="K926" s="307"/>
      <c r="L926" s="307"/>
      <c r="M926" s="307"/>
      <c r="N926" s="307"/>
      <c r="O926" s="307"/>
      <c r="P926" s="307"/>
      <c r="Q926" s="307"/>
      <c r="R926" s="307"/>
      <c r="S926" s="307"/>
      <c r="T926" s="307"/>
      <c r="U926" s="307"/>
      <c r="V926" s="307"/>
      <c r="W926" s="307"/>
      <c r="X926" s="307"/>
      <c r="Y926" s="307"/>
      <c r="Z926" s="307"/>
    </row>
    <row r="927" spans="1:26" ht="17.399999999999999">
      <c r="A927" s="307"/>
      <c r="B927" s="307"/>
      <c r="C927" s="307"/>
      <c r="D927" s="307"/>
      <c r="E927" s="307"/>
      <c r="F927" s="307"/>
      <c r="G927" s="307"/>
      <c r="H927" s="307"/>
      <c r="I927" s="307"/>
      <c r="J927" s="307"/>
      <c r="K927" s="307"/>
      <c r="L927" s="307"/>
      <c r="M927" s="307"/>
      <c r="N927" s="307"/>
      <c r="O927" s="307"/>
      <c r="P927" s="307"/>
      <c r="Q927" s="307"/>
      <c r="R927" s="307"/>
      <c r="S927" s="307"/>
      <c r="T927" s="307"/>
      <c r="U927" s="307"/>
      <c r="V927" s="307"/>
      <c r="W927" s="307"/>
      <c r="X927" s="307"/>
      <c r="Y927" s="307"/>
      <c r="Z927" s="307"/>
    </row>
    <row r="928" spans="1:26" ht="17.399999999999999">
      <c r="A928" s="307"/>
      <c r="B928" s="307"/>
      <c r="C928" s="307"/>
      <c r="D928" s="307"/>
      <c r="E928" s="307"/>
      <c r="F928" s="307"/>
      <c r="G928" s="307"/>
      <c r="H928" s="307"/>
      <c r="I928" s="307"/>
      <c r="J928" s="307"/>
      <c r="K928" s="307"/>
      <c r="L928" s="307"/>
      <c r="M928" s="307"/>
      <c r="N928" s="307"/>
      <c r="O928" s="307"/>
      <c r="P928" s="307"/>
      <c r="Q928" s="307"/>
      <c r="R928" s="307"/>
      <c r="S928" s="307"/>
      <c r="T928" s="307"/>
      <c r="U928" s="307"/>
      <c r="V928" s="307"/>
      <c r="W928" s="307"/>
      <c r="X928" s="307"/>
      <c r="Y928" s="307"/>
      <c r="Z928" s="307"/>
    </row>
    <row r="929" spans="1:26" ht="17.399999999999999">
      <c r="A929" s="307"/>
      <c r="B929" s="307"/>
      <c r="C929" s="307"/>
      <c r="D929" s="307"/>
      <c r="E929" s="307"/>
      <c r="F929" s="307"/>
      <c r="G929" s="307"/>
      <c r="H929" s="307"/>
      <c r="I929" s="307"/>
      <c r="J929" s="307"/>
      <c r="K929" s="307"/>
      <c r="L929" s="307"/>
      <c r="M929" s="307"/>
      <c r="N929" s="307"/>
      <c r="O929" s="307"/>
      <c r="P929" s="307"/>
      <c r="Q929" s="307"/>
      <c r="R929" s="307"/>
      <c r="S929" s="307"/>
      <c r="T929" s="307"/>
      <c r="U929" s="307"/>
      <c r="V929" s="307"/>
      <c r="W929" s="307"/>
      <c r="X929" s="307"/>
      <c r="Y929" s="307"/>
      <c r="Z929" s="307"/>
    </row>
    <row r="930" spans="1:26" ht="17.399999999999999">
      <c r="A930" s="307"/>
      <c r="B930" s="307"/>
      <c r="C930" s="307"/>
      <c r="D930" s="307"/>
      <c r="E930" s="307"/>
      <c r="F930" s="307"/>
      <c r="G930" s="307"/>
      <c r="H930" s="307"/>
      <c r="I930" s="307"/>
      <c r="J930" s="307"/>
      <c r="K930" s="307"/>
      <c r="L930" s="307"/>
      <c r="M930" s="307"/>
      <c r="N930" s="307"/>
      <c r="O930" s="307"/>
      <c r="P930" s="307"/>
      <c r="Q930" s="307"/>
      <c r="R930" s="307"/>
      <c r="S930" s="307"/>
      <c r="T930" s="307"/>
      <c r="U930" s="307"/>
      <c r="V930" s="307"/>
      <c r="W930" s="307"/>
      <c r="X930" s="307"/>
      <c r="Y930" s="307"/>
      <c r="Z930" s="307"/>
    </row>
    <row r="931" spans="1:26" ht="17.399999999999999">
      <c r="A931" s="307"/>
      <c r="B931" s="307"/>
      <c r="C931" s="307"/>
      <c r="D931" s="307"/>
      <c r="E931" s="307"/>
      <c r="F931" s="307"/>
      <c r="G931" s="307"/>
      <c r="H931" s="307"/>
      <c r="I931" s="307"/>
      <c r="J931" s="307"/>
      <c r="K931" s="307"/>
      <c r="L931" s="307"/>
      <c r="M931" s="307"/>
      <c r="N931" s="307"/>
      <c r="O931" s="307"/>
      <c r="P931" s="307"/>
      <c r="Q931" s="307"/>
      <c r="R931" s="307"/>
      <c r="S931" s="307"/>
      <c r="T931" s="307"/>
      <c r="U931" s="307"/>
      <c r="V931" s="307"/>
      <c r="W931" s="307"/>
      <c r="X931" s="307"/>
      <c r="Y931" s="307"/>
      <c r="Z931" s="307"/>
    </row>
    <row r="932" spans="1:26" ht="17.399999999999999">
      <c r="A932" s="307"/>
      <c r="B932" s="307"/>
      <c r="C932" s="307"/>
      <c r="D932" s="307"/>
      <c r="E932" s="307"/>
      <c r="F932" s="307"/>
      <c r="G932" s="307"/>
      <c r="H932" s="307"/>
      <c r="I932" s="307"/>
      <c r="J932" s="307"/>
      <c r="K932" s="307"/>
      <c r="L932" s="307"/>
      <c r="M932" s="307"/>
      <c r="N932" s="307"/>
      <c r="O932" s="307"/>
      <c r="P932" s="307"/>
      <c r="Q932" s="307"/>
      <c r="R932" s="307"/>
      <c r="S932" s="307"/>
      <c r="T932" s="307"/>
      <c r="U932" s="307"/>
      <c r="V932" s="307"/>
      <c r="W932" s="307"/>
      <c r="X932" s="307"/>
      <c r="Y932" s="307"/>
      <c r="Z932" s="307"/>
    </row>
    <row r="933" spans="1:26" ht="17.399999999999999">
      <c r="A933" s="307"/>
      <c r="B933" s="307"/>
      <c r="C933" s="307"/>
      <c r="D933" s="307"/>
      <c r="E933" s="307"/>
      <c r="F933" s="307"/>
      <c r="G933" s="307"/>
      <c r="H933" s="307"/>
      <c r="I933" s="307"/>
      <c r="J933" s="307"/>
      <c r="K933" s="307"/>
      <c r="L933" s="307"/>
      <c r="M933" s="307"/>
      <c r="N933" s="307"/>
      <c r="O933" s="307"/>
      <c r="P933" s="307"/>
      <c r="Q933" s="307"/>
      <c r="R933" s="307"/>
      <c r="S933" s="307"/>
      <c r="T933" s="307"/>
      <c r="U933" s="307"/>
      <c r="V933" s="307"/>
      <c r="W933" s="307"/>
      <c r="X933" s="307"/>
      <c r="Y933" s="307"/>
      <c r="Z933" s="307"/>
    </row>
    <row r="934" spans="1:26" ht="17.399999999999999">
      <c r="A934" s="307"/>
      <c r="B934" s="307"/>
      <c r="C934" s="307"/>
      <c r="D934" s="307"/>
      <c r="E934" s="307"/>
      <c r="F934" s="307"/>
      <c r="G934" s="307"/>
      <c r="H934" s="307"/>
      <c r="I934" s="307"/>
      <c r="J934" s="307"/>
      <c r="K934" s="307"/>
      <c r="L934" s="307"/>
      <c r="M934" s="307"/>
      <c r="N934" s="307"/>
      <c r="O934" s="307"/>
      <c r="P934" s="307"/>
      <c r="Q934" s="307"/>
      <c r="R934" s="307"/>
      <c r="S934" s="307"/>
      <c r="T934" s="307"/>
      <c r="U934" s="307"/>
      <c r="V934" s="307"/>
      <c r="W934" s="307"/>
      <c r="X934" s="307"/>
      <c r="Y934" s="307"/>
      <c r="Z934" s="307"/>
    </row>
    <row r="935" spans="1:26" ht="17.399999999999999">
      <c r="A935" s="307"/>
      <c r="B935" s="307"/>
      <c r="C935" s="307"/>
      <c r="D935" s="307"/>
      <c r="E935" s="307"/>
      <c r="F935" s="307"/>
      <c r="G935" s="307"/>
      <c r="H935" s="307"/>
      <c r="I935" s="307"/>
      <c r="J935" s="307"/>
      <c r="K935" s="307"/>
      <c r="L935" s="307"/>
      <c r="M935" s="307"/>
      <c r="N935" s="307"/>
      <c r="O935" s="307"/>
      <c r="P935" s="307"/>
      <c r="Q935" s="307"/>
      <c r="R935" s="307"/>
      <c r="S935" s="307"/>
      <c r="T935" s="307"/>
      <c r="U935" s="307"/>
      <c r="V935" s="307"/>
      <c r="W935" s="307"/>
      <c r="X935" s="307"/>
      <c r="Y935" s="307"/>
      <c r="Z935" s="307"/>
    </row>
    <row r="936" spans="1:26" ht="17.399999999999999">
      <c r="A936" s="307"/>
      <c r="B936" s="307"/>
      <c r="C936" s="307"/>
      <c r="D936" s="307"/>
      <c r="E936" s="307"/>
      <c r="F936" s="307"/>
      <c r="G936" s="307"/>
      <c r="H936" s="307"/>
      <c r="I936" s="307"/>
      <c r="J936" s="307"/>
      <c r="K936" s="307"/>
      <c r="L936" s="307"/>
      <c r="M936" s="307"/>
      <c r="N936" s="307"/>
      <c r="O936" s="307"/>
      <c r="P936" s="307"/>
      <c r="Q936" s="307"/>
      <c r="R936" s="307"/>
      <c r="S936" s="307"/>
      <c r="T936" s="307"/>
      <c r="U936" s="307"/>
      <c r="V936" s="307"/>
      <c r="W936" s="307"/>
      <c r="X936" s="307"/>
      <c r="Y936" s="307"/>
      <c r="Z936" s="307"/>
    </row>
    <row r="937" spans="1:26" ht="17.399999999999999">
      <c r="A937" s="307"/>
      <c r="B937" s="307"/>
      <c r="C937" s="307"/>
      <c r="D937" s="307"/>
      <c r="E937" s="307"/>
      <c r="F937" s="307"/>
      <c r="G937" s="307"/>
      <c r="H937" s="307"/>
      <c r="I937" s="307"/>
      <c r="J937" s="307"/>
      <c r="K937" s="307"/>
      <c r="L937" s="307"/>
      <c r="M937" s="307"/>
      <c r="N937" s="307"/>
      <c r="O937" s="307"/>
      <c r="P937" s="307"/>
      <c r="Q937" s="307"/>
      <c r="R937" s="307"/>
      <c r="S937" s="307"/>
      <c r="T937" s="307"/>
      <c r="U937" s="307"/>
      <c r="V937" s="307"/>
      <c r="W937" s="307"/>
      <c r="X937" s="307"/>
      <c r="Y937" s="307"/>
      <c r="Z937" s="307"/>
    </row>
    <row r="938" spans="1:26" ht="17.399999999999999">
      <c r="A938" s="307"/>
      <c r="B938" s="307"/>
      <c r="C938" s="307"/>
      <c r="D938" s="307"/>
      <c r="E938" s="307"/>
      <c r="F938" s="307"/>
      <c r="G938" s="307"/>
      <c r="H938" s="307"/>
      <c r="I938" s="307"/>
      <c r="J938" s="307"/>
      <c r="K938" s="307"/>
      <c r="L938" s="307"/>
      <c r="M938" s="307"/>
      <c r="N938" s="307"/>
      <c r="O938" s="307"/>
      <c r="P938" s="307"/>
      <c r="Q938" s="307"/>
      <c r="R938" s="307"/>
      <c r="S938" s="307"/>
      <c r="T938" s="307"/>
      <c r="U938" s="307"/>
      <c r="V938" s="307"/>
      <c r="W938" s="307"/>
      <c r="X938" s="307"/>
      <c r="Y938" s="307"/>
      <c r="Z938" s="307"/>
    </row>
    <row r="939" spans="1:26" ht="17.399999999999999">
      <c r="A939" s="307"/>
      <c r="B939" s="307"/>
      <c r="C939" s="307"/>
      <c r="D939" s="307"/>
      <c r="E939" s="307"/>
      <c r="F939" s="307"/>
      <c r="G939" s="307"/>
      <c r="H939" s="307"/>
      <c r="I939" s="307"/>
      <c r="J939" s="307"/>
      <c r="K939" s="307"/>
      <c r="L939" s="307"/>
      <c r="M939" s="307"/>
      <c r="N939" s="307"/>
      <c r="O939" s="307"/>
      <c r="P939" s="307"/>
      <c r="Q939" s="307"/>
      <c r="R939" s="307"/>
      <c r="S939" s="307"/>
      <c r="T939" s="307"/>
      <c r="U939" s="307"/>
      <c r="V939" s="307"/>
      <c r="W939" s="307"/>
      <c r="X939" s="307"/>
      <c r="Y939" s="307"/>
      <c r="Z939" s="307"/>
    </row>
    <row r="940" spans="1:26" ht="17.399999999999999">
      <c r="A940" s="307"/>
      <c r="B940" s="307"/>
      <c r="C940" s="307"/>
      <c r="D940" s="307"/>
      <c r="E940" s="307"/>
      <c r="F940" s="307"/>
      <c r="G940" s="307"/>
      <c r="H940" s="307"/>
      <c r="I940" s="307"/>
      <c r="J940" s="307"/>
      <c r="K940" s="307"/>
      <c r="L940" s="307"/>
      <c r="M940" s="307"/>
      <c r="N940" s="307"/>
      <c r="O940" s="307"/>
      <c r="P940" s="307"/>
      <c r="Q940" s="307"/>
      <c r="R940" s="307"/>
      <c r="S940" s="307"/>
      <c r="T940" s="307"/>
      <c r="U940" s="307"/>
      <c r="V940" s="307"/>
      <c r="W940" s="307"/>
      <c r="X940" s="307"/>
      <c r="Y940" s="307"/>
      <c r="Z940" s="307"/>
    </row>
    <row r="941" spans="1:26" ht="17.399999999999999">
      <c r="A941" s="307"/>
      <c r="B941" s="307"/>
      <c r="C941" s="307"/>
      <c r="D941" s="307"/>
      <c r="E941" s="307"/>
      <c r="F941" s="307"/>
      <c r="G941" s="307"/>
      <c r="H941" s="307"/>
      <c r="I941" s="307"/>
      <c r="J941" s="307"/>
      <c r="K941" s="307"/>
      <c r="L941" s="307"/>
      <c r="M941" s="307"/>
      <c r="N941" s="307"/>
      <c r="O941" s="307"/>
      <c r="P941" s="307"/>
      <c r="Q941" s="307"/>
      <c r="R941" s="307"/>
      <c r="S941" s="307"/>
      <c r="T941" s="307"/>
      <c r="U941" s="307"/>
      <c r="V941" s="307"/>
      <c r="W941" s="307"/>
      <c r="X941" s="307"/>
      <c r="Y941" s="307"/>
      <c r="Z941" s="307"/>
    </row>
    <row r="942" spans="1:26" ht="17.399999999999999">
      <c r="A942" s="307"/>
      <c r="B942" s="307"/>
      <c r="C942" s="307"/>
      <c r="D942" s="307"/>
      <c r="E942" s="307"/>
      <c r="F942" s="307"/>
      <c r="G942" s="307"/>
      <c r="H942" s="307"/>
      <c r="I942" s="307"/>
      <c r="J942" s="307"/>
      <c r="K942" s="307"/>
      <c r="L942" s="307"/>
      <c r="M942" s="307"/>
      <c r="N942" s="307"/>
      <c r="O942" s="307"/>
      <c r="P942" s="307"/>
      <c r="Q942" s="307"/>
      <c r="R942" s="307"/>
      <c r="S942" s="307"/>
      <c r="T942" s="307"/>
      <c r="U942" s="307"/>
      <c r="V942" s="307"/>
      <c r="W942" s="307"/>
      <c r="X942" s="307"/>
      <c r="Y942" s="307"/>
      <c r="Z942" s="307"/>
    </row>
    <row r="943" spans="1:26" ht="17.399999999999999">
      <c r="A943" s="307"/>
      <c r="B943" s="307"/>
      <c r="C943" s="307"/>
      <c r="D943" s="307"/>
      <c r="E943" s="307"/>
      <c r="F943" s="307"/>
      <c r="G943" s="307"/>
      <c r="H943" s="307"/>
      <c r="I943" s="307"/>
      <c r="J943" s="307"/>
      <c r="K943" s="307"/>
      <c r="L943" s="307"/>
      <c r="M943" s="307"/>
      <c r="N943" s="307"/>
      <c r="O943" s="307"/>
      <c r="P943" s="307"/>
      <c r="Q943" s="307"/>
      <c r="R943" s="307"/>
      <c r="S943" s="307"/>
      <c r="T943" s="307"/>
      <c r="U943" s="307"/>
      <c r="V943" s="307"/>
      <c r="W943" s="307"/>
      <c r="X943" s="307"/>
      <c r="Y943" s="307"/>
      <c r="Z943" s="307"/>
    </row>
    <row r="944" spans="1:26" ht="17.399999999999999">
      <c r="A944" s="307"/>
      <c r="B944" s="307"/>
      <c r="C944" s="307"/>
      <c r="D944" s="307"/>
      <c r="E944" s="307"/>
      <c r="F944" s="307"/>
      <c r="G944" s="307"/>
      <c r="H944" s="307"/>
      <c r="I944" s="307"/>
      <c r="J944" s="307"/>
      <c r="K944" s="307"/>
      <c r="L944" s="307"/>
      <c r="M944" s="307"/>
      <c r="N944" s="307"/>
      <c r="O944" s="307"/>
      <c r="P944" s="307"/>
      <c r="Q944" s="307"/>
      <c r="R944" s="307"/>
      <c r="S944" s="307"/>
      <c r="T944" s="307"/>
      <c r="U944" s="307"/>
      <c r="V944" s="307"/>
      <c r="W944" s="307"/>
      <c r="X944" s="307"/>
      <c r="Y944" s="307"/>
      <c r="Z944" s="307"/>
    </row>
    <row r="945" spans="1:26" ht="17.399999999999999">
      <c r="A945" s="307"/>
      <c r="B945" s="307"/>
      <c r="C945" s="307"/>
      <c r="D945" s="307"/>
      <c r="E945" s="307"/>
      <c r="F945" s="307"/>
      <c r="G945" s="307"/>
      <c r="H945" s="307"/>
      <c r="I945" s="307"/>
      <c r="J945" s="307"/>
      <c r="K945" s="307"/>
      <c r="L945" s="307"/>
      <c r="M945" s="307"/>
      <c r="N945" s="307"/>
      <c r="O945" s="307"/>
      <c r="P945" s="307"/>
      <c r="Q945" s="307"/>
      <c r="R945" s="307"/>
      <c r="S945" s="307"/>
      <c r="T945" s="307"/>
      <c r="U945" s="307"/>
      <c r="V945" s="307"/>
      <c r="W945" s="307"/>
      <c r="X945" s="307"/>
      <c r="Y945" s="307"/>
      <c r="Z945" s="307"/>
    </row>
    <row r="946" spans="1:26" ht="17.399999999999999">
      <c r="A946" s="307"/>
      <c r="B946" s="307"/>
      <c r="C946" s="307"/>
      <c r="D946" s="307"/>
      <c r="E946" s="307"/>
      <c r="F946" s="307"/>
      <c r="G946" s="307"/>
      <c r="H946" s="307"/>
      <c r="I946" s="307"/>
      <c r="J946" s="307"/>
      <c r="K946" s="307"/>
      <c r="L946" s="307"/>
      <c r="M946" s="307"/>
      <c r="N946" s="307"/>
      <c r="O946" s="307"/>
      <c r="P946" s="307"/>
      <c r="Q946" s="307"/>
      <c r="R946" s="307"/>
      <c r="S946" s="307"/>
      <c r="T946" s="307"/>
      <c r="U946" s="307"/>
      <c r="V946" s="307"/>
      <c r="W946" s="307"/>
      <c r="X946" s="307"/>
      <c r="Y946" s="307"/>
      <c r="Z946" s="307"/>
    </row>
    <row r="947" spans="1:26" ht="17.399999999999999">
      <c r="A947" s="307"/>
      <c r="B947" s="307"/>
      <c r="C947" s="307"/>
      <c r="D947" s="307"/>
      <c r="E947" s="307"/>
      <c r="F947" s="307"/>
      <c r="G947" s="307"/>
      <c r="H947" s="307"/>
      <c r="I947" s="307"/>
      <c r="J947" s="307"/>
      <c r="K947" s="307"/>
      <c r="L947" s="307"/>
      <c r="M947" s="307"/>
      <c r="N947" s="307"/>
      <c r="O947" s="307"/>
      <c r="P947" s="307"/>
      <c r="Q947" s="307"/>
      <c r="R947" s="307"/>
      <c r="S947" s="307"/>
      <c r="T947" s="307"/>
      <c r="U947" s="307"/>
      <c r="V947" s="307"/>
      <c r="W947" s="307"/>
      <c r="X947" s="307"/>
      <c r="Y947" s="307"/>
      <c r="Z947" s="307"/>
    </row>
    <row r="948" spans="1:26" ht="17.399999999999999">
      <c r="A948" s="307"/>
      <c r="B948" s="307"/>
      <c r="C948" s="307"/>
      <c r="D948" s="307"/>
      <c r="E948" s="307"/>
      <c r="F948" s="307"/>
      <c r="G948" s="307"/>
      <c r="H948" s="307"/>
      <c r="I948" s="307"/>
      <c r="J948" s="307"/>
      <c r="K948" s="307"/>
      <c r="L948" s="307"/>
      <c r="M948" s="307"/>
      <c r="N948" s="307"/>
      <c r="O948" s="307"/>
      <c r="P948" s="307"/>
      <c r="Q948" s="307"/>
      <c r="R948" s="307"/>
      <c r="S948" s="307"/>
      <c r="T948" s="307"/>
      <c r="U948" s="307"/>
      <c r="V948" s="307"/>
      <c r="W948" s="307"/>
      <c r="X948" s="307"/>
      <c r="Y948" s="307"/>
      <c r="Z948" s="307"/>
    </row>
    <row r="949" spans="1:26" ht="17.399999999999999">
      <c r="A949" s="307"/>
      <c r="B949" s="307"/>
      <c r="C949" s="307"/>
      <c r="D949" s="307"/>
      <c r="E949" s="307"/>
      <c r="F949" s="307"/>
      <c r="G949" s="307"/>
      <c r="H949" s="307"/>
      <c r="I949" s="307"/>
      <c r="J949" s="307"/>
      <c r="K949" s="307"/>
      <c r="L949" s="307"/>
      <c r="M949" s="307"/>
      <c r="N949" s="307"/>
      <c r="O949" s="307"/>
      <c r="P949" s="307"/>
      <c r="Q949" s="307"/>
      <c r="R949" s="307"/>
      <c r="S949" s="307"/>
      <c r="T949" s="307"/>
      <c r="U949" s="307"/>
      <c r="V949" s="307"/>
      <c r="W949" s="307"/>
      <c r="X949" s="307"/>
      <c r="Y949" s="307"/>
      <c r="Z949" s="307"/>
    </row>
    <row r="950" spans="1:26" ht="17.399999999999999">
      <c r="A950" s="307"/>
      <c r="B950" s="307"/>
      <c r="C950" s="307"/>
      <c r="D950" s="307"/>
      <c r="E950" s="307"/>
      <c r="F950" s="307"/>
      <c r="G950" s="307"/>
      <c r="H950" s="307"/>
      <c r="I950" s="307"/>
      <c r="J950" s="307"/>
      <c r="K950" s="307"/>
      <c r="L950" s="307"/>
      <c r="M950" s="307"/>
      <c r="N950" s="307"/>
      <c r="O950" s="307"/>
      <c r="P950" s="307"/>
      <c r="Q950" s="307"/>
      <c r="R950" s="307"/>
      <c r="S950" s="307"/>
      <c r="T950" s="307"/>
      <c r="U950" s="307"/>
      <c r="V950" s="307"/>
      <c r="W950" s="307"/>
      <c r="X950" s="307"/>
      <c r="Y950" s="307"/>
      <c r="Z950" s="307"/>
    </row>
    <row r="951" spans="1:26" ht="17.399999999999999">
      <c r="A951" s="307"/>
      <c r="B951" s="307"/>
      <c r="C951" s="307"/>
      <c r="D951" s="307"/>
      <c r="E951" s="307"/>
      <c r="F951" s="307"/>
      <c r="G951" s="307"/>
      <c r="H951" s="307"/>
      <c r="I951" s="307"/>
      <c r="J951" s="307"/>
      <c r="K951" s="307"/>
      <c r="L951" s="307"/>
      <c r="M951" s="307"/>
      <c r="N951" s="307"/>
      <c r="O951" s="307"/>
      <c r="P951" s="307"/>
      <c r="Q951" s="307"/>
      <c r="R951" s="307"/>
      <c r="S951" s="307"/>
      <c r="T951" s="307"/>
      <c r="U951" s="307"/>
      <c r="V951" s="307"/>
      <c r="W951" s="307"/>
      <c r="X951" s="307"/>
      <c r="Y951" s="307"/>
      <c r="Z951" s="307"/>
    </row>
    <row r="952" spans="1:26" ht="17.399999999999999">
      <c r="A952" s="307"/>
      <c r="B952" s="307"/>
      <c r="C952" s="307"/>
      <c r="D952" s="307"/>
      <c r="E952" s="307"/>
      <c r="F952" s="307"/>
      <c r="G952" s="307"/>
      <c r="H952" s="307"/>
      <c r="I952" s="307"/>
      <c r="J952" s="307"/>
      <c r="K952" s="307"/>
      <c r="L952" s="307"/>
      <c r="M952" s="307"/>
      <c r="N952" s="307"/>
      <c r="O952" s="307"/>
      <c r="P952" s="307"/>
      <c r="Q952" s="307"/>
      <c r="R952" s="307"/>
      <c r="S952" s="307"/>
      <c r="T952" s="307"/>
      <c r="U952" s="307"/>
      <c r="V952" s="307"/>
      <c r="W952" s="307"/>
      <c r="X952" s="307"/>
      <c r="Y952" s="307"/>
      <c r="Z952" s="307"/>
    </row>
    <row r="953" spans="1:26" ht="17.399999999999999">
      <c r="A953" s="307"/>
      <c r="B953" s="307"/>
      <c r="C953" s="307"/>
      <c r="D953" s="307"/>
      <c r="E953" s="307"/>
      <c r="F953" s="307"/>
      <c r="G953" s="307"/>
      <c r="H953" s="307"/>
      <c r="I953" s="307"/>
      <c r="J953" s="307"/>
      <c r="K953" s="307"/>
      <c r="L953" s="307"/>
      <c r="M953" s="307"/>
      <c r="N953" s="307"/>
      <c r="O953" s="307"/>
      <c r="P953" s="307"/>
      <c r="Q953" s="307"/>
      <c r="R953" s="307"/>
      <c r="S953" s="307"/>
      <c r="T953" s="307"/>
      <c r="U953" s="307"/>
      <c r="V953" s="307"/>
      <c r="W953" s="307"/>
      <c r="X953" s="307"/>
      <c r="Y953" s="307"/>
      <c r="Z953" s="307"/>
    </row>
    <row r="954" spans="1:26" ht="17.399999999999999">
      <c r="A954" s="307"/>
      <c r="B954" s="307"/>
      <c r="C954" s="307"/>
      <c r="D954" s="307"/>
      <c r="E954" s="307"/>
      <c r="F954" s="307"/>
      <c r="G954" s="307"/>
      <c r="H954" s="307"/>
      <c r="I954" s="307"/>
      <c r="J954" s="307"/>
      <c r="K954" s="307"/>
      <c r="L954" s="307"/>
      <c r="M954" s="307"/>
      <c r="N954" s="307"/>
      <c r="O954" s="307"/>
      <c r="P954" s="307"/>
      <c r="Q954" s="307"/>
      <c r="R954" s="307"/>
      <c r="S954" s="307"/>
      <c r="T954" s="307"/>
      <c r="U954" s="307"/>
      <c r="V954" s="307"/>
      <c r="W954" s="307"/>
      <c r="X954" s="307"/>
      <c r="Y954" s="307"/>
      <c r="Z954" s="307"/>
    </row>
    <row r="955" spans="1:26" ht="17.399999999999999">
      <c r="A955" s="307"/>
      <c r="B955" s="307"/>
      <c r="C955" s="307"/>
      <c r="D955" s="307"/>
      <c r="E955" s="307"/>
      <c r="F955" s="307"/>
      <c r="G955" s="307"/>
      <c r="H955" s="307"/>
      <c r="I955" s="307"/>
      <c r="J955" s="307"/>
      <c r="K955" s="307"/>
      <c r="L955" s="307"/>
      <c r="M955" s="307"/>
      <c r="N955" s="307"/>
      <c r="O955" s="307"/>
      <c r="P955" s="307"/>
      <c r="Q955" s="307"/>
      <c r="R955" s="307"/>
      <c r="S955" s="307"/>
      <c r="T955" s="307"/>
      <c r="U955" s="307"/>
      <c r="V955" s="307"/>
      <c r="W955" s="307"/>
      <c r="X955" s="307"/>
      <c r="Y955" s="307"/>
      <c r="Z955" s="307"/>
    </row>
    <row r="956" spans="1:26" ht="17.399999999999999">
      <c r="A956" s="307"/>
      <c r="B956" s="307"/>
      <c r="C956" s="307"/>
      <c r="D956" s="307"/>
      <c r="E956" s="307"/>
      <c r="F956" s="307"/>
      <c r="G956" s="307"/>
      <c r="H956" s="307"/>
      <c r="I956" s="307"/>
      <c r="J956" s="307"/>
      <c r="K956" s="307"/>
      <c r="L956" s="307"/>
      <c r="M956" s="307"/>
      <c r="N956" s="307"/>
      <c r="O956" s="307"/>
      <c r="P956" s="307"/>
      <c r="Q956" s="307"/>
      <c r="R956" s="307"/>
      <c r="S956" s="307"/>
      <c r="T956" s="307"/>
      <c r="U956" s="307"/>
      <c r="V956" s="307"/>
      <c r="W956" s="307"/>
      <c r="X956" s="307"/>
      <c r="Y956" s="307"/>
      <c r="Z956" s="307"/>
    </row>
    <row r="957" spans="1:26" ht="17.399999999999999">
      <c r="A957" s="307"/>
      <c r="B957" s="307"/>
      <c r="C957" s="307"/>
      <c r="D957" s="307"/>
      <c r="E957" s="307"/>
      <c r="F957" s="307"/>
      <c r="G957" s="307"/>
      <c r="H957" s="307"/>
      <c r="I957" s="307"/>
      <c r="J957" s="307"/>
      <c r="K957" s="307"/>
      <c r="L957" s="307"/>
      <c r="M957" s="307"/>
      <c r="N957" s="307"/>
      <c r="O957" s="307"/>
      <c r="P957" s="307"/>
      <c r="Q957" s="307"/>
      <c r="R957" s="307"/>
      <c r="S957" s="307"/>
      <c r="T957" s="307"/>
      <c r="U957" s="307"/>
      <c r="V957" s="307"/>
      <c r="W957" s="307"/>
      <c r="X957" s="307"/>
      <c r="Y957" s="307"/>
      <c r="Z957" s="307"/>
    </row>
    <row r="958" spans="1:26" ht="17.399999999999999">
      <c r="A958" s="307"/>
      <c r="B958" s="307"/>
      <c r="C958" s="307"/>
      <c r="D958" s="307"/>
      <c r="E958" s="307"/>
      <c r="F958" s="307"/>
      <c r="G958" s="307"/>
      <c r="H958" s="307"/>
      <c r="I958" s="307"/>
      <c r="J958" s="307"/>
      <c r="K958" s="307"/>
      <c r="L958" s="307"/>
      <c r="M958" s="307"/>
      <c r="N958" s="307"/>
      <c r="O958" s="307"/>
      <c r="P958" s="307"/>
      <c r="Q958" s="307"/>
      <c r="R958" s="307"/>
      <c r="S958" s="307"/>
      <c r="T958" s="307"/>
      <c r="U958" s="307"/>
      <c r="V958" s="307"/>
      <c r="W958" s="307"/>
      <c r="X958" s="307"/>
      <c r="Y958" s="307"/>
      <c r="Z958" s="307"/>
    </row>
    <row r="959" spans="1:26" ht="17.399999999999999">
      <c r="A959" s="307"/>
      <c r="B959" s="307"/>
      <c r="C959" s="307"/>
      <c r="D959" s="307"/>
      <c r="E959" s="307"/>
      <c r="F959" s="307"/>
      <c r="G959" s="307"/>
      <c r="H959" s="307"/>
      <c r="I959" s="307"/>
      <c r="J959" s="307"/>
      <c r="K959" s="307"/>
      <c r="L959" s="307"/>
      <c r="M959" s="307"/>
      <c r="N959" s="307"/>
      <c r="O959" s="307"/>
      <c r="P959" s="307"/>
      <c r="Q959" s="307"/>
      <c r="R959" s="307"/>
      <c r="S959" s="307"/>
      <c r="T959" s="307"/>
      <c r="U959" s="307"/>
      <c r="V959" s="307"/>
      <c r="W959" s="307"/>
      <c r="X959" s="307"/>
      <c r="Y959" s="307"/>
      <c r="Z959" s="307"/>
    </row>
    <row r="960" spans="1:26" ht="17.399999999999999">
      <c r="A960" s="307"/>
      <c r="B960" s="307"/>
      <c r="C960" s="307"/>
      <c r="D960" s="307"/>
      <c r="E960" s="307"/>
      <c r="F960" s="307"/>
      <c r="G960" s="307"/>
      <c r="H960" s="307"/>
      <c r="I960" s="307"/>
      <c r="J960" s="307"/>
      <c r="K960" s="307"/>
      <c r="L960" s="307"/>
      <c r="M960" s="307"/>
      <c r="N960" s="307"/>
      <c r="O960" s="307"/>
      <c r="P960" s="307"/>
      <c r="Q960" s="307"/>
      <c r="R960" s="307"/>
      <c r="S960" s="307"/>
      <c r="T960" s="307"/>
      <c r="U960" s="307"/>
      <c r="V960" s="307"/>
      <c r="W960" s="307"/>
      <c r="X960" s="307"/>
      <c r="Y960" s="307"/>
      <c r="Z960" s="307"/>
    </row>
    <row r="961" spans="1:26" ht="17.399999999999999">
      <c r="A961" s="307"/>
      <c r="B961" s="307"/>
      <c r="C961" s="307"/>
      <c r="D961" s="307"/>
      <c r="E961" s="307"/>
      <c r="F961" s="307"/>
      <c r="G961" s="307"/>
      <c r="H961" s="307"/>
      <c r="I961" s="307"/>
      <c r="J961" s="307"/>
      <c r="K961" s="307"/>
      <c r="L961" s="307"/>
      <c r="M961" s="307"/>
      <c r="N961" s="307"/>
      <c r="O961" s="307"/>
      <c r="P961" s="307"/>
      <c r="Q961" s="307"/>
      <c r="R961" s="307"/>
      <c r="S961" s="307"/>
      <c r="T961" s="307"/>
      <c r="U961" s="307"/>
      <c r="V961" s="307"/>
      <c r="W961" s="307"/>
      <c r="X961" s="307"/>
      <c r="Y961" s="307"/>
      <c r="Z961" s="307"/>
    </row>
    <row r="962" spans="1:26" ht="17.399999999999999">
      <c r="A962" s="307"/>
      <c r="B962" s="307"/>
      <c r="C962" s="307"/>
      <c r="D962" s="307"/>
      <c r="E962" s="307"/>
      <c r="F962" s="307"/>
      <c r="G962" s="307"/>
      <c r="H962" s="307"/>
      <c r="I962" s="307"/>
      <c r="J962" s="307"/>
      <c r="K962" s="307"/>
      <c r="L962" s="307"/>
      <c r="M962" s="307"/>
      <c r="N962" s="307"/>
      <c r="O962" s="307"/>
      <c r="P962" s="307"/>
      <c r="Q962" s="307"/>
      <c r="R962" s="307"/>
      <c r="S962" s="307"/>
      <c r="T962" s="307"/>
      <c r="U962" s="307"/>
      <c r="V962" s="307"/>
      <c r="W962" s="307"/>
      <c r="X962" s="307"/>
      <c r="Y962" s="307"/>
      <c r="Z962" s="307"/>
    </row>
    <row r="963" spans="1:26" ht="17.399999999999999">
      <c r="A963" s="307"/>
      <c r="B963" s="307"/>
      <c r="C963" s="307"/>
      <c r="D963" s="307"/>
      <c r="E963" s="307"/>
      <c r="F963" s="307"/>
      <c r="G963" s="307"/>
      <c r="H963" s="307"/>
      <c r="I963" s="307"/>
      <c r="J963" s="307"/>
      <c r="K963" s="307"/>
      <c r="L963" s="307"/>
      <c r="M963" s="307"/>
      <c r="N963" s="307"/>
      <c r="O963" s="307"/>
      <c r="P963" s="307"/>
      <c r="Q963" s="307"/>
      <c r="R963" s="307"/>
      <c r="S963" s="307"/>
      <c r="T963" s="307"/>
      <c r="U963" s="307"/>
      <c r="V963" s="307"/>
      <c r="W963" s="307"/>
      <c r="X963" s="307"/>
      <c r="Y963" s="307"/>
      <c r="Z963" s="307"/>
    </row>
    <row r="964" spans="1:26" ht="17.399999999999999">
      <c r="A964" s="307"/>
      <c r="B964" s="307"/>
      <c r="C964" s="307"/>
      <c r="D964" s="307"/>
      <c r="E964" s="307"/>
      <c r="F964" s="307"/>
      <c r="G964" s="307"/>
      <c r="H964" s="307"/>
      <c r="I964" s="307"/>
      <c r="J964" s="307"/>
      <c r="K964" s="307"/>
      <c r="L964" s="307"/>
      <c r="M964" s="307"/>
      <c r="N964" s="307"/>
      <c r="O964" s="307"/>
      <c r="P964" s="307"/>
      <c r="Q964" s="307"/>
      <c r="R964" s="307"/>
      <c r="S964" s="307"/>
      <c r="T964" s="307"/>
      <c r="U964" s="307"/>
      <c r="V964" s="307"/>
      <c r="W964" s="307"/>
      <c r="X964" s="307"/>
      <c r="Y964" s="307"/>
      <c r="Z964" s="307"/>
    </row>
    <row r="965" spans="1:26" ht="17.399999999999999">
      <c r="A965" s="307"/>
      <c r="B965" s="307"/>
      <c r="C965" s="307"/>
      <c r="D965" s="307"/>
      <c r="E965" s="307"/>
      <c r="F965" s="307"/>
      <c r="G965" s="307"/>
      <c r="H965" s="307"/>
      <c r="I965" s="307"/>
      <c r="J965" s="307"/>
      <c r="K965" s="307"/>
      <c r="L965" s="307"/>
      <c r="M965" s="307"/>
      <c r="N965" s="307"/>
      <c r="O965" s="307"/>
      <c r="P965" s="307"/>
      <c r="Q965" s="307"/>
      <c r="R965" s="307"/>
      <c r="S965" s="307"/>
      <c r="T965" s="307"/>
      <c r="U965" s="307"/>
      <c r="V965" s="307"/>
      <c r="W965" s="307"/>
      <c r="X965" s="307"/>
      <c r="Y965" s="307"/>
      <c r="Z965" s="307"/>
    </row>
    <row r="966" spans="1:26" ht="17.399999999999999">
      <c r="A966" s="307"/>
      <c r="B966" s="307"/>
      <c r="C966" s="307"/>
      <c r="D966" s="307"/>
      <c r="E966" s="307"/>
      <c r="F966" s="307"/>
      <c r="G966" s="307"/>
      <c r="H966" s="307"/>
      <c r="I966" s="307"/>
      <c r="J966" s="307"/>
      <c r="K966" s="307"/>
      <c r="L966" s="307"/>
      <c r="M966" s="307"/>
      <c r="N966" s="307"/>
      <c r="O966" s="307"/>
      <c r="P966" s="307"/>
      <c r="Q966" s="307"/>
      <c r="R966" s="307"/>
      <c r="S966" s="307"/>
      <c r="T966" s="307"/>
      <c r="U966" s="307"/>
      <c r="V966" s="307"/>
      <c r="W966" s="307"/>
      <c r="X966" s="307"/>
      <c r="Y966" s="307"/>
      <c r="Z966" s="307"/>
    </row>
    <row r="967" spans="1:26" ht="17.399999999999999">
      <c r="A967" s="307"/>
      <c r="B967" s="307"/>
      <c r="C967" s="307"/>
      <c r="D967" s="307"/>
      <c r="E967" s="307"/>
      <c r="F967" s="307"/>
      <c r="G967" s="307"/>
      <c r="H967" s="307"/>
      <c r="I967" s="307"/>
      <c r="J967" s="307"/>
      <c r="K967" s="307"/>
      <c r="L967" s="307"/>
      <c r="M967" s="307"/>
      <c r="N967" s="307"/>
      <c r="O967" s="307"/>
      <c r="P967" s="307"/>
      <c r="Q967" s="307"/>
      <c r="R967" s="307"/>
      <c r="S967" s="307"/>
      <c r="T967" s="307"/>
      <c r="U967" s="307"/>
      <c r="V967" s="307"/>
      <c r="W967" s="307"/>
      <c r="X967" s="307"/>
      <c r="Y967" s="307"/>
      <c r="Z967" s="307"/>
    </row>
    <row r="968" spans="1:26" ht="17.399999999999999">
      <c r="A968" s="307"/>
      <c r="B968" s="307"/>
      <c r="C968" s="307"/>
      <c r="D968" s="307"/>
      <c r="E968" s="307"/>
      <c r="F968" s="307"/>
      <c r="G968" s="307"/>
      <c r="H968" s="307"/>
      <c r="I968" s="307"/>
      <c r="J968" s="307"/>
      <c r="K968" s="307"/>
      <c r="L968" s="307"/>
      <c r="M968" s="307"/>
      <c r="N968" s="307"/>
      <c r="O968" s="307"/>
      <c r="P968" s="307"/>
      <c r="Q968" s="307"/>
      <c r="R968" s="307"/>
      <c r="S968" s="307"/>
      <c r="T968" s="307"/>
      <c r="U968" s="307"/>
      <c r="V968" s="307"/>
      <c r="W968" s="307"/>
      <c r="X968" s="307"/>
      <c r="Y968" s="307"/>
      <c r="Z968" s="307"/>
    </row>
    <row r="969" spans="1:26" ht="17.399999999999999">
      <c r="A969" s="307"/>
      <c r="B969" s="307"/>
      <c r="C969" s="307"/>
      <c r="D969" s="307"/>
      <c r="E969" s="307"/>
      <c r="F969" s="307"/>
      <c r="G969" s="307"/>
      <c r="H969" s="307"/>
      <c r="I969" s="307"/>
      <c r="J969" s="307"/>
      <c r="K969" s="307"/>
      <c r="L969" s="307"/>
      <c r="M969" s="307"/>
      <c r="N969" s="307"/>
      <c r="O969" s="307"/>
      <c r="P969" s="307"/>
      <c r="Q969" s="307"/>
      <c r="R969" s="307"/>
      <c r="S969" s="307"/>
      <c r="T969" s="307"/>
      <c r="U969" s="307"/>
      <c r="V969" s="307"/>
      <c r="W969" s="307"/>
      <c r="X969" s="307"/>
      <c r="Y969" s="307"/>
      <c r="Z969" s="307"/>
    </row>
    <row r="970" spans="1:26" ht="17.399999999999999">
      <c r="A970" s="307"/>
      <c r="B970" s="307"/>
      <c r="C970" s="307"/>
      <c r="D970" s="307"/>
      <c r="E970" s="307"/>
      <c r="F970" s="307"/>
      <c r="G970" s="307"/>
      <c r="H970" s="307"/>
      <c r="I970" s="307"/>
      <c r="J970" s="307"/>
      <c r="K970" s="307"/>
      <c r="L970" s="307"/>
      <c r="M970" s="307"/>
      <c r="N970" s="307"/>
      <c r="O970" s="307"/>
      <c r="P970" s="307"/>
      <c r="Q970" s="307"/>
      <c r="R970" s="307"/>
      <c r="S970" s="307"/>
      <c r="T970" s="307"/>
      <c r="U970" s="307"/>
      <c r="V970" s="307"/>
      <c r="W970" s="307"/>
      <c r="X970" s="307"/>
      <c r="Y970" s="307"/>
      <c r="Z970" s="307"/>
    </row>
    <row r="971" spans="1:26" ht="17.399999999999999">
      <c r="A971" s="307"/>
      <c r="B971" s="307"/>
      <c r="C971" s="307"/>
      <c r="D971" s="307"/>
      <c r="E971" s="307"/>
      <c r="F971" s="307"/>
      <c r="G971" s="307"/>
      <c r="H971" s="307"/>
      <c r="I971" s="307"/>
      <c r="J971" s="307"/>
      <c r="K971" s="307"/>
      <c r="L971" s="307"/>
      <c r="M971" s="307"/>
      <c r="N971" s="307"/>
      <c r="O971" s="307"/>
      <c r="P971" s="307"/>
      <c r="Q971" s="307"/>
      <c r="R971" s="307"/>
      <c r="S971" s="307"/>
      <c r="T971" s="307"/>
      <c r="U971" s="307"/>
      <c r="V971" s="307"/>
      <c r="W971" s="307"/>
      <c r="X971" s="307"/>
      <c r="Y971" s="307"/>
      <c r="Z971" s="307"/>
    </row>
    <row r="972" spans="1:26" ht="17.399999999999999">
      <c r="A972" s="307"/>
      <c r="B972" s="307"/>
      <c r="C972" s="307"/>
      <c r="D972" s="307"/>
      <c r="E972" s="307"/>
      <c r="F972" s="307"/>
      <c r="G972" s="307"/>
      <c r="H972" s="307"/>
      <c r="I972" s="307"/>
      <c r="J972" s="307"/>
      <c r="K972" s="307"/>
      <c r="L972" s="307"/>
      <c r="M972" s="307"/>
      <c r="N972" s="307"/>
      <c r="O972" s="307"/>
      <c r="P972" s="307"/>
      <c r="Q972" s="307"/>
      <c r="R972" s="307"/>
      <c r="S972" s="307"/>
      <c r="T972" s="307"/>
      <c r="U972" s="307"/>
      <c r="V972" s="307"/>
      <c r="W972" s="307"/>
      <c r="X972" s="307"/>
      <c r="Y972" s="307"/>
      <c r="Z972" s="307"/>
    </row>
    <row r="973" spans="1:26" ht="17.399999999999999">
      <c r="A973" s="307"/>
      <c r="B973" s="307"/>
      <c r="C973" s="307"/>
      <c r="D973" s="307"/>
      <c r="E973" s="307"/>
      <c r="F973" s="307"/>
      <c r="G973" s="307"/>
      <c r="H973" s="307"/>
      <c r="I973" s="307"/>
      <c r="J973" s="307"/>
      <c r="K973" s="307"/>
      <c r="L973" s="307"/>
      <c r="M973" s="307"/>
      <c r="N973" s="307"/>
      <c r="O973" s="307"/>
      <c r="P973" s="307"/>
      <c r="Q973" s="307"/>
      <c r="R973" s="307"/>
      <c r="S973" s="307"/>
      <c r="T973" s="307"/>
      <c r="U973" s="307"/>
      <c r="V973" s="307"/>
      <c r="W973" s="307"/>
      <c r="X973" s="307"/>
      <c r="Y973" s="307"/>
      <c r="Z973" s="307"/>
    </row>
    <row r="974" spans="1:26" ht="17.399999999999999">
      <c r="A974" s="307"/>
      <c r="B974" s="307"/>
      <c r="C974" s="307"/>
      <c r="D974" s="307"/>
      <c r="E974" s="307"/>
      <c r="F974" s="307"/>
      <c r="G974" s="307"/>
      <c r="H974" s="307"/>
      <c r="I974" s="307"/>
      <c r="J974" s="307"/>
      <c r="K974" s="307"/>
      <c r="L974" s="307"/>
      <c r="M974" s="307"/>
      <c r="N974" s="307"/>
      <c r="O974" s="307"/>
      <c r="P974" s="307"/>
      <c r="Q974" s="307"/>
      <c r="R974" s="307"/>
      <c r="S974" s="307"/>
      <c r="T974" s="307"/>
      <c r="U974" s="307"/>
      <c r="V974" s="307"/>
      <c r="W974" s="307"/>
      <c r="X974" s="307"/>
      <c r="Y974" s="307"/>
      <c r="Z974" s="307"/>
    </row>
    <row r="975" spans="1:26" ht="17.399999999999999">
      <c r="A975" s="307"/>
      <c r="B975" s="307"/>
      <c r="C975" s="307"/>
      <c r="D975" s="307"/>
      <c r="E975" s="307"/>
      <c r="F975" s="307"/>
      <c r="G975" s="307"/>
      <c r="H975" s="307"/>
      <c r="I975" s="307"/>
      <c r="J975" s="307"/>
      <c r="K975" s="307"/>
      <c r="L975" s="307"/>
      <c r="M975" s="307"/>
      <c r="N975" s="307"/>
      <c r="O975" s="307"/>
      <c r="P975" s="307"/>
      <c r="Q975" s="307"/>
      <c r="R975" s="307"/>
      <c r="S975" s="307"/>
      <c r="T975" s="307"/>
      <c r="U975" s="307"/>
      <c r="V975" s="307"/>
      <c r="W975" s="307"/>
      <c r="X975" s="307"/>
      <c r="Y975" s="307"/>
      <c r="Z975" s="307"/>
    </row>
    <row r="976" spans="1:26" ht="17.399999999999999">
      <c r="A976" s="307"/>
      <c r="B976" s="307"/>
      <c r="C976" s="307"/>
      <c r="D976" s="307"/>
      <c r="E976" s="307"/>
      <c r="F976" s="307"/>
      <c r="G976" s="307"/>
      <c r="H976" s="307"/>
      <c r="I976" s="307"/>
      <c r="J976" s="307"/>
      <c r="K976" s="307"/>
      <c r="L976" s="307"/>
      <c r="M976" s="307"/>
      <c r="N976" s="307"/>
      <c r="O976" s="307"/>
      <c r="P976" s="307"/>
      <c r="Q976" s="307"/>
      <c r="R976" s="307"/>
      <c r="S976" s="307"/>
      <c r="T976" s="307"/>
      <c r="U976" s="307"/>
      <c r="V976" s="307"/>
      <c r="W976" s="307"/>
      <c r="X976" s="307"/>
      <c r="Y976" s="307"/>
      <c r="Z976" s="307"/>
    </row>
    <row r="977" spans="1:26" ht="17.399999999999999">
      <c r="A977" s="307"/>
      <c r="B977" s="307"/>
      <c r="C977" s="307"/>
      <c r="D977" s="307"/>
      <c r="E977" s="307"/>
      <c r="F977" s="307"/>
      <c r="G977" s="307"/>
      <c r="H977" s="307"/>
      <c r="I977" s="307"/>
      <c r="J977" s="307"/>
      <c r="K977" s="307"/>
      <c r="L977" s="307"/>
      <c r="M977" s="307"/>
      <c r="N977" s="307"/>
      <c r="O977" s="307"/>
      <c r="P977" s="307"/>
      <c r="Q977" s="307"/>
      <c r="R977" s="307"/>
      <c r="S977" s="307"/>
      <c r="T977" s="307"/>
      <c r="U977" s="307"/>
      <c r="V977" s="307"/>
      <c r="W977" s="307"/>
      <c r="X977" s="307"/>
      <c r="Y977" s="307"/>
      <c r="Z977" s="307"/>
    </row>
    <row r="978" spans="1:26" ht="17.399999999999999">
      <c r="A978" s="307"/>
      <c r="B978" s="307"/>
      <c r="C978" s="307"/>
      <c r="D978" s="307"/>
      <c r="E978" s="307"/>
      <c r="F978" s="307"/>
      <c r="G978" s="307"/>
      <c r="H978" s="307"/>
      <c r="I978" s="307"/>
      <c r="J978" s="307"/>
      <c r="K978" s="307"/>
      <c r="L978" s="307"/>
      <c r="M978" s="307"/>
      <c r="N978" s="307"/>
      <c r="O978" s="307"/>
      <c r="P978" s="307"/>
      <c r="Q978" s="307"/>
      <c r="R978" s="307"/>
      <c r="S978" s="307"/>
      <c r="T978" s="307"/>
      <c r="U978" s="307"/>
      <c r="V978" s="307"/>
      <c r="W978" s="307"/>
      <c r="X978" s="307"/>
      <c r="Y978" s="307"/>
      <c r="Z978" s="307"/>
    </row>
    <row r="979" spans="1:26" ht="17.399999999999999">
      <c r="A979" s="307"/>
      <c r="B979" s="307"/>
      <c r="C979" s="307"/>
      <c r="D979" s="307"/>
      <c r="E979" s="307"/>
      <c r="F979" s="307"/>
      <c r="G979" s="307"/>
      <c r="H979" s="307"/>
      <c r="I979" s="307"/>
      <c r="J979" s="307"/>
      <c r="K979" s="307"/>
      <c r="L979" s="307"/>
      <c r="M979" s="307"/>
      <c r="N979" s="307"/>
      <c r="O979" s="307"/>
      <c r="P979" s="307"/>
      <c r="Q979" s="307"/>
      <c r="R979" s="307"/>
      <c r="S979" s="307"/>
      <c r="T979" s="307"/>
      <c r="U979" s="307"/>
      <c r="V979" s="307"/>
      <c r="W979" s="307"/>
      <c r="X979" s="307"/>
      <c r="Y979" s="307"/>
      <c r="Z979" s="307"/>
    </row>
    <row r="980" spans="1:26" ht="17.399999999999999">
      <c r="A980" s="307"/>
      <c r="B980" s="307"/>
      <c r="C980" s="307"/>
      <c r="D980" s="307"/>
      <c r="E980" s="307"/>
      <c r="F980" s="307"/>
      <c r="G980" s="307"/>
      <c r="H980" s="307"/>
      <c r="I980" s="307"/>
      <c r="J980" s="307"/>
      <c r="K980" s="307"/>
      <c r="L980" s="307"/>
      <c r="M980" s="307"/>
      <c r="N980" s="307"/>
      <c r="O980" s="307"/>
      <c r="P980" s="307"/>
      <c r="Q980" s="307"/>
      <c r="R980" s="307"/>
      <c r="S980" s="307"/>
      <c r="T980" s="307"/>
      <c r="U980" s="307"/>
      <c r="V980" s="307"/>
      <c r="W980" s="307"/>
      <c r="X980" s="307"/>
      <c r="Y980" s="307"/>
      <c r="Z980" s="307"/>
    </row>
    <row r="981" spans="1:26" ht="17.399999999999999">
      <c r="A981" s="307"/>
      <c r="B981" s="307"/>
      <c r="C981" s="307"/>
      <c r="D981" s="307"/>
      <c r="E981" s="307"/>
      <c r="F981" s="307"/>
      <c r="G981" s="307"/>
      <c r="H981" s="307"/>
      <c r="I981" s="307"/>
      <c r="J981" s="307"/>
      <c r="K981" s="307"/>
      <c r="L981" s="307"/>
      <c r="M981" s="307"/>
      <c r="N981" s="307"/>
      <c r="O981" s="307"/>
      <c r="P981" s="307"/>
      <c r="Q981" s="307"/>
      <c r="R981" s="307"/>
      <c r="S981" s="307"/>
      <c r="T981" s="307"/>
      <c r="U981" s="307"/>
      <c r="V981" s="307"/>
      <c r="W981" s="307"/>
      <c r="X981" s="307"/>
      <c r="Y981" s="307"/>
      <c r="Z981" s="307"/>
    </row>
    <row r="982" spans="1:26" ht="17.399999999999999">
      <c r="A982" s="307"/>
      <c r="B982" s="307"/>
      <c r="C982" s="307"/>
      <c r="D982" s="307"/>
      <c r="E982" s="307"/>
      <c r="F982" s="307"/>
      <c r="G982" s="307"/>
      <c r="H982" s="307"/>
      <c r="I982" s="307"/>
      <c r="J982" s="307"/>
      <c r="K982" s="307"/>
      <c r="L982" s="307"/>
      <c r="M982" s="307"/>
      <c r="N982" s="307"/>
      <c r="O982" s="307"/>
      <c r="P982" s="307"/>
      <c r="Q982" s="307"/>
      <c r="R982" s="307"/>
      <c r="S982" s="307"/>
      <c r="T982" s="307"/>
      <c r="U982" s="307"/>
      <c r="V982" s="307"/>
      <c r="W982" s="307"/>
      <c r="X982" s="307"/>
      <c r="Y982" s="307"/>
      <c r="Z982" s="307"/>
    </row>
    <row r="983" spans="1:26" ht="17.399999999999999">
      <c r="A983" s="307"/>
      <c r="B983" s="307"/>
      <c r="C983" s="307"/>
      <c r="D983" s="307"/>
      <c r="E983" s="307"/>
      <c r="F983" s="307"/>
      <c r="G983" s="307"/>
      <c r="H983" s="307"/>
      <c r="I983" s="307"/>
      <c r="J983" s="307"/>
      <c r="K983" s="307"/>
      <c r="L983" s="307"/>
      <c r="M983" s="307"/>
      <c r="N983" s="307"/>
      <c r="O983" s="307"/>
      <c r="P983" s="307"/>
      <c r="Q983" s="307"/>
      <c r="R983" s="307"/>
      <c r="S983" s="307"/>
      <c r="T983" s="307"/>
      <c r="U983" s="307"/>
      <c r="V983" s="307"/>
      <c r="W983" s="307"/>
      <c r="X983" s="307"/>
      <c r="Y983" s="307"/>
      <c r="Z983" s="307"/>
    </row>
    <row r="984" spans="1:26" ht="17.399999999999999">
      <c r="A984" s="307"/>
      <c r="B984" s="307"/>
      <c r="C984" s="307"/>
      <c r="D984" s="307"/>
      <c r="E984" s="307"/>
      <c r="F984" s="307"/>
      <c r="G984" s="307"/>
      <c r="H984" s="307"/>
      <c r="I984" s="307"/>
      <c r="J984" s="307"/>
      <c r="K984" s="307"/>
      <c r="L984" s="307"/>
      <c r="M984" s="307"/>
      <c r="N984" s="307"/>
      <c r="O984" s="307"/>
      <c r="P984" s="307"/>
      <c r="Q984" s="307"/>
      <c r="R984" s="307"/>
      <c r="S984" s="307"/>
      <c r="T984" s="307"/>
      <c r="U984" s="307"/>
      <c r="V984" s="307"/>
      <c r="W984" s="307"/>
      <c r="X984" s="307"/>
      <c r="Y984" s="307"/>
      <c r="Z984" s="307"/>
    </row>
    <row r="985" spans="1:26" ht="17.399999999999999">
      <c r="A985" s="307"/>
      <c r="B985" s="307"/>
      <c r="C985" s="307"/>
      <c r="D985" s="307"/>
      <c r="E985" s="307"/>
      <c r="F985" s="307"/>
      <c r="G985" s="307"/>
      <c r="H985" s="307"/>
      <c r="I985" s="307"/>
      <c r="J985" s="307"/>
      <c r="K985" s="307"/>
      <c r="L985" s="307"/>
      <c r="M985" s="307"/>
      <c r="N985" s="307"/>
      <c r="O985" s="307"/>
      <c r="P985" s="307"/>
      <c r="Q985" s="307"/>
      <c r="R985" s="307"/>
      <c r="S985" s="307"/>
      <c r="T985" s="307"/>
      <c r="U985" s="307"/>
      <c r="V985" s="307"/>
      <c r="W985" s="307"/>
      <c r="X985" s="307"/>
      <c r="Y985" s="307"/>
      <c r="Z985" s="307"/>
    </row>
    <row r="986" spans="1:26" ht="17.399999999999999">
      <c r="A986" s="307"/>
      <c r="B986" s="307"/>
      <c r="C986" s="307"/>
      <c r="D986" s="307"/>
      <c r="E986" s="307"/>
      <c r="F986" s="307"/>
      <c r="G986" s="307"/>
      <c r="H986" s="307"/>
      <c r="I986" s="307"/>
      <c r="J986" s="307"/>
      <c r="K986" s="307"/>
      <c r="L986" s="307"/>
      <c r="M986" s="307"/>
      <c r="N986" s="307"/>
      <c r="O986" s="307"/>
      <c r="P986" s="307"/>
      <c r="Q986" s="307"/>
      <c r="R986" s="307"/>
      <c r="S986" s="307"/>
      <c r="T986" s="307"/>
      <c r="U986" s="307"/>
      <c r="V986" s="307"/>
      <c r="W986" s="307"/>
      <c r="X986" s="307"/>
      <c r="Y986" s="307"/>
      <c r="Z986" s="307"/>
    </row>
    <row r="987" spans="1:26" ht="17.399999999999999">
      <c r="A987" s="307"/>
      <c r="B987" s="307"/>
      <c r="C987" s="307"/>
      <c r="D987" s="307"/>
      <c r="E987" s="307"/>
      <c r="F987" s="307"/>
      <c r="G987" s="307"/>
      <c r="H987" s="307"/>
      <c r="I987" s="307"/>
      <c r="J987" s="307"/>
      <c r="K987" s="307"/>
      <c r="L987" s="307"/>
      <c r="M987" s="307"/>
      <c r="N987" s="307"/>
      <c r="O987" s="307"/>
      <c r="P987" s="307"/>
      <c r="Q987" s="307"/>
      <c r="R987" s="307"/>
      <c r="S987" s="307"/>
      <c r="T987" s="307"/>
      <c r="U987" s="307"/>
      <c r="V987" s="307"/>
      <c r="W987" s="307"/>
      <c r="X987" s="307"/>
      <c r="Y987" s="307"/>
      <c r="Z987" s="307"/>
    </row>
    <row r="988" spans="1:26" ht="17.399999999999999">
      <c r="A988" s="307"/>
      <c r="B988" s="307"/>
      <c r="C988" s="307"/>
      <c r="D988" s="307"/>
      <c r="E988" s="307"/>
      <c r="F988" s="307"/>
      <c r="G988" s="307"/>
      <c r="H988" s="307"/>
      <c r="I988" s="307"/>
      <c r="J988" s="307"/>
      <c r="K988" s="307"/>
      <c r="L988" s="307"/>
      <c r="M988" s="307"/>
      <c r="N988" s="307"/>
      <c r="O988" s="307"/>
      <c r="P988" s="307"/>
      <c r="Q988" s="307"/>
      <c r="R988" s="307"/>
      <c r="S988" s="307"/>
      <c r="T988" s="307"/>
      <c r="U988" s="307"/>
      <c r="V988" s="307"/>
      <c r="W988" s="307"/>
      <c r="X988" s="307"/>
      <c r="Y988" s="307"/>
      <c r="Z988" s="307"/>
    </row>
    <row r="989" spans="1:26" ht="17.399999999999999">
      <c r="A989" s="307"/>
      <c r="B989" s="307"/>
      <c r="C989" s="307"/>
      <c r="D989" s="307"/>
      <c r="E989" s="307"/>
      <c r="F989" s="307"/>
      <c r="G989" s="307"/>
      <c r="H989" s="307"/>
      <c r="I989" s="307"/>
      <c r="J989" s="307"/>
      <c r="K989" s="307"/>
      <c r="L989" s="307"/>
      <c r="M989" s="307"/>
      <c r="N989" s="307"/>
      <c r="O989" s="307"/>
      <c r="P989" s="307"/>
      <c r="Q989" s="307"/>
      <c r="R989" s="307"/>
      <c r="S989" s="307"/>
      <c r="T989" s="307"/>
      <c r="U989" s="307"/>
      <c r="V989" s="307"/>
      <c r="W989" s="307"/>
      <c r="X989" s="307"/>
      <c r="Y989" s="307"/>
      <c r="Z989" s="307"/>
    </row>
    <row r="990" spans="1:26" ht="17.399999999999999">
      <c r="A990" s="307"/>
      <c r="B990" s="307"/>
      <c r="C990" s="307"/>
      <c r="D990" s="307"/>
      <c r="E990" s="307"/>
      <c r="F990" s="307"/>
      <c r="G990" s="307"/>
      <c r="H990" s="307"/>
      <c r="I990" s="307"/>
      <c r="J990" s="307"/>
      <c r="K990" s="307"/>
      <c r="L990" s="307"/>
      <c r="M990" s="307"/>
      <c r="N990" s="307"/>
      <c r="O990" s="307"/>
      <c r="P990" s="307"/>
      <c r="Q990" s="307"/>
      <c r="R990" s="307"/>
      <c r="S990" s="307"/>
      <c r="T990" s="307"/>
      <c r="U990" s="307"/>
      <c r="V990" s="307"/>
      <c r="W990" s="307"/>
      <c r="X990" s="307"/>
      <c r="Y990" s="307"/>
      <c r="Z990" s="307"/>
    </row>
    <row r="991" spans="1:26" ht="17.399999999999999">
      <c r="A991" s="307"/>
      <c r="B991" s="307"/>
      <c r="C991" s="307"/>
      <c r="D991" s="307"/>
      <c r="E991" s="307"/>
      <c r="F991" s="307"/>
      <c r="G991" s="307"/>
      <c r="H991" s="307"/>
      <c r="I991" s="307"/>
      <c r="J991" s="307"/>
      <c r="K991" s="307"/>
      <c r="L991" s="307"/>
      <c r="M991" s="307"/>
      <c r="N991" s="307"/>
      <c r="O991" s="307"/>
      <c r="P991" s="307"/>
      <c r="Q991" s="307"/>
      <c r="R991" s="307"/>
      <c r="S991" s="307"/>
      <c r="T991" s="307"/>
      <c r="U991" s="307"/>
      <c r="V991" s="307"/>
      <c r="W991" s="307"/>
      <c r="X991" s="307"/>
      <c r="Y991" s="307"/>
      <c r="Z991" s="307"/>
    </row>
    <row r="992" spans="1:26" ht="17.399999999999999">
      <c r="A992" s="307"/>
      <c r="B992" s="307"/>
      <c r="C992" s="307"/>
      <c r="D992" s="307"/>
      <c r="E992" s="307"/>
      <c r="F992" s="307"/>
      <c r="G992" s="307"/>
      <c r="H992" s="307"/>
      <c r="I992" s="307"/>
      <c r="J992" s="307"/>
      <c r="K992" s="307"/>
      <c r="L992" s="307"/>
      <c r="M992" s="307"/>
      <c r="N992" s="307"/>
      <c r="O992" s="307"/>
      <c r="P992" s="307"/>
      <c r="Q992" s="307"/>
      <c r="R992" s="307"/>
      <c r="S992" s="307"/>
      <c r="T992" s="307"/>
      <c r="U992" s="307"/>
      <c r="V992" s="307"/>
      <c r="W992" s="307"/>
      <c r="X992" s="307"/>
      <c r="Y992" s="307"/>
      <c r="Z992" s="307"/>
    </row>
    <row r="993" spans="1:26" ht="17.399999999999999">
      <c r="A993" s="307"/>
      <c r="B993" s="307"/>
      <c r="C993" s="307"/>
      <c r="D993" s="307"/>
      <c r="E993" s="307"/>
      <c r="F993" s="307"/>
      <c r="G993" s="307"/>
      <c r="H993" s="307"/>
      <c r="I993" s="307"/>
      <c r="J993" s="307"/>
      <c r="K993" s="307"/>
      <c r="L993" s="307"/>
      <c r="M993" s="307"/>
      <c r="N993" s="307"/>
      <c r="O993" s="307"/>
      <c r="P993" s="307"/>
      <c r="Q993" s="307"/>
      <c r="R993" s="307"/>
      <c r="S993" s="307"/>
      <c r="T993" s="307"/>
      <c r="U993" s="307"/>
      <c r="V993" s="307"/>
      <c r="W993" s="307"/>
      <c r="X993" s="307"/>
      <c r="Y993" s="307"/>
      <c r="Z993" s="307"/>
    </row>
    <row r="994" spans="1:26" ht="17.399999999999999">
      <c r="A994" s="307"/>
      <c r="B994" s="307"/>
      <c r="C994" s="307"/>
      <c r="D994" s="307"/>
      <c r="E994" s="307"/>
      <c r="F994" s="307"/>
      <c r="G994" s="307"/>
      <c r="H994" s="307"/>
      <c r="I994" s="307"/>
      <c r="J994" s="307"/>
      <c r="K994" s="307"/>
      <c r="L994" s="307"/>
      <c r="M994" s="307"/>
      <c r="N994" s="307"/>
      <c r="O994" s="307"/>
      <c r="P994" s="307"/>
      <c r="Q994" s="307"/>
      <c r="R994" s="307"/>
      <c r="S994" s="307"/>
      <c r="T994" s="307"/>
      <c r="U994" s="307"/>
      <c r="V994" s="307"/>
      <c r="W994" s="307"/>
      <c r="X994" s="307"/>
      <c r="Y994" s="307"/>
      <c r="Z994" s="307"/>
    </row>
    <row r="995" spans="1:26" ht="17.399999999999999">
      <c r="A995" s="307"/>
      <c r="B995" s="307"/>
      <c r="C995" s="307"/>
      <c r="D995" s="307"/>
      <c r="E995" s="307"/>
      <c r="F995" s="307"/>
      <c r="G995" s="307"/>
      <c r="H995" s="307"/>
      <c r="I995" s="307"/>
      <c r="J995" s="307"/>
      <c r="K995" s="307"/>
      <c r="L995" s="307"/>
      <c r="M995" s="307"/>
      <c r="N995" s="307"/>
      <c r="O995" s="307"/>
      <c r="P995" s="307"/>
      <c r="Q995" s="307"/>
      <c r="R995" s="307"/>
      <c r="S995" s="307"/>
      <c r="T995" s="307"/>
      <c r="U995" s="307"/>
      <c r="V995" s="307"/>
      <c r="W995" s="307"/>
      <c r="X995" s="307"/>
      <c r="Y995" s="307"/>
      <c r="Z995" s="307"/>
    </row>
    <row r="996" spans="1:26" ht="17.399999999999999">
      <c r="A996" s="307"/>
      <c r="B996" s="307"/>
      <c r="C996" s="307"/>
      <c r="D996" s="307"/>
      <c r="E996" s="307"/>
      <c r="F996" s="307"/>
      <c r="G996" s="307"/>
      <c r="H996" s="307"/>
      <c r="I996" s="307"/>
      <c r="J996" s="307"/>
      <c r="K996" s="307"/>
      <c r="L996" s="307"/>
      <c r="M996" s="307"/>
      <c r="N996" s="307"/>
      <c r="O996" s="307"/>
      <c r="P996" s="307"/>
      <c r="Q996" s="307"/>
      <c r="R996" s="307"/>
      <c r="S996" s="307"/>
      <c r="T996" s="307"/>
      <c r="U996" s="307"/>
      <c r="V996" s="307"/>
      <c r="W996" s="307"/>
      <c r="X996" s="307"/>
      <c r="Y996" s="307"/>
      <c r="Z996" s="307"/>
    </row>
    <row r="997" spans="1:26" ht="17.399999999999999">
      <c r="A997" s="307"/>
      <c r="B997" s="307"/>
      <c r="C997" s="307"/>
      <c r="D997" s="307"/>
      <c r="E997" s="307"/>
      <c r="F997" s="307"/>
      <c r="G997" s="307"/>
      <c r="H997" s="307"/>
      <c r="I997" s="307"/>
      <c r="J997" s="307"/>
      <c r="K997" s="307"/>
      <c r="L997" s="307"/>
      <c r="M997" s="307"/>
      <c r="N997" s="307"/>
      <c r="O997" s="307"/>
      <c r="P997" s="307"/>
      <c r="Q997" s="307"/>
      <c r="R997" s="307"/>
      <c r="S997" s="307"/>
      <c r="T997" s="307"/>
      <c r="U997" s="307"/>
      <c r="V997" s="307"/>
      <c r="W997" s="307"/>
      <c r="X997" s="307"/>
      <c r="Y997" s="307"/>
      <c r="Z997" s="307"/>
    </row>
    <row r="998" spans="1:26" ht="17.399999999999999">
      <c r="A998" s="307"/>
      <c r="B998" s="307"/>
      <c r="C998" s="307"/>
      <c r="D998" s="307"/>
      <c r="E998" s="307"/>
      <c r="F998" s="307"/>
      <c r="G998" s="307"/>
      <c r="H998" s="307"/>
      <c r="I998" s="307"/>
      <c r="J998" s="307"/>
      <c r="K998" s="307"/>
      <c r="L998" s="307"/>
      <c r="M998" s="307"/>
      <c r="N998" s="307"/>
      <c r="O998" s="307"/>
      <c r="P998" s="307"/>
      <c r="Q998" s="307"/>
      <c r="R998" s="307"/>
      <c r="S998" s="307"/>
      <c r="T998" s="307"/>
      <c r="U998" s="307"/>
      <c r="V998" s="307"/>
      <c r="W998" s="307"/>
      <c r="X998" s="307"/>
      <c r="Y998" s="307"/>
      <c r="Z998" s="307"/>
    </row>
  </sheetData>
  <mergeCells count="1">
    <mergeCell ref="E13:I13"/>
  </mergeCells>
  <conditionalFormatting sqref="B60 D60:G60">
    <cfRule type="expression" dxfId="8" priority="1">
      <formula>"Yes" =INDIRECT("Appendix!H11")</formula>
    </cfRule>
  </conditionalFormatting>
  <conditionalFormatting sqref="D59:E59">
    <cfRule type="expression" dxfId="7" priority="4">
      <formula>"Yes" =INDIRECT("Appendix!H11")</formula>
    </cfRule>
  </conditionalFormatting>
  <conditionalFormatting sqref="G3">
    <cfRule type="expression" dxfId="6" priority="2">
      <formula>G4&lt;0</formula>
    </cfRule>
  </conditionalFormatting>
  <conditionalFormatting sqref="G4">
    <cfRule type="cellIs" dxfId="5" priority="3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A8436"/>
    <outlinePr summaryBelow="0" summaryRight="0"/>
  </sheetPr>
  <dimension ref="B1:L1017"/>
  <sheetViews>
    <sheetView showGridLines="0" zoomScale="80" zoomScaleNormal="80" workbookViewId="0">
      <selection activeCell="E44" sqref="E44"/>
    </sheetView>
  </sheetViews>
  <sheetFormatPr defaultColWidth="14.44140625" defaultRowHeight="15.75" customHeight="1"/>
  <cols>
    <col min="1" max="1" width="7.33203125" style="6" customWidth="1"/>
    <col min="2" max="2" width="10.77734375" style="6" customWidth="1"/>
    <col min="3" max="3" width="1" style="6" customWidth="1"/>
    <col min="4" max="4" width="26.109375" style="6" customWidth="1"/>
    <col min="5" max="5" width="16.109375" style="6" customWidth="1"/>
    <col min="6" max="11" width="18.77734375" style="6" customWidth="1"/>
    <col min="12" max="16384" width="14.44140625" style="6"/>
  </cols>
  <sheetData>
    <row r="1" spans="2:9" ht="17.399999999999999">
      <c r="E1" s="7"/>
    </row>
    <row r="2" spans="2:9" ht="21">
      <c r="B2" s="107" t="str">
        <f>"Discounted Dividend Model - Stable Growth"</f>
        <v>Discounted Dividend Model - Stable Growth</v>
      </c>
      <c r="E2" s="7"/>
      <c r="G2" s="7"/>
      <c r="H2" s="45"/>
      <c r="I2" s="45"/>
    </row>
    <row r="3" spans="2:9" ht="17.399999999999999">
      <c r="E3" s="7"/>
      <c r="G3" s="7"/>
      <c r="H3" s="7"/>
      <c r="I3" s="46" t="str">
        <f>"Upside"</f>
        <v>Upside</v>
      </c>
    </row>
    <row r="4" spans="2:9" ht="17.399999999999999">
      <c r="E4" s="7"/>
      <c r="G4" s="7"/>
      <c r="H4" s="47"/>
      <c r="I4" s="48">
        <f>G10</f>
        <v>-0.38295601414763425</v>
      </c>
    </row>
    <row r="5" spans="2:9" ht="17.399999999999999">
      <c r="E5" s="7"/>
      <c r="G5" s="7"/>
      <c r="H5" s="7"/>
      <c r="I5" s="7"/>
    </row>
    <row r="6" spans="2:9" ht="17.399999999999999">
      <c r="B6" s="49"/>
      <c r="C6" s="49"/>
      <c r="D6" s="49"/>
      <c r="E6" s="50"/>
      <c r="F6" s="50" t="str">
        <f>"Range"</f>
        <v>Range</v>
      </c>
      <c r="G6" s="50" t="str">
        <f>"Selected"</f>
        <v>Selected</v>
      </c>
      <c r="H6" s="7"/>
      <c r="I6" s="51" t="s">
        <v>28</v>
      </c>
    </row>
    <row r="7" spans="2:9" ht="17.399999999999999">
      <c r="B7" s="8" t="str">
        <f>"Long-term Growth Rate"</f>
        <v>Long-term Growth Rate</v>
      </c>
      <c r="E7" s="7"/>
      <c r="F7" s="7" t="str">
        <f>CONCATENATE(ROUND(Master!E17*100,1),"% - ",ROUND(Master!F17*100,1),"%")</f>
        <v>1% - 3%</v>
      </c>
      <c r="G7" s="52">
        <f>AVERAGE(Master!E17:F17)</f>
        <v>0.02</v>
      </c>
      <c r="H7" s="7"/>
      <c r="I7" s="51" t="str">
        <f>CONCATENATE(TEXT(ROUND(Master!$F$4,2),"#,##0.00;(#,##0.00)")," ",Master!$G$4)</f>
        <v>379.16 USD</v>
      </c>
    </row>
    <row r="8" spans="2:9" ht="17.399999999999999">
      <c r="B8" s="8" t="str">
        <f>"Cost of Equity"</f>
        <v>Cost of Equity</v>
      </c>
      <c r="E8" s="7"/>
      <c r="F8" s="7" t="str">
        <f>CONCATENATE(ROUND(WACC!D11*100,1),"% - ",ROUND(WACC!E11*100,1),"%")</f>
        <v>6.9% - 8.8%</v>
      </c>
      <c r="G8" s="52">
        <f>AVERAGE(WACC!D11:E11)</f>
        <v>7.8695540673819175E-2</v>
      </c>
      <c r="H8" s="7"/>
      <c r="I8" s="7"/>
    </row>
    <row r="9" spans="2:9" ht="17.399999999999999">
      <c r="B9" s="53" t="str">
        <f>"Fair Price"</f>
        <v>Fair Price</v>
      </c>
      <c r="E9" s="7"/>
      <c r="F9" s="7" t="str">
        <f>TEXT(MIN(G26,F26),"#,##0.00;(#,##0.00)")&amp;" - "&amp;TEXT(MAX(F26,G26),"#,##0.00;(#,##0.00)")</f>
        <v>131.02 - 336.90</v>
      </c>
      <c r="G9" s="240">
        <f>AVERAGE(F26:G26)</f>
        <v>233.95839767578303</v>
      </c>
      <c r="H9" s="7"/>
      <c r="I9" s="51" t="s">
        <v>30</v>
      </c>
    </row>
    <row r="10" spans="2:9" ht="17.399999999999999">
      <c r="B10" s="53" t="str">
        <f>"Upside"</f>
        <v>Upside</v>
      </c>
      <c r="E10" s="7"/>
      <c r="F10" s="7" t="str">
        <f>CONCATENATE(ROUND((MIN(G26,F26)/Master!F4-1)*100,1),"% - ",ROUND((MAX(G26,F26)/Master!F4-1)*100,1),"%")</f>
        <v>-65.4% - -11.1%</v>
      </c>
      <c r="G10" s="55">
        <f>G9/Master!F4-1</f>
        <v>-0.38295601414763425</v>
      </c>
      <c r="H10" s="7"/>
      <c r="I10" s="51" t="str">
        <f>CONCATENATE(TEXT(ROUND(G9,2),"#,##0.00;(#,##0.00)")," ",Master!$G$4)</f>
        <v>233.96 USD</v>
      </c>
    </row>
    <row r="11" spans="2:9" ht="17.399999999999999">
      <c r="E11" s="7"/>
    </row>
    <row r="12" spans="2:9" ht="18">
      <c r="B12" s="241"/>
      <c r="E12" s="7"/>
    </row>
    <row r="13" spans="2:9" ht="17.399999999999999">
      <c r="B13" s="271" t="str">
        <f>CONCATENATE("(",Master!E11," in millions except Fair price)")</f>
        <v>(USD in millions except Fair price)</v>
      </c>
      <c r="E13" s="7"/>
    </row>
    <row r="14" spans="2:9" ht="17.399999999999999">
      <c r="B14" s="56"/>
      <c r="C14" s="242"/>
      <c r="D14" s="242"/>
      <c r="E14" s="243"/>
      <c r="F14" s="244" t="str">
        <f>"Low"</f>
        <v>Low</v>
      </c>
      <c r="G14" s="244" t="str">
        <f>"High"</f>
        <v>High</v>
      </c>
    </row>
    <row r="15" spans="2:9" ht="9.75" customHeight="1">
      <c r="B15" s="83"/>
      <c r="E15" s="7"/>
      <c r="F15" s="165"/>
      <c r="G15" s="165"/>
    </row>
    <row r="16" spans="2:9" ht="17.399999999999999">
      <c r="B16" s="83" t="str">
        <f>"Stable payout ratio"</f>
        <v>Stable payout ratio</v>
      </c>
      <c r="E16" s="7"/>
      <c r="F16" s="641">
        <f>0.7</f>
        <v>0.7</v>
      </c>
      <c r="G16" s="641">
        <f>0.9</f>
        <v>0.9</v>
      </c>
    </row>
    <row r="17" spans="2:12" ht="17.399999999999999">
      <c r="B17" s="83" t="str">
        <f>"(*) TTM Profit after tax"</f>
        <v>(*) TTM Profit after tax</v>
      </c>
      <c r="E17" s="7"/>
      <c r="F17" s="64">
        <f>'Trading Multiples'!F30</f>
        <v>14582</v>
      </c>
      <c r="G17" s="64">
        <f>F17</f>
        <v>14582</v>
      </c>
    </row>
    <row r="18" spans="2:12" ht="17.399999999999999">
      <c r="B18" s="245" t="str">
        <f>"Adjusted dividends"</f>
        <v>Adjusted dividends</v>
      </c>
      <c r="C18" s="206"/>
      <c r="D18" s="206"/>
      <c r="E18" s="246"/>
      <c r="F18" s="247">
        <f>F17*F16</f>
        <v>10207.4</v>
      </c>
      <c r="G18" s="247">
        <f>G17*G16</f>
        <v>13123.800000000001</v>
      </c>
    </row>
    <row r="19" spans="2:12" ht="17.399999999999999">
      <c r="E19" s="7"/>
      <c r="F19" s="165"/>
      <c r="G19" s="165"/>
    </row>
    <row r="20" spans="2:12" ht="17.399999999999999">
      <c r="B20" s="83" t="str">
        <f>"Cost of equity"</f>
        <v>Cost of equity</v>
      </c>
      <c r="E20" s="7"/>
      <c r="F20" s="248">
        <f>WACC!E11</f>
        <v>8.8260876620257389E-2</v>
      </c>
      <c r="G20" s="205">
        <f>WACC!D11</f>
        <v>6.9130204727380948E-2</v>
      </c>
    </row>
    <row r="21" spans="2:12" ht="17.399999999999999">
      <c r="B21" s="83" t="str">
        <f>"Long-term growth rate"</f>
        <v>Long-term growth rate</v>
      </c>
      <c r="E21" s="7"/>
      <c r="F21" s="248">
        <f>Master!E17</f>
        <v>0.01</v>
      </c>
      <c r="G21" s="248">
        <f>Master!F17</f>
        <v>0.03</v>
      </c>
    </row>
    <row r="22" spans="2:12" ht="17.399999999999999">
      <c r="B22" s="245" t="str">
        <f>"Equity value"</f>
        <v>Equity value</v>
      </c>
      <c r="C22" s="33"/>
      <c r="D22" s="33"/>
      <c r="E22" s="249"/>
      <c r="F22" s="247">
        <f>F18/(F20-F21)</f>
        <v>130427.8771311114</v>
      </c>
      <c r="G22" s="247">
        <f>G18/(G20-G21)</f>
        <v>335387.97180932609</v>
      </c>
    </row>
    <row r="23" spans="2:12" ht="17.399999999999999">
      <c r="E23" s="7"/>
      <c r="F23" s="250"/>
      <c r="G23" s="250"/>
    </row>
    <row r="24" spans="2:12" ht="17.399999999999999">
      <c r="B24" s="83" t="str">
        <f>"(/) Outstanding share"</f>
        <v>(/) Outstanding share</v>
      </c>
      <c r="E24" s="7"/>
      <c r="F24" s="64">
        <f>Master!E12</f>
        <v>995.51</v>
      </c>
      <c r="G24" s="64">
        <f>F24</f>
        <v>995.51</v>
      </c>
    </row>
    <row r="25" spans="2:12" ht="17.399999999999999">
      <c r="B25" s="65" t="str">
        <f>_xlfn.SINGLE(IF(Appendix!$H$11="Yes", "Fair price", _xlfn.CONCAT(_xlfn.CONCAT("Fair price (",Master!$E$11),")")))</f>
        <v>Fair price</v>
      </c>
      <c r="C25" s="33"/>
      <c r="D25" s="33"/>
      <c r="E25" s="249"/>
      <c r="F25" s="251">
        <f>F22/F24</f>
        <v>131.016139597906</v>
      </c>
      <c r="G25" s="251">
        <f>G22/G24</f>
        <v>336.90065575366003</v>
      </c>
    </row>
    <row r="26" spans="2:12" ht="17.399999999999999">
      <c r="B26" s="76" t="str">
        <f>_xlfn.CONCAT(_xlfn.CONCAT("Fair price (",Master!$G$4),")")</f>
        <v>Fair price (USD)</v>
      </c>
      <c r="E26" s="7"/>
      <c r="F26" s="77">
        <f>F25/Appendix!$H$13</f>
        <v>131.016139597906</v>
      </c>
      <c r="G26" s="77">
        <f>G25/Appendix!$H$13</f>
        <v>336.90065575366003</v>
      </c>
    </row>
    <row r="27" spans="2:12" ht="17.399999999999999">
      <c r="E27" s="165"/>
    </row>
    <row r="28" spans="2:12" ht="17.399999999999999">
      <c r="E28" s="165"/>
    </row>
    <row r="29" spans="2:12" ht="3.75" customHeight="1">
      <c r="B29" s="162"/>
      <c r="C29" s="163"/>
      <c r="D29" s="163"/>
      <c r="E29" s="252"/>
      <c r="F29" s="163"/>
      <c r="G29" s="163"/>
      <c r="H29" s="163"/>
      <c r="I29" s="163"/>
      <c r="J29" s="163"/>
      <c r="K29" s="163"/>
      <c r="L29" s="163"/>
    </row>
    <row r="30" spans="2:12" ht="17.399999999999999">
      <c r="B30" s="4"/>
      <c r="E30" s="7"/>
      <c r="G30" s="7"/>
      <c r="H30" s="45"/>
      <c r="I30" s="45"/>
    </row>
    <row r="31" spans="2:12" ht="21">
      <c r="B31" s="107" t="str">
        <f>"Discounted Dividend Model - Multi Stage"</f>
        <v>Discounted Dividend Model - Multi Stage</v>
      </c>
      <c r="E31" s="7"/>
      <c r="G31" s="7"/>
      <c r="H31" s="45"/>
      <c r="I31" s="45"/>
    </row>
    <row r="32" spans="2:12" ht="17.399999999999999">
      <c r="E32" s="7"/>
      <c r="G32" s="7"/>
      <c r="H32" s="7"/>
      <c r="I32" s="46" t="str">
        <f>"Upside"</f>
        <v>Upside</v>
      </c>
    </row>
    <row r="33" spans="2:11" ht="17.399999999999999">
      <c r="E33" s="7"/>
      <c r="G33" s="7"/>
      <c r="H33" s="47"/>
      <c r="I33" s="48">
        <f>G39</f>
        <v>-0.12689964703436918</v>
      </c>
    </row>
    <row r="34" spans="2:11" ht="17.399999999999999">
      <c r="E34" s="7"/>
      <c r="G34" s="7"/>
      <c r="H34" s="7"/>
      <c r="I34" s="7"/>
    </row>
    <row r="35" spans="2:11" ht="17.399999999999999">
      <c r="B35" s="49"/>
      <c r="C35" s="49"/>
      <c r="D35" s="49"/>
      <c r="E35" s="50"/>
      <c r="F35" s="50" t="str">
        <f>"Range"</f>
        <v>Range</v>
      </c>
      <c r="G35" s="50" t="str">
        <f>"Selected"</f>
        <v>Selected</v>
      </c>
      <c r="H35" s="7"/>
      <c r="I35" s="51" t="s">
        <v>28</v>
      </c>
    </row>
    <row r="36" spans="2:11" ht="17.399999999999999">
      <c r="B36" s="8" t="str">
        <f>"Long-term Growth Rate"</f>
        <v>Long-term Growth Rate</v>
      </c>
      <c r="E36" s="7"/>
      <c r="F36" s="7" t="str">
        <f>CONCATENATE(ROUND(Master!E17*100,1),"% - ",ROUND(Master!F17*100,1),"%")</f>
        <v>1% - 3%</v>
      </c>
      <c r="G36" s="52">
        <f>AVERAGE(Master!E17:F17)</f>
        <v>0.02</v>
      </c>
      <c r="H36" s="7"/>
      <c r="I36" s="51" t="str">
        <f>CONCATENATE(TEXT(ROUND(Master!$F$4,2),"#,##0.00;(#,##0.00)")," ",Master!$G$4)</f>
        <v>379.16 USD</v>
      </c>
    </row>
    <row r="37" spans="2:11" ht="17.399999999999999">
      <c r="B37" s="8" t="str">
        <f>"Cost of Equity"</f>
        <v>Cost of Equity</v>
      </c>
      <c r="E37" s="7"/>
      <c r="F37" s="7" t="str">
        <f>CONCATENATE(ROUND(WACC!D11*100,1),"% - ",ROUND(WACC!E11*100,1),"%")</f>
        <v>6.9% - 8.8%</v>
      </c>
      <c r="G37" s="52">
        <f>AVERAGE(WACC!D11:E11)</f>
        <v>7.8695540673819175E-2</v>
      </c>
      <c r="H37" s="7"/>
      <c r="I37" s="7"/>
    </row>
    <row r="38" spans="2:11" ht="17.399999999999999">
      <c r="B38" s="53" t="str">
        <f>"Fair Price"</f>
        <v>Fair Price</v>
      </c>
      <c r="E38" s="7"/>
      <c r="F38" s="7" t="str">
        <f>TEXT(E78,"#,##0.00;(#,##0.00)")&amp;" - "&amp;TEXT(E88,"#,##0.00;(#,##0.00)")</f>
        <v>255.02 - 482.62</v>
      </c>
      <c r="G38" s="231">
        <f>E64</f>
        <v>331.0447298304486</v>
      </c>
      <c r="H38" s="7"/>
      <c r="I38" s="51" t="s">
        <v>30</v>
      </c>
    </row>
    <row r="39" spans="2:11" ht="17.399999999999999">
      <c r="B39" s="53" t="str">
        <f>"Upside"</f>
        <v>Upside</v>
      </c>
      <c r="E39" s="7"/>
      <c r="F39" s="7" t="str">
        <f>CONCATENATE(ROUND((E78/Master!F4-1)*100,1),"% - ",ROUND((E88/Master!F4-1)*100,1),"%")</f>
        <v>-32.7% - 27.3%</v>
      </c>
      <c r="G39" s="55">
        <f>G38/Master!F4-1</f>
        <v>-0.12689964703436918</v>
      </c>
      <c r="H39" s="7"/>
      <c r="I39" s="51" t="str">
        <f>CONCATENATE(TEXT(ROUND(G38,2),"#,##0.00;(#,##0.00)")," ",Master!$G$4)</f>
        <v>331.04 USD</v>
      </c>
    </row>
    <row r="40" spans="2:11" ht="17.399999999999999">
      <c r="B40" s="83"/>
      <c r="C40" s="253"/>
      <c r="D40" s="253"/>
      <c r="E40" s="165"/>
    </row>
    <row r="41" spans="2:11" ht="17.399999999999999">
      <c r="B41" s="83"/>
      <c r="C41" s="253"/>
      <c r="D41" s="253"/>
      <c r="E41" s="165"/>
    </row>
    <row r="42" spans="2:11" ht="17.399999999999999">
      <c r="B42" s="83"/>
      <c r="E42" s="248"/>
    </row>
    <row r="43" spans="2:11" ht="17.399999999999999">
      <c r="B43" s="83" t="str">
        <f>"Current payout ratio"</f>
        <v>Current payout ratio</v>
      </c>
      <c r="E43" s="254">
        <f>0.6239199</f>
        <v>0.62391989999999997</v>
      </c>
    </row>
    <row r="44" spans="2:11" ht="17.399999999999999">
      <c r="B44" s="83" t="str">
        <f>"Stable payout ratio"</f>
        <v>Stable payout ratio</v>
      </c>
      <c r="E44" s="642">
        <f>0.9</f>
        <v>0.9</v>
      </c>
    </row>
    <row r="45" spans="2:11" ht="17.399999999999999">
      <c r="E45" s="165"/>
    </row>
    <row r="46" spans="2:11" ht="22.95" customHeight="1">
      <c r="B46" s="271" t="str">
        <f>Financials!B58</f>
        <v>(USD in millions)</v>
      </c>
      <c r="E46" s="255"/>
      <c r="F46" s="422" t="str">
        <f>"Projections"</f>
        <v>Projections</v>
      </c>
      <c r="G46" s="421"/>
      <c r="H46" s="421"/>
      <c r="I46" s="421"/>
      <c r="J46" s="421"/>
      <c r="K46" s="421"/>
    </row>
    <row r="47" spans="2:11" ht="17.399999999999999">
      <c r="B47" s="82"/>
      <c r="C47" s="82"/>
      <c r="D47" s="82"/>
      <c r="E47" s="82"/>
      <c r="F47" s="82" t="str">
        <f>CONCATENATE(IF(Appendix!H5=12,"",CONCATENATE(Appendix!H5,"M/")),"FY",RIGHT( Financials!G5,2)+1)</f>
        <v>3M/FY26</v>
      </c>
      <c r="G47" s="82" t="str">
        <f>CONCATENATE("FY",RIGHT(F47,2)+1)</f>
        <v>FY27</v>
      </c>
      <c r="H47" s="82" t="str">
        <f>CONCATENATE("FY",RIGHT(G47,2)+1)</f>
        <v>FY28</v>
      </c>
      <c r="I47" s="82" t="str">
        <f>CONCATENATE("FY",RIGHT(H47,2)+1)</f>
        <v>FY29</v>
      </c>
      <c r="J47" s="82" t="str">
        <f>CONCATENATE("FY",RIGHT(I47,2)+1)</f>
        <v>FY30</v>
      </c>
      <c r="K47" s="616" t="str">
        <f>"Terminal"</f>
        <v>Terminal</v>
      </c>
    </row>
    <row r="48" spans="2:11" ht="17.399999999999999">
      <c r="E48" s="165"/>
      <c r="F48" s="165"/>
      <c r="G48" s="165"/>
      <c r="H48" s="165"/>
      <c r="I48" s="165"/>
      <c r="J48" s="165"/>
      <c r="K48" s="634"/>
    </row>
    <row r="49" spans="2:11" ht="17.399999999999999">
      <c r="B49" s="83" t="str">
        <f>"Profit after tax"</f>
        <v>Profit after tax</v>
      </c>
      <c r="E49" s="255"/>
      <c r="F49" s="64">
        <f>'Rev &amp; Exp'!E29/12*Appendix!H5</f>
        <v>4305.799405665648</v>
      </c>
      <c r="G49" s="64">
        <f>'Rev &amp; Exp'!F29</f>
        <v>19266.189259998064</v>
      </c>
      <c r="H49" s="64">
        <f>'Rev &amp; Exp'!G29</f>
        <v>21468.31772692595</v>
      </c>
      <c r="I49" s="64">
        <f>'Rev &amp; Exp'!H29</f>
        <v>24033.566764154315</v>
      </c>
      <c r="J49" s="64">
        <f>'Rev &amp; Exp'!I29</f>
        <v>26905.247352957162</v>
      </c>
      <c r="K49" s="618">
        <f>AVERAGE(H49:J49)</f>
        <v>24135.710614679145</v>
      </c>
    </row>
    <row r="50" spans="2:11" ht="18" hidden="1">
      <c r="B50" s="241" t="str">
        <f>"Growth"</f>
        <v>Growth</v>
      </c>
      <c r="E50" s="256"/>
      <c r="F50" s="128">
        <f>0.0703131603136027</f>
        <v>7.0313160313602699E-2</v>
      </c>
      <c r="G50" s="128">
        <f>0.0703131603136027</f>
        <v>7.0313160313602699E-2</v>
      </c>
      <c r="H50" s="128">
        <f>0.0703131603136027</f>
        <v>7.0313160313602699E-2</v>
      </c>
      <c r="I50" s="128">
        <f>0.0703131603136027</f>
        <v>7.0313160313602699E-2</v>
      </c>
      <c r="J50" s="128">
        <f>0.0703131603136027</f>
        <v>7.0313160313602699E-2</v>
      </c>
      <c r="K50" s="635"/>
    </row>
    <row r="51" spans="2:11" ht="18">
      <c r="B51" s="241"/>
      <c r="E51" s="256"/>
      <c r="F51" s="256"/>
      <c r="G51" s="256"/>
      <c r="H51" s="256"/>
      <c r="I51" s="256"/>
      <c r="J51" s="256"/>
      <c r="K51" s="635"/>
    </row>
    <row r="52" spans="2:11" ht="17.399999999999999">
      <c r="B52" s="83" t="str">
        <f>"Payout ratio"</f>
        <v>Payout ratio</v>
      </c>
      <c r="E52" s="255"/>
      <c r="F52" s="257">
        <f>E43</f>
        <v>0.62391989999999997</v>
      </c>
      <c r="G52" s="257">
        <f>F52+($E$44-$E$43)/5</f>
        <v>0.67913592</v>
      </c>
      <c r="H52" s="257">
        <f>G52+($E$44-$E$43)/5</f>
        <v>0.73435194000000004</v>
      </c>
      <c r="I52" s="257">
        <f>H52+($E$44-$E$43)/5</f>
        <v>0.78956796000000007</v>
      </c>
      <c r="J52" s="257">
        <f>I52+($E$44-$E$43)/5</f>
        <v>0.8447839800000001</v>
      </c>
      <c r="K52" s="636">
        <f>J52+($E$44-$E$43)/5</f>
        <v>0.90000000000000013</v>
      </c>
    </row>
    <row r="53" spans="2:11" ht="17.399999999999999">
      <c r="B53" s="245" t="str">
        <f>"Estimated paid dividends"</f>
        <v>Estimated paid dividends</v>
      </c>
      <c r="C53" s="33"/>
      <c r="D53" s="33"/>
      <c r="E53" s="258"/>
      <c r="F53" s="247">
        <f t="shared" ref="F53:K53" si="0">F49*F52</f>
        <v>2686.4739346029705</v>
      </c>
      <c r="G53" s="247">
        <f t="shared" si="0"/>
        <v>13084.361167982905</v>
      </c>
      <c r="H53" s="247">
        <f t="shared" si="0"/>
        <v>15765.300771304463</v>
      </c>
      <c r="I53" s="247">
        <f t="shared" si="0"/>
        <v>18976.134281497125</v>
      </c>
      <c r="J53" s="247">
        <f t="shared" si="0"/>
        <v>22729.121941715617</v>
      </c>
      <c r="K53" s="637">
        <f t="shared" si="0"/>
        <v>21722.139553211233</v>
      </c>
    </row>
    <row r="54" spans="2:11" ht="17.399999999999999">
      <c r="E54" s="165"/>
      <c r="F54" s="250"/>
      <c r="G54" s="250"/>
      <c r="H54" s="250"/>
      <c r="I54" s="250"/>
      <c r="J54" s="250"/>
      <c r="K54" s="618"/>
    </row>
    <row r="55" spans="2:11" ht="17.399999999999999">
      <c r="B55" s="83" t="str">
        <f>"Cost of equity"</f>
        <v>Cost of equity</v>
      </c>
      <c r="E55" s="259">
        <f>G37</f>
        <v>7.8695540673819175E-2</v>
      </c>
      <c r="F55" s="250"/>
      <c r="G55" s="250"/>
      <c r="H55" s="250"/>
      <c r="I55" s="250"/>
      <c r="J55" s="250"/>
      <c r="K55" s="618"/>
    </row>
    <row r="56" spans="2:11" ht="17.399999999999999">
      <c r="B56" s="83" t="str">
        <f>"Long-term growth rate"</f>
        <v>Long-term growth rate</v>
      </c>
      <c r="E56" s="259">
        <f>G36</f>
        <v>0.02</v>
      </c>
      <c r="F56" s="250"/>
      <c r="G56" s="250"/>
      <c r="H56" s="250"/>
      <c r="I56" s="250"/>
      <c r="J56" s="250"/>
      <c r="K56" s="618"/>
    </row>
    <row r="57" spans="2:11" ht="17.399999999999999">
      <c r="E57" s="165"/>
      <c r="F57" s="250"/>
      <c r="G57" s="250"/>
      <c r="H57" s="250"/>
      <c r="I57" s="250"/>
      <c r="J57" s="250"/>
      <c r="K57" s="618"/>
    </row>
    <row r="58" spans="2:11" ht="17.399999999999999">
      <c r="B58" s="83" t="str">
        <f>"Timing of dividends (mid year)"</f>
        <v>Timing of dividends (mid year)</v>
      </c>
      <c r="E58" s="255"/>
      <c r="F58" s="260">
        <f>Appendix!H5/12-Appendix!H5/12/2</f>
        <v>0.125</v>
      </c>
      <c r="G58" s="260">
        <f>(Appendix!H5+12)/12-0.5</f>
        <v>0.75</v>
      </c>
      <c r="H58" s="70">
        <f t="shared" ref="H58:J58" si="1">G58+1</f>
        <v>1.75</v>
      </c>
      <c r="I58" s="70">
        <f t="shared" si="1"/>
        <v>2.75</v>
      </c>
      <c r="J58" s="70">
        <f t="shared" si="1"/>
        <v>3.75</v>
      </c>
      <c r="K58" s="622">
        <f>J58+0.5</f>
        <v>4.25</v>
      </c>
    </row>
    <row r="59" spans="2:11" ht="17.399999999999999">
      <c r="B59" s="261" t="str">
        <f>"Present value of dividends"</f>
        <v>Present value of dividends</v>
      </c>
      <c r="C59" s="39"/>
      <c r="D59" s="39"/>
      <c r="E59" s="262"/>
      <c r="F59" s="263">
        <f t="shared" ref="F59:J59" si="2">F53/POWER(1+$E$55,F58)</f>
        <v>2661.1556117947689</v>
      </c>
      <c r="G59" s="263">
        <f t="shared" si="2"/>
        <v>12361.704589322497</v>
      </c>
      <c r="H59" s="263">
        <f t="shared" si="2"/>
        <v>13807.950286860438</v>
      </c>
      <c r="I59" s="263">
        <f t="shared" si="2"/>
        <v>15407.629110728345</v>
      </c>
      <c r="J59" s="263">
        <f t="shared" si="2"/>
        <v>17108.496529120202</v>
      </c>
      <c r="K59" s="638">
        <f>K53/(E55-E56)/POWER(1+E55,K58)</f>
        <v>268211.40286568366</v>
      </c>
    </row>
    <row r="60" spans="2:11" ht="17.399999999999999">
      <c r="E60" s="165"/>
      <c r="F60" s="264"/>
      <c r="G60" s="264"/>
      <c r="H60" s="264"/>
      <c r="I60" s="264"/>
      <c r="J60" s="264"/>
      <c r="K60" s="264"/>
    </row>
    <row r="61" spans="2:11" ht="17.399999999999999">
      <c r="B61" s="89" t="str">
        <f>"Equity value"</f>
        <v>Equity value</v>
      </c>
      <c r="E61" s="90">
        <f>SUM(F59:K59)</f>
        <v>329558.33899350988</v>
      </c>
      <c r="F61" s="264"/>
      <c r="G61" s="264"/>
      <c r="H61" s="264"/>
      <c r="I61" s="264"/>
      <c r="J61" s="264"/>
      <c r="K61" s="264"/>
    </row>
    <row r="62" spans="2:11" ht="17.399999999999999">
      <c r="B62" s="83" t="str">
        <f>"(/) Outstanding shares"</f>
        <v>(/) Outstanding shares</v>
      </c>
      <c r="E62" s="64">
        <f>Master!E12</f>
        <v>995.51</v>
      </c>
      <c r="F62" s="264"/>
      <c r="G62" s="264"/>
      <c r="H62" s="264"/>
      <c r="I62" s="264"/>
      <c r="J62" s="264"/>
      <c r="K62" s="264"/>
    </row>
    <row r="63" spans="2:11" ht="17.399999999999999">
      <c r="B63" s="65" t="str">
        <f>IF(Appendix!$H$11="Yes", "Fair price", _xludf.concat(_xludf.concat("Fair price (",Master!$E$11),")"))</f>
        <v>Fair price</v>
      </c>
      <c r="C63" s="33"/>
      <c r="D63" s="33"/>
      <c r="E63" s="251">
        <f>E61/E62</f>
        <v>331.0447298304486</v>
      </c>
      <c r="F63" s="264"/>
      <c r="G63" s="264"/>
      <c r="H63" s="264"/>
      <c r="I63" s="264"/>
      <c r="J63" s="264"/>
      <c r="K63" s="264"/>
    </row>
    <row r="64" spans="2:11" ht="17.399999999999999">
      <c r="B64" s="76" t="str">
        <f>_xlfn.CONCAT(_xlfn.CONCAT("Fair price (",Master!$G$4),")")</f>
        <v>Fair price (USD)</v>
      </c>
      <c r="E64" s="77">
        <f>E63/Appendix!$H$13</f>
        <v>331.0447298304486</v>
      </c>
    </row>
    <row r="65" spans="2:11" ht="17.399999999999999">
      <c r="E65" s="7"/>
    </row>
    <row r="66" spans="2:11" ht="17.399999999999999">
      <c r="E66" s="7"/>
    </row>
    <row r="67" spans="2:11" ht="17.399999999999999">
      <c r="B67" s="78" t="str">
        <f>"Sensitivity Analysis"</f>
        <v>Sensitivity Analysis</v>
      </c>
      <c r="C67" s="305"/>
      <c r="D67" s="305"/>
      <c r="E67" s="309"/>
      <c r="F67" s="305"/>
      <c r="G67" s="305"/>
      <c r="H67" s="305"/>
      <c r="I67" s="305"/>
      <c r="J67" s="305"/>
      <c r="K67" s="79"/>
    </row>
    <row r="68" spans="2:11" ht="24" customHeight="1">
      <c r="B68" s="80"/>
      <c r="E68" s="7"/>
      <c r="F68" s="422" t="str">
        <f>"Projections"</f>
        <v>Projections</v>
      </c>
      <c r="G68" s="421"/>
      <c r="H68" s="421"/>
      <c r="I68" s="421"/>
      <c r="J68" s="421"/>
      <c r="K68" s="432"/>
    </row>
    <row r="69" spans="2:11" ht="17.399999999999999">
      <c r="B69" s="80"/>
      <c r="E69" s="7"/>
      <c r="F69" s="82" t="str">
        <f t="shared" ref="F69:K69" si="3">F47</f>
        <v>3M/FY26</v>
      </c>
      <c r="G69" s="82" t="str">
        <f t="shared" si="3"/>
        <v>FY27</v>
      </c>
      <c r="H69" s="82" t="str">
        <f t="shared" si="3"/>
        <v>FY28</v>
      </c>
      <c r="I69" s="82" t="str">
        <f t="shared" si="3"/>
        <v>FY29</v>
      </c>
      <c r="J69" s="82" t="str">
        <f t="shared" si="3"/>
        <v>FY30</v>
      </c>
      <c r="K69" s="624" t="str">
        <f t="shared" si="3"/>
        <v>Terminal</v>
      </c>
    </row>
    <row r="70" spans="2:11" ht="8.25" customHeight="1">
      <c r="B70" s="80"/>
      <c r="E70" s="7"/>
      <c r="K70" s="639"/>
    </row>
    <row r="71" spans="2:11" ht="17.399999999999999">
      <c r="B71" s="427" t="str">
        <f>"Low"</f>
        <v>Low</v>
      </c>
      <c r="C71" s="83"/>
      <c r="D71" s="83" t="str">
        <f>"Cost of equity"</f>
        <v>Cost of equity</v>
      </c>
      <c r="E71" s="84">
        <f>WACC!E11</f>
        <v>8.8260876620257389E-2</v>
      </c>
      <c r="K71" s="639"/>
    </row>
    <row r="72" spans="2:11" ht="17.399999999999999">
      <c r="B72" s="428"/>
      <c r="C72" s="83"/>
      <c r="D72" s="83" t="str">
        <f>"Long-term growth rate"</f>
        <v>Long-term growth rate</v>
      </c>
      <c r="E72" s="85">
        <f>Master!E17</f>
        <v>0.01</v>
      </c>
      <c r="K72" s="639"/>
    </row>
    <row r="73" spans="2:11" ht="8.25" customHeight="1">
      <c r="B73" s="428"/>
      <c r="E73" s="7"/>
      <c r="K73" s="639"/>
    </row>
    <row r="74" spans="2:11" ht="17.399999999999999">
      <c r="B74" s="428"/>
      <c r="C74" s="83"/>
      <c r="D74" s="87" t="str">
        <f>"Present value of dividends"</f>
        <v>Present value of dividends</v>
      </c>
      <c r="E74" s="11"/>
      <c r="F74" s="88">
        <f t="shared" ref="F74:J74" si="4">F53/POWER(1+$E$71,F58)</f>
        <v>2658.2205074869321</v>
      </c>
      <c r="G74" s="88">
        <f t="shared" si="4"/>
        <v>12280.124254184026</v>
      </c>
      <c r="H74" s="88">
        <f t="shared" si="4"/>
        <v>13596.260656942237</v>
      </c>
      <c r="I74" s="88">
        <f t="shared" si="4"/>
        <v>15038.064727111368</v>
      </c>
      <c r="J74" s="88">
        <f t="shared" si="4"/>
        <v>16551.366182359525</v>
      </c>
      <c r="K74" s="626">
        <f>K53/POWER(1+$E$71,K58)/(E71-E72)</f>
        <v>193750.38381997761</v>
      </c>
    </row>
    <row r="75" spans="2:11" ht="9.75" customHeight="1">
      <c r="B75" s="428"/>
      <c r="E75" s="7"/>
      <c r="K75" s="639"/>
    </row>
    <row r="76" spans="2:11" ht="17.399999999999999">
      <c r="B76" s="428"/>
      <c r="C76" s="89"/>
      <c r="D76" s="89" t="str">
        <f>"Equity value"</f>
        <v>Equity value</v>
      </c>
      <c r="E76" s="90">
        <f>SUM(F74:K74)</f>
        <v>253874.4201480617</v>
      </c>
      <c r="K76" s="639"/>
    </row>
    <row r="77" spans="2:11" ht="17.399999999999999">
      <c r="B77" s="428"/>
      <c r="C77" s="89"/>
      <c r="D77" s="67" t="str">
        <f>IF(Appendix!$H$11="Yes", "Fair price", _xlfn.CONCAT(_xlfn.CONCAT("Fair price (",Master!$E$11),")"))</f>
        <v>Fair price</v>
      </c>
      <c r="E77" s="91">
        <f>E76/E62</f>
        <v>255.01945751229189</v>
      </c>
      <c r="K77" s="639"/>
    </row>
    <row r="78" spans="2:11" ht="17.399999999999999">
      <c r="B78" s="428"/>
      <c r="C78" s="83"/>
      <c r="D78" s="76" t="str">
        <f>_xlfn.CONCAT(_xlfn.CONCAT("Fair price (",Master!$G$4),")")</f>
        <v>Fair price (USD)</v>
      </c>
      <c r="E78" s="91">
        <f>E77/Appendix!$H$13</f>
        <v>255.01945751229189</v>
      </c>
      <c r="K78" s="639"/>
    </row>
    <row r="79" spans="2:11" ht="17.399999999999999">
      <c r="B79" s="93"/>
      <c r="C79" s="94"/>
      <c r="D79" s="94"/>
      <c r="E79" s="12"/>
      <c r="F79" s="56"/>
      <c r="G79" s="56"/>
      <c r="H79" s="56"/>
      <c r="I79" s="56"/>
      <c r="J79" s="56"/>
      <c r="K79" s="640"/>
    </row>
    <row r="80" spans="2:11" ht="17.399999999999999">
      <c r="B80" s="96"/>
      <c r="C80" s="83"/>
      <c r="D80" s="83"/>
      <c r="E80" s="7"/>
      <c r="K80" s="639"/>
    </row>
    <row r="81" spans="2:11" ht="17.399999999999999">
      <c r="B81" s="427" t="str">
        <f>"High"</f>
        <v>High</v>
      </c>
      <c r="C81" s="83"/>
      <c r="D81" s="83" t="str">
        <f>"Cost of equity"</f>
        <v>Cost of equity</v>
      </c>
      <c r="E81" s="84">
        <f>WACC!D11</f>
        <v>6.9130204727380948E-2</v>
      </c>
      <c r="K81" s="639"/>
    </row>
    <row r="82" spans="2:11" ht="17.399999999999999">
      <c r="B82" s="428"/>
      <c r="C82" s="83"/>
      <c r="D82" s="83" t="str">
        <f>"Long-term growth rate"</f>
        <v>Long-term growth rate</v>
      </c>
      <c r="E82" s="85">
        <f>Master!F17</f>
        <v>0.03</v>
      </c>
      <c r="K82" s="639"/>
    </row>
    <row r="83" spans="2:11" ht="9.75" customHeight="1">
      <c r="B83" s="428"/>
      <c r="E83" s="7"/>
      <c r="K83" s="639"/>
    </row>
    <row r="84" spans="2:11" ht="17.399999999999999">
      <c r="B84" s="428"/>
      <c r="C84" s="83"/>
      <c r="D84" s="87" t="str">
        <f>"Present value of dividends"</f>
        <v>Present value of dividends</v>
      </c>
      <c r="E84" s="11"/>
      <c r="F84" s="88">
        <f t="shared" ref="F84:J84" si="5">F53/POWER(1+$E$81,F58)</f>
        <v>2664.1201436720521</v>
      </c>
      <c r="G84" s="88">
        <f t="shared" si="5"/>
        <v>12444.560804109202</v>
      </c>
      <c r="H84" s="88">
        <f t="shared" si="5"/>
        <v>14024.865723449337</v>
      </c>
      <c r="I84" s="88">
        <f t="shared" si="5"/>
        <v>15789.689758456445</v>
      </c>
      <c r="J84" s="88">
        <f t="shared" si="5"/>
        <v>17689.595873395985</v>
      </c>
      <c r="K84" s="626">
        <f>K53/POWER(1+$E$81,K58)/(E81-E82)</f>
        <v>417840.40374074032</v>
      </c>
    </row>
    <row r="85" spans="2:11" ht="9.75" customHeight="1">
      <c r="B85" s="428"/>
      <c r="E85" s="7"/>
      <c r="K85" s="639"/>
    </row>
    <row r="86" spans="2:11" ht="17.399999999999999">
      <c r="B86" s="428"/>
      <c r="C86" s="89"/>
      <c r="D86" s="89" t="str">
        <f>"Equity value"</f>
        <v>Equity value</v>
      </c>
      <c r="E86" s="90">
        <f>SUM(F84:K84)</f>
        <v>480453.23604382336</v>
      </c>
      <c r="K86" s="639"/>
    </row>
    <row r="87" spans="2:11" ht="17.399999999999999">
      <c r="B87" s="428"/>
      <c r="C87" s="89"/>
      <c r="D87" s="67" t="str">
        <f>IF(Appendix!$H$11="Yes", "Fair price", _xlfn.CONCAT(_xlfn.CONCAT("Fair price (",Master!$E$11),")"))</f>
        <v>Fair price</v>
      </c>
      <c r="E87" s="91">
        <f>E86/E62</f>
        <v>482.6202007451692</v>
      </c>
      <c r="K87" s="639"/>
    </row>
    <row r="88" spans="2:11" ht="17.399999999999999">
      <c r="B88" s="428"/>
      <c r="D88" s="76" t="str">
        <f>_xlfn.CONCAT(_xlfn.CONCAT("Fair price (",Master!$G$4),")")</f>
        <v>Fair price (USD)</v>
      </c>
      <c r="E88" s="91">
        <f>E87/Appendix!$H$13</f>
        <v>482.6202007451692</v>
      </c>
      <c r="K88" s="265"/>
    </row>
    <row r="89" spans="2:11" ht="17.399999999999999">
      <c r="B89" s="98"/>
      <c r="C89" s="306"/>
      <c r="D89" s="306"/>
      <c r="E89" s="310"/>
      <c r="F89" s="306"/>
      <c r="G89" s="306"/>
      <c r="H89" s="306"/>
      <c r="I89" s="306"/>
      <c r="J89" s="306"/>
      <c r="K89" s="266"/>
    </row>
    <row r="90" spans="2:11" ht="17.399999999999999">
      <c r="E90" s="7"/>
    </row>
    <row r="91" spans="2:11" ht="17.399999999999999">
      <c r="E91" s="7"/>
    </row>
    <row r="92" spans="2:11" ht="17.399999999999999">
      <c r="E92" s="7"/>
    </row>
    <row r="93" spans="2:11" ht="17.399999999999999">
      <c r="E93" s="7"/>
    </row>
    <row r="94" spans="2:11" ht="17.399999999999999">
      <c r="E94" s="7"/>
    </row>
    <row r="95" spans="2:11" ht="17.399999999999999">
      <c r="E95" s="7"/>
    </row>
    <row r="96" spans="2:11" ht="17.399999999999999">
      <c r="E96" s="7"/>
    </row>
    <row r="97" spans="5:5" ht="17.399999999999999">
      <c r="E97" s="7"/>
    </row>
    <row r="98" spans="5:5" ht="17.399999999999999">
      <c r="E98" s="7"/>
    </row>
    <row r="99" spans="5:5" ht="17.399999999999999">
      <c r="E99" s="7"/>
    </row>
    <row r="100" spans="5:5" ht="17.399999999999999">
      <c r="E100" s="7"/>
    </row>
    <row r="101" spans="5:5" ht="17.399999999999999">
      <c r="E101" s="7"/>
    </row>
    <row r="102" spans="5:5" ht="17.399999999999999">
      <c r="E102" s="7"/>
    </row>
    <row r="103" spans="5:5" ht="17.399999999999999">
      <c r="E103" s="7"/>
    </row>
    <row r="104" spans="5:5" ht="17.399999999999999">
      <c r="E104" s="7"/>
    </row>
    <row r="105" spans="5:5" ht="17.399999999999999">
      <c r="E105" s="7"/>
    </row>
    <row r="106" spans="5:5" ht="17.399999999999999">
      <c r="E106" s="7"/>
    </row>
    <row r="107" spans="5:5" ht="17.399999999999999">
      <c r="E107" s="7"/>
    </row>
    <row r="108" spans="5:5" ht="17.399999999999999">
      <c r="E108" s="7"/>
    </row>
    <row r="109" spans="5:5" ht="17.399999999999999">
      <c r="E109" s="7"/>
    </row>
    <row r="110" spans="5:5" ht="17.399999999999999">
      <c r="E110" s="7"/>
    </row>
    <row r="111" spans="5:5" ht="17.399999999999999">
      <c r="E111" s="7"/>
    </row>
    <row r="112" spans="5:5" ht="17.399999999999999">
      <c r="E112" s="7"/>
    </row>
    <row r="113" spans="5:5" ht="17.399999999999999">
      <c r="E113" s="7"/>
    </row>
    <row r="114" spans="5:5" ht="17.399999999999999">
      <c r="E114" s="7"/>
    </row>
    <row r="115" spans="5:5" ht="17.399999999999999">
      <c r="E115" s="7"/>
    </row>
    <row r="116" spans="5:5" ht="17.399999999999999">
      <c r="E116" s="7"/>
    </row>
    <row r="117" spans="5:5" ht="17.399999999999999">
      <c r="E117" s="7"/>
    </row>
    <row r="118" spans="5:5" ht="17.399999999999999">
      <c r="E118" s="7"/>
    </row>
    <row r="119" spans="5:5" ht="17.399999999999999">
      <c r="E119" s="7"/>
    </row>
    <row r="120" spans="5:5" ht="17.399999999999999">
      <c r="E120" s="7"/>
    </row>
    <row r="121" spans="5:5" ht="17.399999999999999">
      <c r="E121" s="7"/>
    </row>
    <row r="122" spans="5:5" ht="17.399999999999999">
      <c r="E122" s="7"/>
    </row>
    <row r="123" spans="5:5" ht="17.399999999999999">
      <c r="E123" s="7"/>
    </row>
    <row r="124" spans="5:5" ht="17.399999999999999">
      <c r="E124" s="7"/>
    </row>
    <row r="125" spans="5:5" ht="17.399999999999999">
      <c r="E125" s="7"/>
    </row>
    <row r="126" spans="5:5" ht="17.399999999999999">
      <c r="E126" s="7"/>
    </row>
    <row r="127" spans="5:5" ht="17.399999999999999">
      <c r="E127" s="7"/>
    </row>
    <row r="128" spans="5:5" ht="17.399999999999999">
      <c r="E128" s="7"/>
    </row>
    <row r="129" spans="5:5" ht="17.399999999999999">
      <c r="E129" s="7"/>
    </row>
    <row r="130" spans="5:5" ht="17.399999999999999">
      <c r="E130" s="7"/>
    </row>
    <row r="131" spans="5:5" ht="17.399999999999999">
      <c r="E131" s="7"/>
    </row>
    <row r="132" spans="5:5" ht="17.399999999999999">
      <c r="E132" s="7"/>
    </row>
    <row r="133" spans="5:5" ht="17.399999999999999">
      <c r="E133" s="7"/>
    </row>
    <row r="134" spans="5:5" ht="17.399999999999999">
      <c r="E134" s="7"/>
    </row>
    <row r="135" spans="5:5" ht="17.399999999999999">
      <c r="E135" s="7"/>
    </row>
    <row r="136" spans="5:5" ht="17.399999999999999">
      <c r="E136" s="7"/>
    </row>
    <row r="137" spans="5:5" ht="17.399999999999999">
      <c r="E137" s="7"/>
    </row>
    <row r="138" spans="5:5" ht="17.399999999999999">
      <c r="E138" s="7"/>
    </row>
    <row r="139" spans="5:5" ht="17.399999999999999">
      <c r="E139" s="7"/>
    </row>
    <row r="140" spans="5:5" ht="17.399999999999999">
      <c r="E140" s="7"/>
    </row>
    <row r="141" spans="5:5" ht="17.399999999999999">
      <c r="E141" s="7"/>
    </row>
    <row r="142" spans="5:5" ht="17.399999999999999">
      <c r="E142" s="7"/>
    </row>
    <row r="143" spans="5:5" ht="17.399999999999999">
      <c r="E143" s="7"/>
    </row>
    <row r="144" spans="5:5" ht="17.399999999999999">
      <c r="E144" s="7"/>
    </row>
    <row r="145" spans="5:5" ht="17.399999999999999">
      <c r="E145" s="7"/>
    </row>
    <row r="146" spans="5:5" ht="17.399999999999999">
      <c r="E146" s="7"/>
    </row>
    <row r="147" spans="5:5" ht="17.399999999999999">
      <c r="E147" s="7"/>
    </row>
    <row r="148" spans="5:5" ht="17.399999999999999">
      <c r="E148" s="7"/>
    </row>
    <row r="149" spans="5:5" ht="17.399999999999999">
      <c r="E149" s="7"/>
    </row>
    <row r="150" spans="5:5" ht="17.399999999999999">
      <c r="E150" s="7"/>
    </row>
    <row r="151" spans="5:5" ht="17.399999999999999">
      <c r="E151" s="7"/>
    </row>
    <row r="152" spans="5:5" ht="17.399999999999999">
      <c r="E152" s="7"/>
    </row>
    <row r="153" spans="5:5" ht="17.399999999999999">
      <c r="E153" s="7"/>
    </row>
    <row r="154" spans="5:5" ht="17.399999999999999">
      <c r="E154" s="7"/>
    </row>
    <row r="155" spans="5:5" ht="17.399999999999999">
      <c r="E155" s="7"/>
    </row>
    <row r="156" spans="5:5" ht="17.399999999999999">
      <c r="E156" s="7"/>
    </row>
    <row r="157" spans="5:5" ht="17.399999999999999">
      <c r="E157" s="7"/>
    </row>
    <row r="158" spans="5:5" ht="17.399999999999999">
      <c r="E158" s="7"/>
    </row>
    <row r="159" spans="5:5" ht="17.399999999999999">
      <c r="E159" s="7"/>
    </row>
    <row r="160" spans="5:5" ht="17.399999999999999">
      <c r="E160" s="7"/>
    </row>
    <row r="161" spans="5:5" ht="17.399999999999999">
      <c r="E161" s="7"/>
    </row>
    <row r="162" spans="5:5" ht="17.399999999999999">
      <c r="E162" s="7"/>
    </row>
    <row r="163" spans="5:5" ht="17.399999999999999">
      <c r="E163" s="7"/>
    </row>
    <row r="164" spans="5:5" ht="17.399999999999999">
      <c r="E164" s="7"/>
    </row>
    <row r="165" spans="5:5" ht="17.399999999999999">
      <c r="E165" s="7"/>
    </row>
    <row r="166" spans="5:5" ht="17.399999999999999">
      <c r="E166" s="7"/>
    </row>
    <row r="167" spans="5:5" ht="17.399999999999999">
      <c r="E167" s="7"/>
    </row>
    <row r="168" spans="5:5" ht="17.399999999999999">
      <c r="E168" s="7"/>
    </row>
    <row r="169" spans="5:5" ht="17.399999999999999">
      <c r="E169" s="7"/>
    </row>
    <row r="170" spans="5:5" ht="17.399999999999999">
      <c r="E170" s="7"/>
    </row>
    <row r="171" spans="5:5" ht="17.399999999999999">
      <c r="E171" s="7"/>
    </row>
    <row r="172" spans="5:5" ht="17.399999999999999">
      <c r="E172" s="7"/>
    </row>
    <row r="173" spans="5:5" ht="17.399999999999999">
      <c r="E173" s="7"/>
    </row>
    <row r="174" spans="5:5" ht="17.399999999999999">
      <c r="E174" s="7"/>
    </row>
    <row r="175" spans="5:5" ht="17.399999999999999">
      <c r="E175" s="7"/>
    </row>
    <row r="176" spans="5:5" ht="17.399999999999999">
      <c r="E176" s="7"/>
    </row>
    <row r="177" spans="5:5" ht="17.399999999999999">
      <c r="E177" s="7"/>
    </row>
    <row r="178" spans="5:5" ht="17.399999999999999">
      <c r="E178" s="7"/>
    </row>
    <row r="179" spans="5:5" ht="17.399999999999999">
      <c r="E179" s="7"/>
    </row>
    <row r="180" spans="5:5" ht="17.399999999999999">
      <c r="E180" s="7"/>
    </row>
    <row r="181" spans="5:5" ht="17.399999999999999">
      <c r="E181" s="7"/>
    </row>
    <row r="182" spans="5:5" ht="17.399999999999999">
      <c r="E182" s="7"/>
    </row>
    <row r="183" spans="5:5" ht="17.399999999999999">
      <c r="E183" s="7"/>
    </row>
    <row r="184" spans="5:5" ht="17.399999999999999">
      <c r="E184" s="7"/>
    </row>
    <row r="185" spans="5:5" ht="17.399999999999999">
      <c r="E185" s="7"/>
    </row>
    <row r="186" spans="5:5" ht="17.399999999999999">
      <c r="E186" s="7"/>
    </row>
    <row r="187" spans="5:5" ht="17.399999999999999">
      <c r="E187" s="7"/>
    </row>
    <row r="188" spans="5:5" ht="17.399999999999999">
      <c r="E188" s="7"/>
    </row>
    <row r="189" spans="5:5" ht="17.399999999999999">
      <c r="E189" s="7"/>
    </row>
    <row r="190" spans="5:5" ht="17.399999999999999">
      <c r="E190" s="7"/>
    </row>
    <row r="191" spans="5:5" ht="17.399999999999999">
      <c r="E191" s="7"/>
    </row>
    <row r="192" spans="5:5" ht="17.399999999999999">
      <c r="E192" s="7"/>
    </row>
    <row r="193" spans="5:5" ht="17.399999999999999">
      <c r="E193" s="7"/>
    </row>
    <row r="194" spans="5:5" ht="17.399999999999999">
      <c r="E194" s="7"/>
    </row>
    <row r="195" spans="5:5" ht="17.399999999999999">
      <c r="E195" s="7"/>
    </row>
    <row r="196" spans="5:5" ht="17.399999999999999">
      <c r="E196" s="7"/>
    </row>
    <row r="197" spans="5:5" ht="17.399999999999999">
      <c r="E197" s="7"/>
    </row>
    <row r="198" spans="5:5" ht="17.399999999999999">
      <c r="E198" s="7"/>
    </row>
    <row r="199" spans="5:5" ht="17.399999999999999">
      <c r="E199" s="7"/>
    </row>
    <row r="200" spans="5:5" ht="17.399999999999999">
      <c r="E200" s="7"/>
    </row>
    <row r="201" spans="5:5" ht="17.399999999999999">
      <c r="E201" s="7"/>
    </row>
    <row r="202" spans="5:5" ht="17.399999999999999">
      <c r="E202" s="7"/>
    </row>
    <row r="203" spans="5:5" ht="17.399999999999999">
      <c r="E203" s="7"/>
    </row>
    <row r="204" spans="5:5" ht="17.399999999999999">
      <c r="E204" s="7"/>
    </row>
    <row r="205" spans="5:5" ht="17.399999999999999">
      <c r="E205" s="7"/>
    </row>
    <row r="206" spans="5:5" ht="17.399999999999999">
      <c r="E206" s="7"/>
    </row>
    <row r="207" spans="5:5" ht="17.399999999999999">
      <c r="E207" s="7"/>
    </row>
    <row r="208" spans="5:5" ht="17.399999999999999">
      <c r="E208" s="7"/>
    </row>
    <row r="209" spans="5:5" ht="17.399999999999999">
      <c r="E209" s="7"/>
    </row>
    <row r="210" spans="5:5" ht="17.399999999999999">
      <c r="E210" s="7"/>
    </row>
    <row r="211" spans="5:5" ht="17.399999999999999">
      <c r="E211" s="7"/>
    </row>
    <row r="212" spans="5:5" ht="17.399999999999999">
      <c r="E212" s="7"/>
    </row>
    <row r="213" spans="5:5" ht="17.399999999999999">
      <c r="E213" s="7"/>
    </row>
    <row r="214" spans="5:5" ht="17.399999999999999">
      <c r="E214" s="7"/>
    </row>
    <row r="215" spans="5:5" ht="17.399999999999999">
      <c r="E215" s="7"/>
    </row>
    <row r="216" spans="5:5" ht="17.399999999999999">
      <c r="E216" s="7"/>
    </row>
    <row r="217" spans="5:5" ht="17.399999999999999">
      <c r="E217" s="7"/>
    </row>
    <row r="218" spans="5:5" ht="17.399999999999999">
      <c r="E218" s="7"/>
    </row>
    <row r="219" spans="5:5" ht="17.399999999999999">
      <c r="E219" s="7"/>
    </row>
    <row r="220" spans="5:5" ht="17.399999999999999">
      <c r="E220" s="7"/>
    </row>
    <row r="221" spans="5:5" ht="17.399999999999999">
      <c r="E221" s="7"/>
    </row>
    <row r="222" spans="5:5" ht="17.399999999999999">
      <c r="E222" s="7"/>
    </row>
    <row r="223" spans="5:5" ht="17.399999999999999">
      <c r="E223" s="7"/>
    </row>
    <row r="224" spans="5:5" ht="17.399999999999999">
      <c r="E224" s="7"/>
    </row>
    <row r="225" spans="5:5" ht="17.399999999999999">
      <c r="E225" s="7"/>
    </row>
    <row r="226" spans="5:5" ht="17.399999999999999">
      <c r="E226" s="7"/>
    </row>
    <row r="227" spans="5:5" ht="17.399999999999999">
      <c r="E227" s="7"/>
    </row>
    <row r="228" spans="5:5" ht="17.399999999999999">
      <c r="E228" s="7"/>
    </row>
    <row r="229" spans="5:5" ht="17.399999999999999">
      <c r="E229" s="7"/>
    </row>
    <row r="230" spans="5:5" ht="17.399999999999999">
      <c r="E230" s="7"/>
    </row>
    <row r="231" spans="5:5" ht="17.399999999999999">
      <c r="E231" s="7"/>
    </row>
    <row r="232" spans="5:5" ht="17.399999999999999">
      <c r="E232" s="7"/>
    </row>
    <row r="233" spans="5:5" ht="17.399999999999999">
      <c r="E233" s="7"/>
    </row>
    <row r="234" spans="5:5" ht="17.399999999999999">
      <c r="E234" s="7"/>
    </row>
    <row r="235" spans="5:5" ht="17.399999999999999">
      <c r="E235" s="7"/>
    </row>
    <row r="236" spans="5:5" ht="17.399999999999999">
      <c r="E236" s="7"/>
    </row>
    <row r="237" spans="5:5" ht="17.399999999999999">
      <c r="E237" s="7"/>
    </row>
    <row r="238" spans="5:5" ht="17.399999999999999">
      <c r="E238" s="7"/>
    </row>
    <row r="239" spans="5:5" ht="17.399999999999999">
      <c r="E239" s="7"/>
    </row>
    <row r="240" spans="5:5" ht="17.399999999999999">
      <c r="E240" s="7"/>
    </row>
    <row r="241" spans="5:5" ht="17.399999999999999">
      <c r="E241" s="7"/>
    </row>
    <row r="242" spans="5:5" ht="17.399999999999999">
      <c r="E242" s="7"/>
    </row>
    <row r="243" spans="5:5" ht="17.399999999999999">
      <c r="E243" s="7"/>
    </row>
    <row r="244" spans="5:5" ht="17.399999999999999">
      <c r="E244" s="7"/>
    </row>
    <row r="245" spans="5:5" ht="17.399999999999999">
      <c r="E245" s="7"/>
    </row>
    <row r="246" spans="5:5" ht="17.399999999999999">
      <c r="E246" s="7"/>
    </row>
    <row r="247" spans="5:5" ht="17.399999999999999">
      <c r="E247" s="7"/>
    </row>
    <row r="248" spans="5:5" ht="17.399999999999999">
      <c r="E248" s="7"/>
    </row>
    <row r="249" spans="5:5" ht="17.399999999999999">
      <c r="E249" s="7"/>
    </row>
    <row r="250" spans="5:5" ht="17.399999999999999">
      <c r="E250" s="7"/>
    </row>
    <row r="251" spans="5:5" ht="17.399999999999999">
      <c r="E251" s="7"/>
    </row>
    <row r="252" spans="5:5" ht="17.399999999999999">
      <c r="E252" s="7"/>
    </row>
    <row r="253" spans="5:5" ht="17.399999999999999">
      <c r="E253" s="7"/>
    </row>
    <row r="254" spans="5:5" ht="17.399999999999999">
      <c r="E254" s="7"/>
    </row>
    <row r="255" spans="5:5" ht="17.399999999999999">
      <c r="E255" s="7"/>
    </row>
    <row r="256" spans="5:5" ht="17.399999999999999">
      <c r="E256" s="7"/>
    </row>
    <row r="257" spans="5:5" ht="17.399999999999999">
      <c r="E257" s="7"/>
    </row>
    <row r="258" spans="5:5" ht="17.399999999999999">
      <c r="E258" s="7"/>
    </row>
    <row r="259" spans="5:5" ht="17.399999999999999">
      <c r="E259" s="7"/>
    </row>
    <row r="260" spans="5:5" ht="17.399999999999999">
      <c r="E260" s="7"/>
    </row>
    <row r="261" spans="5:5" ht="17.399999999999999">
      <c r="E261" s="7"/>
    </row>
    <row r="262" spans="5:5" ht="17.399999999999999">
      <c r="E262" s="7"/>
    </row>
    <row r="263" spans="5:5" ht="17.399999999999999">
      <c r="E263" s="7"/>
    </row>
    <row r="264" spans="5:5" ht="17.399999999999999">
      <c r="E264" s="7"/>
    </row>
    <row r="265" spans="5:5" ht="17.399999999999999">
      <c r="E265" s="7"/>
    </row>
    <row r="266" spans="5:5" ht="17.399999999999999">
      <c r="E266" s="7"/>
    </row>
    <row r="267" spans="5:5" ht="17.399999999999999">
      <c r="E267" s="7"/>
    </row>
    <row r="268" spans="5:5" ht="17.399999999999999">
      <c r="E268" s="7"/>
    </row>
    <row r="269" spans="5:5" ht="17.399999999999999">
      <c r="E269" s="7"/>
    </row>
    <row r="270" spans="5:5" ht="17.399999999999999">
      <c r="E270" s="7"/>
    </row>
    <row r="271" spans="5:5" ht="17.399999999999999">
      <c r="E271" s="7"/>
    </row>
    <row r="272" spans="5:5" ht="17.399999999999999">
      <c r="E272" s="7"/>
    </row>
    <row r="273" spans="5:5" ht="17.399999999999999">
      <c r="E273" s="7"/>
    </row>
    <row r="274" spans="5:5" ht="17.399999999999999">
      <c r="E274" s="7"/>
    </row>
    <row r="275" spans="5:5" ht="17.399999999999999">
      <c r="E275" s="7"/>
    </row>
    <row r="276" spans="5:5" ht="17.399999999999999">
      <c r="E276" s="7"/>
    </row>
    <row r="277" spans="5:5" ht="17.399999999999999">
      <c r="E277" s="7"/>
    </row>
    <row r="278" spans="5:5" ht="17.399999999999999">
      <c r="E278" s="7"/>
    </row>
    <row r="279" spans="5:5" ht="17.399999999999999">
      <c r="E279" s="7"/>
    </row>
    <row r="280" spans="5:5" ht="17.399999999999999">
      <c r="E280" s="7"/>
    </row>
    <row r="281" spans="5:5" ht="17.399999999999999">
      <c r="E281" s="7"/>
    </row>
    <row r="282" spans="5:5" ht="17.399999999999999">
      <c r="E282" s="7"/>
    </row>
    <row r="283" spans="5:5" ht="17.399999999999999">
      <c r="E283" s="7"/>
    </row>
    <row r="284" spans="5:5" ht="17.399999999999999">
      <c r="E284" s="7"/>
    </row>
    <row r="285" spans="5:5" ht="17.399999999999999">
      <c r="E285" s="7"/>
    </row>
    <row r="286" spans="5:5" ht="17.399999999999999">
      <c r="E286" s="7"/>
    </row>
    <row r="287" spans="5:5" ht="17.399999999999999">
      <c r="E287" s="7"/>
    </row>
    <row r="288" spans="5:5" ht="17.399999999999999">
      <c r="E288" s="7"/>
    </row>
    <row r="289" spans="5:5" ht="17.399999999999999">
      <c r="E289" s="7"/>
    </row>
    <row r="290" spans="5:5" ht="17.399999999999999">
      <c r="E290" s="7"/>
    </row>
    <row r="291" spans="5:5" ht="17.399999999999999">
      <c r="E291" s="7"/>
    </row>
    <row r="292" spans="5:5" ht="17.399999999999999">
      <c r="E292" s="7"/>
    </row>
    <row r="293" spans="5:5" ht="17.399999999999999">
      <c r="E293" s="7"/>
    </row>
    <row r="294" spans="5:5" ht="17.399999999999999">
      <c r="E294" s="7"/>
    </row>
    <row r="295" spans="5:5" ht="17.399999999999999">
      <c r="E295" s="7"/>
    </row>
    <row r="296" spans="5:5" ht="17.399999999999999">
      <c r="E296" s="7"/>
    </row>
    <row r="297" spans="5:5" ht="17.399999999999999">
      <c r="E297" s="7"/>
    </row>
    <row r="298" spans="5:5" ht="17.399999999999999">
      <c r="E298" s="7"/>
    </row>
    <row r="299" spans="5:5" ht="17.399999999999999">
      <c r="E299" s="7"/>
    </row>
    <row r="300" spans="5:5" ht="17.399999999999999">
      <c r="E300" s="7"/>
    </row>
    <row r="301" spans="5:5" ht="17.399999999999999">
      <c r="E301" s="7"/>
    </row>
    <row r="302" spans="5:5" ht="17.399999999999999">
      <c r="E302" s="7"/>
    </row>
    <row r="303" spans="5:5" ht="17.399999999999999">
      <c r="E303" s="7"/>
    </row>
    <row r="304" spans="5:5" ht="17.399999999999999">
      <c r="E304" s="7"/>
    </row>
    <row r="305" spans="5:5" ht="17.399999999999999">
      <c r="E305" s="7"/>
    </row>
    <row r="306" spans="5:5" ht="17.399999999999999">
      <c r="E306" s="7"/>
    </row>
    <row r="307" spans="5:5" ht="17.399999999999999">
      <c r="E307" s="7"/>
    </row>
    <row r="308" spans="5:5" ht="17.399999999999999">
      <c r="E308" s="7"/>
    </row>
    <row r="309" spans="5:5" ht="17.399999999999999">
      <c r="E309" s="7"/>
    </row>
    <row r="310" spans="5:5" ht="17.399999999999999">
      <c r="E310" s="7"/>
    </row>
    <row r="311" spans="5:5" ht="17.399999999999999">
      <c r="E311" s="7"/>
    </row>
    <row r="312" spans="5:5" ht="17.399999999999999">
      <c r="E312" s="7"/>
    </row>
    <row r="313" spans="5:5" ht="17.399999999999999">
      <c r="E313" s="7"/>
    </row>
    <row r="314" spans="5:5" ht="17.399999999999999">
      <c r="E314" s="7"/>
    </row>
    <row r="315" spans="5:5" ht="17.399999999999999">
      <c r="E315" s="7"/>
    </row>
    <row r="316" spans="5:5" ht="17.399999999999999">
      <c r="E316" s="7"/>
    </row>
    <row r="317" spans="5:5" ht="17.399999999999999">
      <c r="E317" s="7"/>
    </row>
    <row r="318" spans="5:5" ht="17.399999999999999">
      <c r="E318" s="7"/>
    </row>
    <row r="319" spans="5:5" ht="17.399999999999999">
      <c r="E319" s="7"/>
    </row>
    <row r="320" spans="5:5" ht="17.399999999999999">
      <c r="E320" s="7"/>
    </row>
    <row r="321" spans="5:5" ht="17.399999999999999">
      <c r="E321" s="7"/>
    </row>
    <row r="322" spans="5:5" ht="17.399999999999999">
      <c r="E322" s="7"/>
    </row>
    <row r="323" spans="5:5" ht="17.399999999999999">
      <c r="E323" s="7"/>
    </row>
    <row r="324" spans="5:5" ht="17.399999999999999">
      <c r="E324" s="7"/>
    </row>
    <row r="325" spans="5:5" ht="17.399999999999999">
      <c r="E325" s="7"/>
    </row>
    <row r="326" spans="5:5" ht="17.399999999999999">
      <c r="E326" s="7"/>
    </row>
    <row r="327" spans="5:5" ht="17.399999999999999">
      <c r="E327" s="7"/>
    </row>
    <row r="328" spans="5:5" ht="17.399999999999999">
      <c r="E328" s="7"/>
    </row>
    <row r="329" spans="5:5" ht="17.399999999999999">
      <c r="E329" s="7"/>
    </row>
    <row r="330" spans="5:5" ht="17.399999999999999">
      <c r="E330" s="7"/>
    </row>
    <row r="331" spans="5:5" ht="17.399999999999999">
      <c r="E331" s="7"/>
    </row>
    <row r="332" spans="5:5" ht="17.399999999999999">
      <c r="E332" s="7"/>
    </row>
    <row r="333" spans="5:5" ht="17.399999999999999">
      <c r="E333" s="7"/>
    </row>
    <row r="334" spans="5:5" ht="17.399999999999999">
      <c r="E334" s="7"/>
    </row>
    <row r="335" spans="5:5" ht="17.399999999999999">
      <c r="E335" s="7"/>
    </row>
    <row r="336" spans="5:5" ht="17.399999999999999">
      <c r="E336" s="7"/>
    </row>
    <row r="337" spans="5:5" ht="17.399999999999999">
      <c r="E337" s="7"/>
    </row>
    <row r="338" spans="5:5" ht="17.399999999999999">
      <c r="E338" s="7"/>
    </row>
    <row r="339" spans="5:5" ht="17.399999999999999">
      <c r="E339" s="7"/>
    </row>
    <row r="340" spans="5:5" ht="17.399999999999999">
      <c r="E340" s="7"/>
    </row>
    <row r="341" spans="5:5" ht="17.399999999999999">
      <c r="E341" s="7"/>
    </row>
    <row r="342" spans="5:5" ht="17.399999999999999">
      <c r="E342" s="7"/>
    </row>
    <row r="343" spans="5:5" ht="17.399999999999999">
      <c r="E343" s="7"/>
    </row>
    <row r="344" spans="5:5" ht="17.399999999999999">
      <c r="E344" s="7"/>
    </row>
    <row r="345" spans="5:5" ht="17.399999999999999">
      <c r="E345" s="7"/>
    </row>
    <row r="346" spans="5:5" ht="17.399999999999999">
      <c r="E346" s="7"/>
    </row>
    <row r="347" spans="5:5" ht="17.399999999999999">
      <c r="E347" s="7"/>
    </row>
    <row r="348" spans="5:5" ht="17.399999999999999">
      <c r="E348" s="7"/>
    </row>
    <row r="349" spans="5:5" ht="17.399999999999999">
      <c r="E349" s="7"/>
    </row>
    <row r="350" spans="5:5" ht="17.399999999999999">
      <c r="E350" s="7"/>
    </row>
    <row r="351" spans="5:5" ht="17.399999999999999">
      <c r="E351" s="7"/>
    </row>
    <row r="352" spans="5:5" ht="17.399999999999999">
      <c r="E352" s="7"/>
    </row>
    <row r="353" spans="5:5" ht="17.399999999999999">
      <c r="E353" s="7"/>
    </row>
    <row r="354" spans="5:5" ht="17.399999999999999">
      <c r="E354" s="7"/>
    </row>
    <row r="355" spans="5:5" ht="17.399999999999999">
      <c r="E355" s="7"/>
    </row>
    <row r="356" spans="5:5" ht="17.399999999999999">
      <c r="E356" s="7"/>
    </row>
    <row r="357" spans="5:5" ht="17.399999999999999">
      <c r="E357" s="7"/>
    </row>
    <row r="358" spans="5:5" ht="17.399999999999999">
      <c r="E358" s="7"/>
    </row>
    <row r="359" spans="5:5" ht="17.399999999999999">
      <c r="E359" s="7"/>
    </row>
    <row r="360" spans="5:5" ht="17.399999999999999">
      <c r="E360" s="7"/>
    </row>
    <row r="361" spans="5:5" ht="17.399999999999999">
      <c r="E361" s="7"/>
    </row>
    <row r="362" spans="5:5" ht="17.399999999999999">
      <c r="E362" s="7"/>
    </row>
    <row r="363" spans="5:5" ht="17.399999999999999">
      <c r="E363" s="7"/>
    </row>
    <row r="364" spans="5:5" ht="17.399999999999999">
      <c r="E364" s="7"/>
    </row>
    <row r="365" spans="5:5" ht="17.399999999999999">
      <c r="E365" s="7"/>
    </row>
    <row r="366" spans="5:5" ht="17.399999999999999">
      <c r="E366" s="7"/>
    </row>
    <row r="367" spans="5:5" ht="17.399999999999999">
      <c r="E367" s="7"/>
    </row>
    <row r="368" spans="5:5" ht="17.399999999999999">
      <c r="E368" s="7"/>
    </row>
    <row r="369" spans="5:5" ht="17.399999999999999">
      <c r="E369" s="7"/>
    </row>
    <row r="370" spans="5:5" ht="17.399999999999999">
      <c r="E370" s="7"/>
    </row>
    <row r="371" spans="5:5" ht="17.399999999999999">
      <c r="E371" s="7"/>
    </row>
    <row r="372" spans="5:5" ht="17.399999999999999">
      <c r="E372" s="7"/>
    </row>
    <row r="373" spans="5:5" ht="17.399999999999999">
      <c r="E373" s="7"/>
    </row>
    <row r="374" spans="5:5" ht="17.399999999999999">
      <c r="E374" s="7"/>
    </row>
    <row r="375" spans="5:5" ht="17.399999999999999">
      <c r="E375" s="7"/>
    </row>
    <row r="376" spans="5:5" ht="17.399999999999999">
      <c r="E376" s="7"/>
    </row>
    <row r="377" spans="5:5" ht="17.399999999999999">
      <c r="E377" s="7"/>
    </row>
    <row r="378" spans="5:5" ht="17.399999999999999">
      <c r="E378" s="7"/>
    </row>
    <row r="379" spans="5:5" ht="17.399999999999999">
      <c r="E379" s="7"/>
    </row>
    <row r="380" spans="5:5" ht="17.399999999999999">
      <c r="E380" s="7"/>
    </row>
    <row r="381" spans="5:5" ht="17.399999999999999">
      <c r="E381" s="7"/>
    </row>
    <row r="382" spans="5:5" ht="17.399999999999999">
      <c r="E382" s="7"/>
    </row>
    <row r="383" spans="5:5" ht="17.399999999999999">
      <c r="E383" s="7"/>
    </row>
    <row r="384" spans="5:5" ht="17.399999999999999">
      <c r="E384" s="7"/>
    </row>
    <row r="385" spans="5:5" ht="17.399999999999999">
      <c r="E385" s="7"/>
    </row>
    <row r="386" spans="5:5" ht="17.399999999999999">
      <c r="E386" s="7"/>
    </row>
    <row r="387" spans="5:5" ht="17.399999999999999">
      <c r="E387" s="7"/>
    </row>
    <row r="388" spans="5:5" ht="17.399999999999999">
      <c r="E388" s="7"/>
    </row>
    <row r="389" spans="5:5" ht="17.399999999999999">
      <c r="E389" s="7"/>
    </row>
    <row r="390" spans="5:5" ht="17.399999999999999">
      <c r="E390" s="7"/>
    </row>
    <row r="391" spans="5:5" ht="17.399999999999999">
      <c r="E391" s="7"/>
    </row>
    <row r="392" spans="5:5" ht="17.399999999999999">
      <c r="E392" s="7"/>
    </row>
    <row r="393" spans="5:5" ht="17.399999999999999">
      <c r="E393" s="7"/>
    </row>
    <row r="394" spans="5:5" ht="17.399999999999999">
      <c r="E394" s="7"/>
    </row>
    <row r="395" spans="5:5" ht="17.399999999999999">
      <c r="E395" s="7"/>
    </row>
    <row r="396" spans="5:5" ht="17.399999999999999">
      <c r="E396" s="7"/>
    </row>
    <row r="397" spans="5:5" ht="17.399999999999999">
      <c r="E397" s="7"/>
    </row>
    <row r="398" spans="5:5" ht="17.399999999999999">
      <c r="E398" s="7"/>
    </row>
    <row r="399" spans="5:5" ht="17.399999999999999">
      <c r="E399" s="7"/>
    </row>
    <row r="400" spans="5:5" ht="17.399999999999999">
      <c r="E400" s="7"/>
    </row>
    <row r="401" spans="5:5" ht="17.399999999999999">
      <c r="E401" s="7"/>
    </row>
    <row r="402" spans="5:5" ht="17.399999999999999">
      <c r="E402" s="7"/>
    </row>
    <row r="403" spans="5:5" ht="17.399999999999999">
      <c r="E403" s="7"/>
    </row>
    <row r="404" spans="5:5" ht="17.399999999999999">
      <c r="E404" s="7"/>
    </row>
    <row r="405" spans="5:5" ht="17.399999999999999">
      <c r="E405" s="7"/>
    </row>
    <row r="406" spans="5:5" ht="17.399999999999999">
      <c r="E406" s="7"/>
    </row>
    <row r="407" spans="5:5" ht="17.399999999999999">
      <c r="E407" s="7"/>
    </row>
    <row r="408" spans="5:5" ht="17.399999999999999">
      <c r="E408" s="7"/>
    </row>
    <row r="409" spans="5:5" ht="17.399999999999999">
      <c r="E409" s="7"/>
    </row>
    <row r="410" spans="5:5" ht="17.399999999999999">
      <c r="E410" s="7"/>
    </row>
    <row r="411" spans="5:5" ht="17.399999999999999">
      <c r="E411" s="7"/>
    </row>
    <row r="412" spans="5:5" ht="17.399999999999999">
      <c r="E412" s="7"/>
    </row>
    <row r="413" spans="5:5" ht="17.399999999999999">
      <c r="E413" s="7"/>
    </row>
    <row r="414" spans="5:5" ht="17.399999999999999">
      <c r="E414" s="7"/>
    </row>
    <row r="415" spans="5:5" ht="17.399999999999999">
      <c r="E415" s="7"/>
    </row>
    <row r="416" spans="5:5" ht="17.399999999999999">
      <c r="E416" s="7"/>
    </row>
    <row r="417" spans="5:5" ht="17.399999999999999">
      <c r="E417" s="7"/>
    </row>
    <row r="418" spans="5:5" ht="17.399999999999999">
      <c r="E418" s="7"/>
    </row>
    <row r="419" spans="5:5" ht="17.399999999999999">
      <c r="E419" s="7"/>
    </row>
    <row r="420" spans="5:5" ht="17.399999999999999">
      <c r="E420" s="7"/>
    </row>
    <row r="421" spans="5:5" ht="17.399999999999999">
      <c r="E421" s="7"/>
    </row>
    <row r="422" spans="5:5" ht="17.399999999999999">
      <c r="E422" s="7"/>
    </row>
    <row r="423" spans="5:5" ht="17.399999999999999">
      <c r="E423" s="7"/>
    </row>
    <row r="424" spans="5:5" ht="17.399999999999999">
      <c r="E424" s="7"/>
    </row>
    <row r="425" spans="5:5" ht="17.399999999999999">
      <c r="E425" s="7"/>
    </row>
    <row r="426" spans="5:5" ht="17.399999999999999">
      <c r="E426" s="7"/>
    </row>
    <row r="427" spans="5:5" ht="17.399999999999999">
      <c r="E427" s="7"/>
    </row>
    <row r="428" spans="5:5" ht="17.399999999999999">
      <c r="E428" s="7"/>
    </row>
    <row r="429" spans="5:5" ht="17.399999999999999">
      <c r="E429" s="7"/>
    </row>
    <row r="430" spans="5:5" ht="17.399999999999999">
      <c r="E430" s="7"/>
    </row>
    <row r="431" spans="5:5" ht="17.399999999999999">
      <c r="E431" s="7"/>
    </row>
    <row r="432" spans="5:5" ht="17.399999999999999">
      <c r="E432" s="7"/>
    </row>
    <row r="433" spans="5:5" ht="17.399999999999999">
      <c r="E433" s="7"/>
    </row>
    <row r="434" spans="5:5" ht="17.399999999999999">
      <c r="E434" s="7"/>
    </row>
    <row r="435" spans="5:5" ht="17.399999999999999">
      <c r="E435" s="7"/>
    </row>
    <row r="436" spans="5:5" ht="17.399999999999999">
      <c r="E436" s="7"/>
    </row>
    <row r="437" spans="5:5" ht="17.399999999999999">
      <c r="E437" s="7"/>
    </row>
    <row r="438" spans="5:5" ht="17.399999999999999">
      <c r="E438" s="7"/>
    </row>
    <row r="439" spans="5:5" ht="17.399999999999999">
      <c r="E439" s="7"/>
    </row>
    <row r="440" spans="5:5" ht="17.399999999999999">
      <c r="E440" s="7"/>
    </row>
    <row r="441" spans="5:5" ht="17.399999999999999">
      <c r="E441" s="7"/>
    </row>
    <row r="442" spans="5:5" ht="17.399999999999999">
      <c r="E442" s="7"/>
    </row>
    <row r="443" spans="5:5" ht="17.399999999999999">
      <c r="E443" s="7"/>
    </row>
    <row r="444" spans="5:5" ht="17.399999999999999">
      <c r="E444" s="7"/>
    </row>
    <row r="445" spans="5:5" ht="17.399999999999999">
      <c r="E445" s="7"/>
    </row>
    <row r="446" spans="5:5" ht="17.399999999999999">
      <c r="E446" s="7"/>
    </row>
    <row r="447" spans="5:5" ht="17.399999999999999">
      <c r="E447" s="7"/>
    </row>
    <row r="448" spans="5:5" ht="17.399999999999999">
      <c r="E448" s="7"/>
    </row>
    <row r="449" spans="5:5" ht="17.399999999999999">
      <c r="E449" s="7"/>
    </row>
    <row r="450" spans="5:5" ht="17.399999999999999">
      <c r="E450" s="7"/>
    </row>
    <row r="451" spans="5:5" ht="17.399999999999999">
      <c r="E451" s="7"/>
    </row>
    <row r="452" spans="5:5" ht="17.399999999999999">
      <c r="E452" s="7"/>
    </row>
    <row r="453" spans="5:5" ht="17.399999999999999">
      <c r="E453" s="7"/>
    </row>
    <row r="454" spans="5:5" ht="17.399999999999999">
      <c r="E454" s="7"/>
    </row>
    <row r="455" spans="5:5" ht="17.399999999999999">
      <c r="E455" s="7"/>
    </row>
    <row r="456" spans="5:5" ht="17.399999999999999">
      <c r="E456" s="7"/>
    </row>
    <row r="457" spans="5:5" ht="17.399999999999999">
      <c r="E457" s="7"/>
    </row>
    <row r="458" spans="5:5" ht="17.399999999999999">
      <c r="E458" s="7"/>
    </row>
    <row r="459" spans="5:5" ht="17.399999999999999">
      <c r="E459" s="7"/>
    </row>
    <row r="460" spans="5:5" ht="17.399999999999999">
      <c r="E460" s="7"/>
    </row>
    <row r="461" spans="5:5" ht="17.399999999999999">
      <c r="E461" s="7"/>
    </row>
    <row r="462" spans="5:5" ht="17.399999999999999">
      <c r="E462" s="7"/>
    </row>
    <row r="463" spans="5:5" ht="17.399999999999999">
      <c r="E463" s="7"/>
    </row>
    <row r="464" spans="5:5" ht="17.399999999999999">
      <c r="E464" s="7"/>
    </row>
    <row r="465" spans="5:5" ht="17.399999999999999">
      <c r="E465" s="7"/>
    </row>
    <row r="466" spans="5:5" ht="17.399999999999999">
      <c r="E466" s="7"/>
    </row>
    <row r="467" spans="5:5" ht="17.399999999999999">
      <c r="E467" s="7"/>
    </row>
    <row r="468" spans="5:5" ht="17.399999999999999">
      <c r="E468" s="7"/>
    </row>
    <row r="469" spans="5:5" ht="17.399999999999999">
      <c r="E469" s="7"/>
    </row>
    <row r="470" spans="5:5" ht="17.399999999999999">
      <c r="E470" s="7"/>
    </row>
    <row r="471" spans="5:5" ht="17.399999999999999">
      <c r="E471" s="7"/>
    </row>
    <row r="472" spans="5:5" ht="17.399999999999999">
      <c r="E472" s="7"/>
    </row>
    <row r="473" spans="5:5" ht="17.399999999999999">
      <c r="E473" s="7"/>
    </row>
    <row r="474" spans="5:5" ht="17.399999999999999">
      <c r="E474" s="7"/>
    </row>
    <row r="475" spans="5:5" ht="17.399999999999999">
      <c r="E475" s="7"/>
    </row>
    <row r="476" spans="5:5" ht="17.399999999999999">
      <c r="E476" s="7"/>
    </row>
    <row r="477" spans="5:5" ht="17.399999999999999">
      <c r="E477" s="7"/>
    </row>
    <row r="478" spans="5:5" ht="17.399999999999999">
      <c r="E478" s="7"/>
    </row>
    <row r="479" spans="5:5" ht="17.399999999999999">
      <c r="E479" s="7"/>
    </row>
    <row r="480" spans="5:5" ht="17.399999999999999">
      <c r="E480" s="7"/>
    </row>
    <row r="481" spans="5:5" ht="17.399999999999999">
      <c r="E481" s="7"/>
    </row>
    <row r="482" spans="5:5" ht="17.399999999999999">
      <c r="E482" s="7"/>
    </row>
    <row r="483" spans="5:5" ht="17.399999999999999">
      <c r="E483" s="7"/>
    </row>
    <row r="484" spans="5:5" ht="17.399999999999999">
      <c r="E484" s="7"/>
    </row>
    <row r="485" spans="5:5" ht="17.399999999999999">
      <c r="E485" s="7"/>
    </row>
    <row r="486" spans="5:5" ht="17.399999999999999">
      <c r="E486" s="7"/>
    </row>
    <row r="487" spans="5:5" ht="17.399999999999999">
      <c r="E487" s="7"/>
    </row>
    <row r="488" spans="5:5" ht="17.399999999999999">
      <c r="E488" s="7"/>
    </row>
    <row r="489" spans="5:5" ht="17.399999999999999">
      <c r="E489" s="7"/>
    </row>
    <row r="490" spans="5:5" ht="17.399999999999999">
      <c r="E490" s="7"/>
    </row>
    <row r="491" spans="5:5" ht="17.399999999999999">
      <c r="E491" s="7"/>
    </row>
    <row r="492" spans="5:5" ht="17.399999999999999">
      <c r="E492" s="7"/>
    </row>
    <row r="493" spans="5:5" ht="17.399999999999999">
      <c r="E493" s="7"/>
    </row>
    <row r="494" spans="5:5" ht="17.399999999999999">
      <c r="E494" s="7"/>
    </row>
    <row r="495" spans="5:5" ht="17.399999999999999">
      <c r="E495" s="7"/>
    </row>
    <row r="496" spans="5:5" ht="17.399999999999999">
      <c r="E496" s="7"/>
    </row>
    <row r="497" spans="5:5" ht="17.399999999999999">
      <c r="E497" s="7"/>
    </row>
    <row r="498" spans="5:5" ht="17.399999999999999">
      <c r="E498" s="7"/>
    </row>
    <row r="499" spans="5:5" ht="17.399999999999999">
      <c r="E499" s="7"/>
    </row>
    <row r="500" spans="5:5" ht="17.399999999999999">
      <c r="E500" s="7"/>
    </row>
    <row r="501" spans="5:5" ht="17.399999999999999">
      <c r="E501" s="7"/>
    </row>
    <row r="502" spans="5:5" ht="17.399999999999999">
      <c r="E502" s="7"/>
    </row>
    <row r="503" spans="5:5" ht="17.399999999999999">
      <c r="E503" s="7"/>
    </row>
    <row r="504" spans="5:5" ht="17.399999999999999">
      <c r="E504" s="7"/>
    </row>
    <row r="505" spans="5:5" ht="17.399999999999999">
      <c r="E505" s="7"/>
    </row>
    <row r="506" spans="5:5" ht="17.399999999999999">
      <c r="E506" s="7"/>
    </row>
    <row r="507" spans="5:5" ht="17.399999999999999">
      <c r="E507" s="7"/>
    </row>
    <row r="508" spans="5:5" ht="17.399999999999999">
      <c r="E508" s="7"/>
    </row>
    <row r="509" spans="5:5" ht="17.399999999999999">
      <c r="E509" s="7"/>
    </row>
    <row r="510" spans="5:5" ht="17.399999999999999">
      <c r="E510" s="7"/>
    </row>
    <row r="511" spans="5:5" ht="17.399999999999999">
      <c r="E511" s="7"/>
    </row>
    <row r="512" spans="5:5" ht="17.399999999999999">
      <c r="E512" s="7"/>
    </row>
    <row r="513" spans="5:5" ht="17.399999999999999">
      <c r="E513" s="7"/>
    </row>
    <row r="514" spans="5:5" ht="17.399999999999999">
      <c r="E514" s="7"/>
    </row>
    <row r="515" spans="5:5" ht="17.399999999999999">
      <c r="E515" s="7"/>
    </row>
    <row r="516" spans="5:5" ht="17.399999999999999">
      <c r="E516" s="7"/>
    </row>
    <row r="517" spans="5:5" ht="17.399999999999999">
      <c r="E517" s="7"/>
    </row>
    <row r="518" spans="5:5" ht="17.399999999999999">
      <c r="E518" s="7"/>
    </row>
    <row r="519" spans="5:5" ht="17.399999999999999">
      <c r="E519" s="7"/>
    </row>
    <row r="520" spans="5:5" ht="17.399999999999999">
      <c r="E520" s="7"/>
    </row>
    <row r="521" spans="5:5" ht="17.399999999999999">
      <c r="E521" s="7"/>
    </row>
    <row r="522" spans="5:5" ht="17.399999999999999">
      <c r="E522" s="7"/>
    </row>
    <row r="523" spans="5:5" ht="17.399999999999999">
      <c r="E523" s="7"/>
    </row>
    <row r="524" spans="5:5" ht="17.399999999999999">
      <c r="E524" s="7"/>
    </row>
    <row r="525" spans="5:5" ht="17.399999999999999">
      <c r="E525" s="7"/>
    </row>
    <row r="526" spans="5:5" ht="17.399999999999999">
      <c r="E526" s="7"/>
    </row>
    <row r="527" spans="5:5" ht="17.399999999999999">
      <c r="E527" s="7"/>
    </row>
    <row r="528" spans="5:5" ht="17.399999999999999">
      <c r="E528" s="7"/>
    </row>
    <row r="529" spans="5:5" ht="17.399999999999999">
      <c r="E529" s="7"/>
    </row>
    <row r="530" spans="5:5" ht="17.399999999999999">
      <c r="E530" s="7"/>
    </row>
    <row r="531" spans="5:5" ht="17.399999999999999">
      <c r="E531" s="7"/>
    </row>
    <row r="532" spans="5:5" ht="17.399999999999999">
      <c r="E532" s="7"/>
    </row>
    <row r="533" spans="5:5" ht="17.399999999999999">
      <c r="E533" s="7"/>
    </row>
    <row r="534" spans="5:5" ht="17.399999999999999">
      <c r="E534" s="7"/>
    </row>
    <row r="535" spans="5:5" ht="17.399999999999999">
      <c r="E535" s="7"/>
    </row>
    <row r="536" spans="5:5" ht="17.399999999999999">
      <c r="E536" s="7"/>
    </row>
    <row r="537" spans="5:5" ht="17.399999999999999">
      <c r="E537" s="7"/>
    </row>
    <row r="538" spans="5:5" ht="17.399999999999999">
      <c r="E538" s="7"/>
    </row>
    <row r="539" spans="5:5" ht="17.399999999999999">
      <c r="E539" s="7"/>
    </row>
    <row r="540" spans="5:5" ht="17.399999999999999">
      <c r="E540" s="7"/>
    </row>
    <row r="541" spans="5:5" ht="17.399999999999999">
      <c r="E541" s="7"/>
    </row>
    <row r="542" spans="5:5" ht="17.399999999999999">
      <c r="E542" s="7"/>
    </row>
    <row r="543" spans="5:5" ht="17.399999999999999">
      <c r="E543" s="7"/>
    </row>
    <row r="544" spans="5:5" ht="17.399999999999999">
      <c r="E544" s="7"/>
    </row>
    <row r="545" spans="5:5" ht="17.399999999999999">
      <c r="E545" s="7"/>
    </row>
    <row r="546" spans="5:5" ht="17.399999999999999">
      <c r="E546" s="7"/>
    </row>
    <row r="547" spans="5:5" ht="17.399999999999999">
      <c r="E547" s="7"/>
    </row>
    <row r="548" spans="5:5" ht="17.399999999999999">
      <c r="E548" s="7"/>
    </row>
    <row r="549" spans="5:5" ht="17.399999999999999">
      <c r="E549" s="7"/>
    </row>
    <row r="550" spans="5:5" ht="17.399999999999999">
      <c r="E550" s="7"/>
    </row>
    <row r="551" spans="5:5" ht="17.399999999999999">
      <c r="E551" s="7"/>
    </row>
    <row r="552" spans="5:5" ht="17.399999999999999">
      <c r="E552" s="7"/>
    </row>
    <row r="553" spans="5:5" ht="17.399999999999999">
      <c r="E553" s="7"/>
    </row>
    <row r="554" spans="5:5" ht="17.399999999999999">
      <c r="E554" s="7"/>
    </row>
    <row r="555" spans="5:5" ht="17.399999999999999">
      <c r="E555" s="7"/>
    </row>
    <row r="556" spans="5:5" ht="17.399999999999999">
      <c r="E556" s="7"/>
    </row>
    <row r="557" spans="5:5" ht="17.399999999999999">
      <c r="E557" s="7"/>
    </row>
    <row r="558" spans="5:5" ht="17.399999999999999">
      <c r="E558" s="7"/>
    </row>
    <row r="559" spans="5:5" ht="17.399999999999999">
      <c r="E559" s="7"/>
    </row>
    <row r="560" spans="5:5" ht="17.399999999999999">
      <c r="E560" s="7"/>
    </row>
    <row r="561" spans="5:5" ht="17.399999999999999">
      <c r="E561" s="7"/>
    </row>
    <row r="562" spans="5:5" ht="17.399999999999999">
      <c r="E562" s="7"/>
    </row>
    <row r="563" spans="5:5" ht="17.399999999999999">
      <c r="E563" s="7"/>
    </row>
    <row r="564" spans="5:5" ht="17.399999999999999">
      <c r="E564" s="7"/>
    </row>
    <row r="565" spans="5:5" ht="17.399999999999999">
      <c r="E565" s="7"/>
    </row>
    <row r="566" spans="5:5" ht="17.399999999999999">
      <c r="E566" s="7"/>
    </row>
    <row r="567" spans="5:5" ht="17.399999999999999">
      <c r="E567" s="7"/>
    </row>
    <row r="568" spans="5:5" ht="17.399999999999999">
      <c r="E568" s="7"/>
    </row>
    <row r="569" spans="5:5" ht="17.399999999999999">
      <c r="E569" s="7"/>
    </row>
    <row r="570" spans="5:5" ht="17.399999999999999">
      <c r="E570" s="7"/>
    </row>
    <row r="571" spans="5:5" ht="17.399999999999999">
      <c r="E571" s="7"/>
    </row>
    <row r="572" spans="5:5" ht="17.399999999999999">
      <c r="E572" s="7"/>
    </row>
    <row r="573" spans="5:5" ht="17.399999999999999">
      <c r="E573" s="7"/>
    </row>
    <row r="574" spans="5:5" ht="17.399999999999999">
      <c r="E574" s="7"/>
    </row>
    <row r="575" spans="5:5" ht="17.399999999999999">
      <c r="E575" s="7"/>
    </row>
    <row r="576" spans="5:5" ht="17.399999999999999">
      <c r="E576" s="7"/>
    </row>
    <row r="577" spans="5:5" ht="17.399999999999999">
      <c r="E577" s="7"/>
    </row>
    <row r="578" spans="5:5" ht="17.399999999999999">
      <c r="E578" s="7"/>
    </row>
    <row r="579" spans="5:5" ht="17.399999999999999">
      <c r="E579" s="7"/>
    </row>
    <row r="580" spans="5:5" ht="17.399999999999999">
      <c r="E580" s="7"/>
    </row>
    <row r="581" spans="5:5" ht="17.399999999999999">
      <c r="E581" s="7"/>
    </row>
    <row r="582" spans="5:5" ht="17.399999999999999">
      <c r="E582" s="7"/>
    </row>
    <row r="583" spans="5:5" ht="17.399999999999999">
      <c r="E583" s="7"/>
    </row>
    <row r="584" spans="5:5" ht="17.399999999999999">
      <c r="E584" s="7"/>
    </row>
    <row r="585" spans="5:5" ht="17.399999999999999">
      <c r="E585" s="7"/>
    </row>
    <row r="586" spans="5:5" ht="17.399999999999999">
      <c r="E586" s="7"/>
    </row>
    <row r="587" spans="5:5" ht="17.399999999999999">
      <c r="E587" s="7"/>
    </row>
    <row r="588" spans="5:5" ht="17.399999999999999">
      <c r="E588" s="7"/>
    </row>
    <row r="589" spans="5:5" ht="17.399999999999999">
      <c r="E589" s="7"/>
    </row>
    <row r="590" spans="5:5" ht="17.399999999999999">
      <c r="E590" s="7"/>
    </row>
    <row r="591" spans="5:5" ht="17.399999999999999">
      <c r="E591" s="7"/>
    </row>
    <row r="592" spans="5:5" ht="17.399999999999999">
      <c r="E592" s="7"/>
    </row>
    <row r="593" spans="5:5" ht="17.399999999999999">
      <c r="E593" s="7"/>
    </row>
    <row r="594" spans="5:5" ht="17.399999999999999">
      <c r="E594" s="7"/>
    </row>
    <row r="595" spans="5:5" ht="17.399999999999999">
      <c r="E595" s="7"/>
    </row>
    <row r="596" spans="5:5" ht="17.399999999999999">
      <c r="E596" s="7"/>
    </row>
    <row r="597" spans="5:5" ht="17.399999999999999">
      <c r="E597" s="7"/>
    </row>
    <row r="598" spans="5:5" ht="17.399999999999999">
      <c r="E598" s="7"/>
    </row>
    <row r="599" spans="5:5" ht="17.399999999999999">
      <c r="E599" s="7"/>
    </row>
    <row r="600" spans="5:5" ht="17.399999999999999">
      <c r="E600" s="7"/>
    </row>
    <row r="601" spans="5:5" ht="17.399999999999999">
      <c r="E601" s="7"/>
    </row>
    <row r="602" spans="5:5" ht="17.399999999999999">
      <c r="E602" s="7"/>
    </row>
    <row r="603" spans="5:5" ht="17.399999999999999">
      <c r="E603" s="7"/>
    </row>
    <row r="604" spans="5:5" ht="17.399999999999999">
      <c r="E604" s="7"/>
    </row>
    <row r="605" spans="5:5" ht="17.399999999999999">
      <c r="E605" s="7"/>
    </row>
    <row r="606" spans="5:5" ht="17.399999999999999">
      <c r="E606" s="7"/>
    </row>
    <row r="607" spans="5:5" ht="17.399999999999999">
      <c r="E607" s="7"/>
    </row>
    <row r="608" spans="5:5" ht="17.399999999999999">
      <c r="E608" s="7"/>
    </row>
    <row r="609" spans="5:5" ht="17.399999999999999">
      <c r="E609" s="7"/>
    </row>
    <row r="610" spans="5:5" ht="17.399999999999999">
      <c r="E610" s="7"/>
    </row>
    <row r="611" spans="5:5" ht="17.399999999999999">
      <c r="E611" s="7"/>
    </row>
    <row r="612" spans="5:5" ht="17.399999999999999">
      <c r="E612" s="7"/>
    </row>
    <row r="613" spans="5:5" ht="17.399999999999999">
      <c r="E613" s="7"/>
    </row>
    <row r="614" spans="5:5" ht="17.399999999999999">
      <c r="E614" s="7"/>
    </row>
    <row r="615" spans="5:5" ht="17.399999999999999">
      <c r="E615" s="7"/>
    </row>
    <row r="616" spans="5:5" ht="17.399999999999999">
      <c r="E616" s="7"/>
    </row>
    <row r="617" spans="5:5" ht="17.399999999999999">
      <c r="E617" s="7"/>
    </row>
    <row r="618" spans="5:5" ht="17.399999999999999">
      <c r="E618" s="7"/>
    </row>
    <row r="619" spans="5:5" ht="17.399999999999999">
      <c r="E619" s="7"/>
    </row>
    <row r="620" spans="5:5" ht="17.399999999999999">
      <c r="E620" s="7"/>
    </row>
    <row r="621" spans="5:5" ht="17.399999999999999">
      <c r="E621" s="7"/>
    </row>
    <row r="622" spans="5:5" ht="17.399999999999999">
      <c r="E622" s="7"/>
    </row>
    <row r="623" spans="5:5" ht="17.399999999999999">
      <c r="E623" s="7"/>
    </row>
    <row r="624" spans="5:5" ht="17.399999999999999">
      <c r="E624" s="7"/>
    </row>
    <row r="625" spans="5:5" ht="17.399999999999999">
      <c r="E625" s="7"/>
    </row>
    <row r="626" spans="5:5" ht="17.399999999999999">
      <c r="E626" s="7"/>
    </row>
    <row r="627" spans="5:5" ht="17.399999999999999">
      <c r="E627" s="7"/>
    </row>
    <row r="628" spans="5:5" ht="17.399999999999999">
      <c r="E628" s="7"/>
    </row>
    <row r="629" spans="5:5" ht="17.399999999999999">
      <c r="E629" s="7"/>
    </row>
    <row r="630" spans="5:5" ht="17.399999999999999">
      <c r="E630" s="7"/>
    </row>
    <row r="631" spans="5:5" ht="17.399999999999999">
      <c r="E631" s="7"/>
    </row>
    <row r="632" spans="5:5" ht="17.399999999999999">
      <c r="E632" s="7"/>
    </row>
    <row r="633" spans="5:5" ht="17.399999999999999">
      <c r="E633" s="7"/>
    </row>
    <row r="634" spans="5:5" ht="17.399999999999999">
      <c r="E634" s="7"/>
    </row>
    <row r="635" spans="5:5" ht="17.399999999999999">
      <c r="E635" s="7"/>
    </row>
    <row r="636" spans="5:5" ht="17.399999999999999">
      <c r="E636" s="7"/>
    </row>
    <row r="637" spans="5:5" ht="17.399999999999999">
      <c r="E637" s="7"/>
    </row>
    <row r="638" spans="5:5" ht="17.399999999999999">
      <c r="E638" s="7"/>
    </row>
    <row r="639" spans="5:5" ht="17.399999999999999">
      <c r="E639" s="7"/>
    </row>
    <row r="640" spans="5:5" ht="17.399999999999999">
      <c r="E640" s="7"/>
    </row>
    <row r="641" spans="5:5" ht="17.399999999999999">
      <c r="E641" s="7"/>
    </row>
    <row r="642" spans="5:5" ht="17.399999999999999">
      <c r="E642" s="7"/>
    </row>
    <row r="643" spans="5:5" ht="17.399999999999999">
      <c r="E643" s="7"/>
    </row>
    <row r="644" spans="5:5" ht="17.399999999999999">
      <c r="E644" s="7"/>
    </row>
    <row r="645" spans="5:5" ht="17.399999999999999">
      <c r="E645" s="7"/>
    </row>
    <row r="646" spans="5:5" ht="17.399999999999999">
      <c r="E646" s="7"/>
    </row>
    <row r="647" spans="5:5" ht="17.399999999999999">
      <c r="E647" s="7"/>
    </row>
    <row r="648" spans="5:5" ht="17.399999999999999">
      <c r="E648" s="7"/>
    </row>
    <row r="649" spans="5:5" ht="17.399999999999999">
      <c r="E649" s="7"/>
    </row>
    <row r="650" spans="5:5" ht="17.399999999999999">
      <c r="E650" s="7"/>
    </row>
    <row r="651" spans="5:5" ht="17.399999999999999">
      <c r="E651" s="7"/>
    </row>
    <row r="652" spans="5:5" ht="17.399999999999999">
      <c r="E652" s="7"/>
    </row>
    <row r="653" spans="5:5" ht="17.399999999999999">
      <c r="E653" s="7"/>
    </row>
    <row r="654" spans="5:5" ht="17.399999999999999">
      <c r="E654" s="7"/>
    </row>
    <row r="655" spans="5:5" ht="17.399999999999999">
      <c r="E655" s="7"/>
    </row>
    <row r="656" spans="5:5" ht="17.399999999999999">
      <c r="E656" s="7"/>
    </row>
    <row r="657" spans="5:5" ht="17.399999999999999">
      <c r="E657" s="7"/>
    </row>
    <row r="658" spans="5:5" ht="17.399999999999999">
      <c r="E658" s="7"/>
    </row>
    <row r="659" spans="5:5" ht="17.399999999999999">
      <c r="E659" s="7"/>
    </row>
    <row r="660" spans="5:5" ht="17.399999999999999">
      <c r="E660" s="7"/>
    </row>
    <row r="661" spans="5:5" ht="17.399999999999999">
      <c r="E661" s="7"/>
    </row>
    <row r="662" spans="5:5" ht="17.399999999999999">
      <c r="E662" s="7"/>
    </row>
    <row r="663" spans="5:5" ht="17.399999999999999">
      <c r="E663" s="7"/>
    </row>
    <row r="664" spans="5:5" ht="17.399999999999999">
      <c r="E664" s="7"/>
    </row>
    <row r="665" spans="5:5" ht="17.399999999999999">
      <c r="E665" s="7"/>
    </row>
    <row r="666" spans="5:5" ht="17.399999999999999">
      <c r="E666" s="7"/>
    </row>
    <row r="667" spans="5:5" ht="17.399999999999999">
      <c r="E667" s="7"/>
    </row>
    <row r="668" spans="5:5" ht="17.399999999999999">
      <c r="E668" s="7"/>
    </row>
    <row r="669" spans="5:5" ht="17.399999999999999">
      <c r="E669" s="7"/>
    </row>
    <row r="670" spans="5:5" ht="17.399999999999999">
      <c r="E670" s="7"/>
    </row>
    <row r="671" spans="5:5" ht="17.399999999999999">
      <c r="E671" s="7"/>
    </row>
    <row r="672" spans="5:5" ht="17.399999999999999">
      <c r="E672" s="7"/>
    </row>
    <row r="673" spans="5:5" ht="17.399999999999999">
      <c r="E673" s="7"/>
    </row>
    <row r="674" spans="5:5" ht="17.399999999999999">
      <c r="E674" s="7"/>
    </row>
    <row r="675" spans="5:5" ht="17.399999999999999">
      <c r="E675" s="7"/>
    </row>
    <row r="676" spans="5:5" ht="17.399999999999999">
      <c r="E676" s="7"/>
    </row>
    <row r="677" spans="5:5" ht="17.399999999999999">
      <c r="E677" s="7"/>
    </row>
    <row r="678" spans="5:5" ht="17.399999999999999">
      <c r="E678" s="7"/>
    </row>
    <row r="679" spans="5:5" ht="17.399999999999999">
      <c r="E679" s="7"/>
    </row>
    <row r="680" spans="5:5" ht="17.399999999999999">
      <c r="E680" s="7"/>
    </row>
    <row r="681" spans="5:5" ht="17.399999999999999">
      <c r="E681" s="7"/>
    </row>
    <row r="682" spans="5:5" ht="17.399999999999999">
      <c r="E682" s="7"/>
    </row>
    <row r="683" spans="5:5" ht="17.399999999999999">
      <c r="E683" s="7"/>
    </row>
    <row r="684" spans="5:5" ht="17.399999999999999">
      <c r="E684" s="7"/>
    </row>
    <row r="685" spans="5:5" ht="17.399999999999999">
      <c r="E685" s="7"/>
    </row>
    <row r="686" spans="5:5" ht="17.399999999999999">
      <c r="E686" s="7"/>
    </row>
    <row r="687" spans="5:5" ht="17.399999999999999">
      <c r="E687" s="7"/>
    </row>
    <row r="688" spans="5:5" ht="17.399999999999999">
      <c r="E688" s="7"/>
    </row>
    <row r="689" spans="5:5" ht="17.399999999999999">
      <c r="E689" s="7"/>
    </row>
    <row r="690" spans="5:5" ht="17.399999999999999">
      <c r="E690" s="7"/>
    </row>
    <row r="691" spans="5:5" ht="17.399999999999999">
      <c r="E691" s="7"/>
    </row>
    <row r="692" spans="5:5" ht="17.399999999999999">
      <c r="E692" s="7"/>
    </row>
    <row r="693" spans="5:5" ht="17.399999999999999">
      <c r="E693" s="7"/>
    </row>
    <row r="694" spans="5:5" ht="17.399999999999999">
      <c r="E694" s="7"/>
    </row>
    <row r="695" spans="5:5" ht="17.399999999999999">
      <c r="E695" s="7"/>
    </row>
    <row r="696" spans="5:5" ht="17.399999999999999">
      <c r="E696" s="7"/>
    </row>
    <row r="697" spans="5:5" ht="17.399999999999999">
      <c r="E697" s="7"/>
    </row>
    <row r="698" spans="5:5" ht="17.399999999999999">
      <c r="E698" s="7"/>
    </row>
    <row r="699" spans="5:5" ht="17.399999999999999">
      <c r="E699" s="7"/>
    </row>
    <row r="700" spans="5:5" ht="17.399999999999999">
      <c r="E700" s="7"/>
    </row>
    <row r="701" spans="5:5" ht="17.399999999999999">
      <c r="E701" s="7"/>
    </row>
    <row r="702" spans="5:5" ht="17.399999999999999">
      <c r="E702" s="7"/>
    </row>
    <row r="703" spans="5:5" ht="17.399999999999999">
      <c r="E703" s="7"/>
    </row>
    <row r="704" spans="5:5" ht="17.399999999999999">
      <c r="E704" s="7"/>
    </row>
    <row r="705" spans="5:5" ht="17.399999999999999">
      <c r="E705" s="7"/>
    </row>
    <row r="706" spans="5:5" ht="17.399999999999999">
      <c r="E706" s="7"/>
    </row>
    <row r="707" spans="5:5" ht="17.399999999999999">
      <c r="E707" s="7"/>
    </row>
    <row r="708" spans="5:5" ht="17.399999999999999">
      <c r="E708" s="7"/>
    </row>
    <row r="709" spans="5:5" ht="17.399999999999999">
      <c r="E709" s="7"/>
    </row>
    <row r="710" spans="5:5" ht="17.399999999999999">
      <c r="E710" s="7"/>
    </row>
    <row r="711" spans="5:5" ht="17.399999999999999">
      <c r="E711" s="7"/>
    </row>
    <row r="712" spans="5:5" ht="17.399999999999999">
      <c r="E712" s="7"/>
    </row>
    <row r="713" spans="5:5" ht="17.399999999999999">
      <c r="E713" s="7"/>
    </row>
    <row r="714" spans="5:5" ht="17.399999999999999">
      <c r="E714" s="7"/>
    </row>
    <row r="715" spans="5:5" ht="17.399999999999999">
      <c r="E715" s="7"/>
    </row>
    <row r="716" spans="5:5" ht="17.399999999999999">
      <c r="E716" s="7"/>
    </row>
    <row r="717" spans="5:5" ht="17.399999999999999">
      <c r="E717" s="7"/>
    </row>
    <row r="718" spans="5:5" ht="17.399999999999999">
      <c r="E718" s="7"/>
    </row>
    <row r="719" spans="5:5" ht="17.399999999999999">
      <c r="E719" s="7"/>
    </row>
    <row r="720" spans="5:5" ht="17.399999999999999">
      <c r="E720" s="7"/>
    </row>
    <row r="721" spans="5:5" ht="17.399999999999999">
      <c r="E721" s="7"/>
    </row>
    <row r="722" spans="5:5" ht="17.399999999999999">
      <c r="E722" s="7"/>
    </row>
    <row r="723" spans="5:5" ht="17.399999999999999">
      <c r="E723" s="7"/>
    </row>
    <row r="724" spans="5:5" ht="17.399999999999999">
      <c r="E724" s="7"/>
    </row>
    <row r="725" spans="5:5" ht="17.399999999999999">
      <c r="E725" s="7"/>
    </row>
    <row r="726" spans="5:5" ht="17.399999999999999">
      <c r="E726" s="7"/>
    </row>
    <row r="727" spans="5:5" ht="17.399999999999999">
      <c r="E727" s="7"/>
    </row>
    <row r="728" spans="5:5" ht="17.399999999999999">
      <c r="E728" s="7"/>
    </row>
    <row r="729" spans="5:5" ht="17.399999999999999">
      <c r="E729" s="7"/>
    </row>
    <row r="730" spans="5:5" ht="17.399999999999999">
      <c r="E730" s="7"/>
    </row>
    <row r="731" spans="5:5" ht="17.399999999999999">
      <c r="E731" s="7"/>
    </row>
    <row r="732" spans="5:5" ht="17.399999999999999">
      <c r="E732" s="7"/>
    </row>
    <row r="733" spans="5:5" ht="17.399999999999999">
      <c r="E733" s="7"/>
    </row>
    <row r="734" spans="5:5" ht="17.399999999999999">
      <c r="E734" s="7"/>
    </row>
    <row r="735" spans="5:5" ht="17.399999999999999">
      <c r="E735" s="7"/>
    </row>
    <row r="736" spans="5:5" ht="17.399999999999999">
      <c r="E736" s="7"/>
    </row>
    <row r="737" spans="5:5" ht="17.399999999999999">
      <c r="E737" s="7"/>
    </row>
    <row r="738" spans="5:5" ht="17.399999999999999">
      <c r="E738" s="7"/>
    </row>
    <row r="739" spans="5:5" ht="17.399999999999999">
      <c r="E739" s="7"/>
    </row>
    <row r="740" spans="5:5" ht="17.399999999999999">
      <c r="E740" s="7"/>
    </row>
    <row r="741" spans="5:5" ht="17.399999999999999">
      <c r="E741" s="7"/>
    </row>
    <row r="742" spans="5:5" ht="17.399999999999999">
      <c r="E742" s="7"/>
    </row>
    <row r="743" spans="5:5" ht="17.399999999999999">
      <c r="E743" s="7"/>
    </row>
    <row r="744" spans="5:5" ht="17.399999999999999">
      <c r="E744" s="7"/>
    </row>
    <row r="745" spans="5:5" ht="17.399999999999999">
      <c r="E745" s="7"/>
    </row>
    <row r="746" spans="5:5" ht="17.399999999999999">
      <c r="E746" s="7"/>
    </row>
    <row r="747" spans="5:5" ht="17.399999999999999">
      <c r="E747" s="7"/>
    </row>
    <row r="748" spans="5:5" ht="17.399999999999999">
      <c r="E748" s="7"/>
    </row>
    <row r="749" spans="5:5" ht="17.399999999999999">
      <c r="E749" s="7"/>
    </row>
    <row r="750" spans="5:5" ht="17.399999999999999">
      <c r="E750" s="7"/>
    </row>
    <row r="751" spans="5:5" ht="17.399999999999999">
      <c r="E751" s="7"/>
    </row>
    <row r="752" spans="5:5" ht="17.399999999999999">
      <c r="E752" s="7"/>
    </row>
    <row r="753" spans="5:5" ht="17.399999999999999">
      <c r="E753" s="7"/>
    </row>
    <row r="754" spans="5:5" ht="17.399999999999999">
      <c r="E754" s="7"/>
    </row>
    <row r="755" spans="5:5" ht="17.399999999999999">
      <c r="E755" s="7"/>
    </row>
    <row r="756" spans="5:5" ht="17.399999999999999">
      <c r="E756" s="7"/>
    </row>
    <row r="757" spans="5:5" ht="17.399999999999999">
      <c r="E757" s="7"/>
    </row>
    <row r="758" spans="5:5" ht="17.399999999999999">
      <c r="E758" s="7"/>
    </row>
    <row r="759" spans="5:5" ht="17.399999999999999">
      <c r="E759" s="7"/>
    </row>
    <row r="760" spans="5:5" ht="17.399999999999999">
      <c r="E760" s="7"/>
    </row>
    <row r="761" spans="5:5" ht="17.399999999999999">
      <c r="E761" s="7"/>
    </row>
    <row r="762" spans="5:5" ht="17.399999999999999">
      <c r="E762" s="7"/>
    </row>
    <row r="763" spans="5:5" ht="17.399999999999999">
      <c r="E763" s="7"/>
    </row>
    <row r="764" spans="5:5" ht="17.399999999999999">
      <c r="E764" s="7"/>
    </row>
    <row r="765" spans="5:5" ht="17.399999999999999">
      <c r="E765" s="7"/>
    </row>
    <row r="766" spans="5:5" ht="17.399999999999999">
      <c r="E766" s="7"/>
    </row>
    <row r="767" spans="5:5" ht="17.399999999999999">
      <c r="E767" s="7"/>
    </row>
    <row r="768" spans="5:5" ht="17.399999999999999">
      <c r="E768" s="7"/>
    </row>
    <row r="769" spans="5:5" ht="17.399999999999999">
      <c r="E769" s="7"/>
    </row>
    <row r="770" spans="5:5" ht="17.399999999999999">
      <c r="E770" s="7"/>
    </row>
    <row r="771" spans="5:5" ht="17.399999999999999">
      <c r="E771" s="7"/>
    </row>
    <row r="772" spans="5:5" ht="17.399999999999999">
      <c r="E772" s="7"/>
    </row>
    <row r="773" spans="5:5" ht="17.399999999999999">
      <c r="E773" s="7"/>
    </row>
    <row r="774" spans="5:5" ht="17.399999999999999">
      <c r="E774" s="7"/>
    </row>
    <row r="775" spans="5:5" ht="17.399999999999999">
      <c r="E775" s="7"/>
    </row>
    <row r="776" spans="5:5" ht="17.399999999999999">
      <c r="E776" s="7"/>
    </row>
    <row r="777" spans="5:5" ht="17.399999999999999">
      <c r="E777" s="7"/>
    </row>
    <row r="778" spans="5:5" ht="17.399999999999999">
      <c r="E778" s="7"/>
    </row>
    <row r="779" spans="5:5" ht="17.399999999999999">
      <c r="E779" s="7"/>
    </row>
    <row r="780" spans="5:5" ht="17.399999999999999">
      <c r="E780" s="7"/>
    </row>
    <row r="781" spans="5:5" ht="17.399999999999999">
      <c r="E781" s="7"/>
    </row>
    <row r="782" spans="5:5" ht="17.399999999999999">
      <c r="E782" s="7"/>
    </row>
    <row r="783" spans="5:5" ht="17.399999999999999">
      <c r="E783" s="7"/>
    </row>
    <row r="784" spans="5:5" ht="17.399999999999999">
      <c r="E784" s="7"/>
    </row>
    <row r="785" spans="5:5" ht="17.399999999999999">
      <c r="E785" s="7"/>
    </row>
    <row r="786" spans="5:5" ht="17.399999999999999">
      <c r="E786" s="7"/>
    </row>
    <row r="787" spans="5:5" ht="17.399999999999999">
      <c r="E787" s="7"/>
    </row>
    <row r="788" spans="5:5" ht="17.399999999999999">
      <c r="E788" s="7"/>
    </row>
    <row r="789" spans="5:5" ht="17.399999999999999">
      <c r="E789" s="7"/>
    </row>
    <row r="790" spans="5:5" ht="17.399999999999999">
      <c r="E790" s="7"/>
    </row>
    <row r="791" spans="5:5" ht="17.399999999999999">
      <c r="E791" s="7"/>
    </row>
    <row r="792" spans="5:5" ht="17.399999999999999">
      <c r="E792" s="7"/>
    </row>
    <row r="793" spans="5:5" ht="17.399999999999999">
      <c r="E793" s="7"/>
    </row>
    <row r="794" spans="5:5" ht="17.399999999999999">
      <c r="E794" s="7"/>
    </row>
    <row r="795" spans="5:5" ht="17.399999999999999">
      <c r="E795" s="7"/>
    </row>
    <row r="796" spans="5:5" ht="17.399999999999999">
      <c r="E796" s="7"/>
    </row>
    <row r="797" spans="5:5" ht="17.399999999999999">
      <c r="E797" s="7"/>
    </row>
    <row r="798" spans="5:5" ht="17.399999999999999">
      <c r="E798" s="7"/>
    </row>
    <row r="799" spans="5:5" ht="17.399999999999999">
      <c r="E799" s="7"/>
    </row>
    <row r="800" spans="5:5" ht="17.399999999999999">
      <c r="E800" s="7"/>
    </row>
    <row r="801" spans="5:5" ht="17.399999999999999">
      <c r="E801" s="7"/>
    </row>
    <row r="802" spans="5:5" ht="17.399999999999999">
      <c r="E802" s="7"/>
    </row>
    <row r="803" spans="5:5" ht="17.399999999999999">
      <c r="E803" s="7"/>
    </row>
    <row r="804" spans="5:5" ht="17.399999999999999">
      <c r="E804" s="7"/>
    </row>
    <row r="805" spans="5:5" ht="17.399999999999999">
      <c r="E805" s="7"/>
    </row>
    <row r="806" spans="5:5" ht="17.399999999999999">
      <c r="E806" s="7"/>
    </row>
    <row r="807" spans="5:5" ht="17.399999999999999">
      <c r="E807" s="7"/>
    </row>
    <row r="808" spans="5:5" ht="17.399999999999999">
      <c r="E808" s="7"/>
    </row>
    <row r="809" spans="5:5" ht="17.399999999999999">
      <c r="E809" s="7"/>
    </row>
    <row r="810" spans="5:5" ht="17.399999999999999">
      <c r="E810" s="7"/>
    </row>
    <row r="811" spans="5:5" ht="17.399999999999999">
      <c r="E811" s="7"/>
    </row>
    <row r="812" spans="5:5" ht="17.399999999999999">
      <c r="E812" s="7"/>
    </row>
    <row r="813" spans="5:5" ht="17.399999999999999">
      <c r="E813" s="7"/>
    </row>
    <row r="814" spans="5:5" ht="17.399999999999999">
      <c r="E814" s="7"/>
    </row>
    <row r="815" spans="5:5" ht="17.399999999999999">
      <c r="E815" s="7"/>
    </row>
    <row r="816" spans="5:5" ht="17.399999999999999">
      <c r="E816" s="7"/>
    </row>
    <row r="817" spans="5:5" ht="17.399999999999999">
      <c r="E817" s="7"/>
    </row>
    <row r="818" spans="5:5" ht="17.399999999999999">
      <c r="E818" s="7"/>
    </row>
    <row r="819" spans="5:5" ht="17.399999999999999">
      <c r="E819" s="7"/>
    </row>
    <row r="820" spans="5:5" ht="17.399999999999999">
      <c r="E820" s="7"/>
    </row>
    <row r="821" spans="5:5" ht="17.399999999999999">
      <c r="E821" s="7"/>
    </row>
    <row r="822" spans="5:5" ht="17.399999999999999">
      <c r="E822" s="7"/>
    </row>
    <row r="823" spans="5:5" ht="17.399999999999999">
      <c r="E823" s="7"/>
    </row>
    <row r="824" spans="5:5" ht="17.399999999999999">
      <c r="E824" s="7"/>
    </row>
    <row r="825" spans="5:5" ht="17.399999999999999">
      <c r="E825" s="7"/>
    </row>
    <row r="826" spans="5:5" ht="17.399999999999999">
      <c r="E826" s="7"/>
    </row>
    <row r="827" spans="5:5" ht="17.399999999999999">
      <c r="E827" s="7"/>
    </row>
    <row r="828" spans="5:5" ht="17.399999999999999">
      <c r="E828" s="7"/>
    </row>
    <row r="829" spans="5:5" ht="17.399999999999999">
      <c r="E829" s="7"/>
    </row>
    <row r="830" spans="5:5" ht="17.399999999999999">
      <c r="E830" s="7"/>
    </row>
    <row r="831" spans="5:5" ht="17.399999999999999">
      <c r="E831" s="7"/>
    </row>
    <row r="832" spans="5:5" ht="17.399999999999999">
      <c r="E832" s="7"/>
    </row>
    <row r="833" spans="5:5" ht="17.399999999999999">
      <c r="E833" s="7"/>
    </row>
    <row r="834" spans="5:5" ht="17.399999999999999">
      <c r="E834" s="7"/>
    </row>
    <row r="835" spans="5:5" ht="17.399999999999999">
      <c r="E835" s="7"/>
    </row>
    <row r="836" spans="5:5" ht="17.399999999999999">
      <c r="E836" s="7"/>
    </row>
    <row r="837" spans="5:5" ht="17.399999999999999">
      <c r="E837" s="7"/>
    </row>
    <row r="838" spans="5:5" ht="17.399999999999999">
      <c r="E838" s="7"/>
    </row>
    <row r="839" spans="5:5" ht="17.399999999999999">
      <c r="E839" s="7"/>
    </row>
    <row r="840" spans="5:5" ht="17.399999999999999">
      <c r="E840" s="7"/>
    </row>
    <row r="841" spans="5:5" ht="17.399999999999999">
      <c r="E841" s="7"/>
    </row>
    <row r="842" spans="5:5" ht="17.399999999999999">
      <c r="E842" s="7"/>
    </row>
    <row r="843" spans="5:5" ht="17.399999999999999">
      <c r="E843" s="7"/>
    </row>
    <row r="844" spans="5:5" ht="17.399999999999999">
      <c r="E844" s="7"/>
    </row>
    <row r="845" spans="5:5" ht="17.399999999999999">
      <c r="E845" s="7"/>
    </row>
    <row r="846" spans="5:5" ht="17.399999999999999">
      <c r="E846" s="7"/>
    </row>
    <row r="847" spans="5:5" ht="17.399999999999999">
      <c r="E847" s="7"/>
    </row>
    <row r="848" spans="5:5" ht="17.399999999999999">
      <c r="E848" s="7"/>
    </row>
    <row r="849" spans="5:5" ht="17.399999999999999">
      <c r="E849" s="7"/>
    </row>
    <row r="850" spans="5:5" ht="17.399999999999999">
      <c r="E850" s="7"/>
    </row>
    <row r="851" spans="5:5" ht="17.399999999999999">
      <c r="E851" s="7"/>
    </row>
    <row r="852" spans="5:5" ht="17.399999999999999">
      <c r="E852" s="7"/>
    </row>
    <row r="853" spans="5:5" ht="17.399999999999999">
      <c r="E853" s="7"/>
    </row>
    <row r="854" spans="5:5" ht="17.399999999999999">
      <c r="E854" s="7"/>
    </row>
    <row r="855" spans="5:5" ht="17.399999999999999">
      <c r="E855" s="7"/>
    </row>
    <row r="856" spans="5:5" ht="17.399999999999999">
      <c r="E856" s="7"/>
    </row>
    <row r="857" spans="5:5" ht="17.399999999999999">
      <c r="E857" s="7"/>
    </row>
    <row r="858" spans="5:5" ht="17.399999999999999">
      <c r="E858" s="7"/>
    </row>
    <row r="859" spans="5:5" ht="17.399999999999999">
      <c r="E859" s="7"/>
    </row>
    <row r="860" spans="5:5" ht="17.399999999999999">
      <c r="E860" s="7"/>
    </row>
    <row r="861" spans="5:5" ht="17.399999999999999">
      <c r="E861" s="7"/>
    </row>
    <row r="862" spans="5:5" ht="17.399999999999999">
      <c r="E862" s="7"/>
    </row>
    <row r="863" spans="5:5" ht="17.399999999999999">
      <c r="E863" s="7"/>
    </row>
    <row r="864" spans="5:5" ht="17.399999999999999">
      <c r="E864" s="7"/>
    </row>
    <row r="865" spans="5:5" ht="17.399999999999999">
      <c r="E865" s="7"/>
    </row>
    <row r="866" spans="5:5" ht="17.399999999999999">
      <c r="E866" s="7"/>
    </row>
    <row r="867" spans="5:5" ht="17.399999999999999">
      <c r="E867" s="7"/>
    </row>
    <row r="868" spans="5:5" ht="17.399999999999999">
      <c r="E868" s="7"/>
    </row>
    <row r="869" spans="5:5" ht="17.399999999999999">
      <c r="E869" s="7"/>
    </row>
    <row r="870" spans="5:5" ht="17.399999999999999">
      <c r="E870" s="7"/>
    </row>
    <row r="871" spans="5:5" ht="17.399999999999999">
      <c r="E871" s="7"/>
    </row>
    <row r="872" spans="5:5" ht="17.399999999999999">
      <c r="E872" s="7"/>
    </row>
    <row r="873" spans="5:5" ht="17.399999999999999">
      <c r="E873" s="7"/>
    </row>
    <row r="874" spans="5:5" ht="17.399999999999999">
      <c r="E874" s="7"/>
    </row>
    <row r="875" spans="5:5" ht="17.399999999999999">
      <c r="E875" s="7"/>
    </row>
    <row r="876" spans="5:5" ht="17.399999999999999">
      <c r="E876" s="7"/>
    </row>
    <row r="877" spans="5:5" ht="17.399999999999999">
      <c r="E877" s="7"/>
    </row>
    <row r="878" spans="5:5" ht="17.399999999999999">
      <c r="E878" s="7"/>
    </row>
    <row r="879" spans="5:5" ht="17.399999999999999">
      <c r="E879" s="7"/>
    </row>
    <row r="880" spans="5:5" ht="17.399999999999999">
      <c r="E880" s="7"/>
    </row>
    <row r="881" spans="5:5" ht="17.399999999999999">
      <c r="E881" s="7"/>
    </row>
    <row r="882" spans="5:5" ht="17.399999999999999">
      <c r="E882" s="7"/>
    </row>
    <row r="883" spans="5:5" ht="17.399999999999999">
      <c r="E883" s="7"/>
    </row>
    <row r="884" spans="5:5" ht="17.399999999999999">
      <c r="E884" s="7"/>
    </row>
    <row r="885" spans="5:5" ht="17.399999999999999">
      <c r="E885" s="7"/>
    </row>
    <row r="886" spans="5:5" ht="17.399999999999999">
      <c r="E886" s="7"/>
    </row>
    <row r="887" spans="5:5" ht="17.399999999999999">
      <c r="E887" s="7"/>
    </row>
    <row r="888" spans="5:5" ht="17.399999999999999">
      <c r="E888" s="7"/>
    </row>
    <row r="889" spans="5:5" ht="17.399999999999999">
      <c r="E889" s="7"/>
    </row>
    <row r="890" spans="5:5" ht="17.399999999999999">
      <c r="E890" s="7"/>
    </row>
    <row r="891" spans="5:5" ht="17.399999999999999">
      <c r="E891" s="7"/>
    </row>
    <row r="892" spans="5:5" ht="17.399999999999999">
      <c r="E892" s="7"/>
    </row>
    <row r="893" spans="5:5" ht="17.399999999999999">
      <c r="E893" s="7"/>
    </row>
    <row r="894" spans="5:5" ht="17.399999999999999">
      <c r="E894" s="7"/>
    </row>
    <row r="895" spans="5:5" ht="17.399999999999999">
      <c r="E895" s="7"/>
    </row>
    <row r="896" spans="5:5" ht="17.399999999999999">
      <c r="E896" s="7"/>
    </row>
    <row r="897" spans="5:5" ht="17.399999999999999">
      <c r="E897" s="7"/>
    </row>
    <row r="898" spans="5:5" ht="17.399999999999999">
      <c r="E898" s="7"/>
    </row>
    <row r="899" spans="5:5" ht="17.399999999999999">
      <c r="E899" s="7"/>
    </row>
    <row r="900" spans="5:5" ht="17.399999999999999">
      <c r="E900" s="7"/>
    </row>
    <row r="901" spans="5:5" ht="17.399999999999999">
      <c r="E901" s="7"/>
    </row>
    <row r="902" spans="5:5" ht="17.399999999999999">
      <c r="E902" s="7"/>
    </row>
    <row r="903" spans="5:5" ht="17.399999999999999">
      <c r="E903" s="7"/>
    </row>
    <row r="904" spans="5:5" ht="17.399999999999999">
      <c r="E904" s="7"/>
    </row>
    <row r="905" spans="5:5" ht="17.399999999999999">
      <c r="E905" s="7"/>
    </row>
    <row r="906" spans="5:5" ht="17.399999999999999">
      <c r="E906" s="7"/>
    </row>
    <row r="907" spans="5:5" ht="17.399999999999999">
      <c r="E907" s="7"/>
    </row>
    <row r="908" spans="5:5" ht="17.399999999999999">
      <c r="E908" s="7"/>
    </row>
    <row r="909" spans="5:5" ht="17.399999999999999">
      <c r="E909" s="7"/>
    </row>
    <row r="910" spans="5:5" ht="17.399999999999999">
      <c r="E910" s="7"/>
    </row>
    <row r="911" spans="5:5" ht="17.399999999999999">
      <c r="E911" s="7"/>
    </row>
    <row r="912" spans="5:5" ht="17.399999999999999">
      <c r="E912" s="7"/>
    </row>
    <row r="913" spans="5:5" ht="17.399999999999999">
      <c r="E913" s="7"/>
    </row>
    <row r="914" spans="5:5" ht="17.399999999999999">
      <c r="E914" s="7"/>
    </row>
    <row r="915" spans="5:5" ht="17.399999999999999">
      <c r="E915" s="7"/>
    </row>
    <row r="916" spans="5:5" ht="17.399999999999999">
      <c r="E916" s="7"/>
    </row>
    <row r="917" spans="5:5" ht="17.399999999999999">
      <c r="E917" s="7"/>
    </row>
    <row r="918" spans="5:5" ht="17.399999999999999">
      <c r="E918" s="7"/>
    </row>
    <row r="919" spans="5:5" ht="17.399999999999999">
      <c r="E919" s="7"/>
    </row>
    <row r="920" spans="5:5" ht="17.399999999999999">
      <c r="E920" s="7"/>
    </row>
    <row r="921" spans="5:5" ht="17.399999999999999">
      <c r="E921" s="7"/>
    </row>
    <row r="922" spans="5:5" ht="17.399999999999999">
      <c r="E922" s="7"/>
    </row>
    <row r="923" spans="5:5" ht="17.399999999999999">
      <c r="E923" s="7"/>
    </row>
    <row r="924" spans="5:5" ht="17.399999999999999">
      <c r="E924" s="7"/>
    </row>
    <row r="925" spans="5:5" ht="17.399999999999999">
      <c r="E925" s="7"/>
    </row>
    <row r="926" spans="5:5" ht="17.399999999999999">
      <c r="E926" s="7"/>
    </row>
    <row r="927" spans="5:5" ht="17.399999999999999">
      <c r="E927" s="7"/>
    </row>
    <row r="928" spans="5:5" ht="17.399999999999999">
      <c r="E928" s="7"/>
    </row>
    <row r="929" spans="5:5" ht="17.399999999999999">
      <c r="E929" s="7"/>
    </row>
    <row r="930" spans="5:5" ht="17.399999999999999">
      <c r="E930" s="7"/>
    </row>
    <row r="931" spans="5:5" ht="17.399999999999999">
      <c r="E931" s="7"/>
    </row>
    <row r="932" spans="5:5" ht="17.399999999999999">
      <c r="E932" s="7"/>
    </row>
    <row r="933" spans="5:5" ht="17.399999999999999">
      <c r="E933" s="7"/>
    </row>
    <row r="934" spans="5:5" ht="17.399999999999999">
      <c r="E934" s="7"/>
    </row>
    <row r="935" spans="5:5" ht="17.399999999999999">
      <c r="E935" s="7"/>
    </row>
    <row r="936" spans="5:5" ht="17.399999999999999">
      <c r="E936" s="7"/>
    </row>
    <row r="937" spans="5:5" ht="17.399999999999999">
      <c r="E937" s="7"/>
    </row>
    <row r="938" spans="5:5" ht="17.399999999999999">
      <c r="E938" s="7"/>
    </row>
    <row r="939" spans="5:5" ht="17.399999999999999">
      <c r="E939" s="7"/>
    </row>
    <row r="940" spans="5:5" ht="17.399999999999999">
      <c r="E940" s="7"/>
    </row>
    <row r="941" spans="5:5" ht="17.399999999999999">
      <c r="E941" s="7"/>
    </row>
    <row r="942" spans="5:5" ht="17.399999999999999">
      <c r="E942" s="7"/>
    </row>
    <row r="943" spans="5:5" ht="17.399999999999999">
      <c r="E943" s="7"/>
    </row>
    <row r="944" spans="5:5" ht="17.399999999999999">
      <c r="E944" s="7"/>
    </row>
    <row r="945" spans="5:5" ht="17.399999999999999">
      <c r="E945" s="7"/>
    </row>
    <row r="946" spans="5:5" ht="17.399999999999999">
      <c r="E946" s="7"/>
    </row>
    <row r="947" spans="5:5" ht="17.399999999999999">
      <c r="E947" s="7"/>
    </row>
    <row r="948" spans="5:5" ht="17.399999999999999">
      <c r="E948" s="7"/>
    </row>
    <row r="949" spans="5:5" ht="17.399999999999999">
      <c r="E949" s="7"/>
    </row>
    <row r="950" spans="5:5" ht="17.399999999999999">
      <c r="E950" s="7"/>
    </row>
    <row r="951" spans="5:5" ht="17.399999999999999">
      <c r="E951" s="7"/>
    </row>
    <row r="952" spans="5:5" ht="17.399999999999999">
      <c r="E952" s="7"/>
    </row>
    <row r="953" spans="5:5" ht="17.399999999999999">
      <c r="E953" s="7"/>
    </row>
    <row r="954" spans="5:5" ht="17.399999999999999">
      <c r="E954" s="7"/>
    </row>
    <row r="955" spans="5:5" ht="17.399999999999999">
      <c r="E955" s="7"/>
    </row>
    <row r="956" spans="5:5" ht="17.399999999999999">
      <c r="E956" s="7"/>
    </row>
    <row r="957" spans="5:5" ht="17.399999999999999">
      <c r="E957" s="7"/>
    </row>
    <row r="958" spans="5:5" ht="17.399999999999999">
      <c r="E958" s="7"/>
    </row>
    <row r="959" spans="5:5" ht="17.399999999999999">
      <c r="E959" s="7"/>
    </row>
    <row r="960" spans="5:5" ht="17.399999999999999">
      <c r="E960" s="7"/>
    </row>
    <row r="961" spans="5:5" ht="17.399999999999999">
      <c r="E961" s="7"/>
    </row>
    <row r="962" spans="5:5" ht="17.399999999999999">
      <c r="E962" s="7"/>
    </row>
    <row r="963" spans="5:5" ht="17.399999999999999">
      <c r="E963" s="7"/>
    </row>
    <row r="964" spans="5:5" ht="17.399999999999999">
      <c r="E964" s="7"/>
    </row>
    <row r="965" spans="5:5" ht="17.399999999999999">
      <c r="E965" s="7"/>
    </row>
    <row r="966" spans="5:5" ht="17.399999999999999">
      <c r="E966" s="7"/>
    </row>
    <row r="967" spans="5:5" ht="17.399999999999999">
      <c r="E967" s="7"/>
    </row>
    <row r="968" spans="5:5" ht="17.399999999999999">
      <c r="E968" s="7"/>
    </row>
    <row r="969" spans="5:5" ht="17.399999999999999">
      <c r="E969" s="7"/>
    </row>
    <row r="970" spans="5:5" ht="17.399999999999999">
      <c r="E970" s="7"/>
    </row>
    <row r="971" spans="5:5" ht="17.399999999999999">
      <c r="E971" s="7"/>
    </row>
    <row r="972" spans="5:5" ht="17.399999999999999">
      <c r="E972" s="7"/>
    </row>
    <row r="973" spans="5:5" ht="17.399999999999999">
      <c r="E973" s="7"/>
    </row>
    <row r="974" spans="5:5" ht="17.399999999999999">
      <c r="E974" s="7"/>
    </row>
    <row r="975" spans="5:5" ht="17.399999999999999">
      <c r="E975" s="7"/>
    </row>
    <row r="976" spans="5:5" ht="17.399999999999999">
      <c r="E976" s="7"/>
    </row>
    <row r="977" spans="5:5" ht="17.399999999999999">
      <c r="E977" s="7"/>
    </row>
    <row r="978" spans="5:5" ht="17.399999999999999">
      <c r="E978" s="7"/>
    </row>
    <row r="979" spans="5:5" ht="17.399999999999999">
      <c r="E979" s="7"/>
    </row>
    <row r="980" spans="5:5" ht="17.399999999999999">
      <c r="E980" s="7"/>
    </row>
    <row r="981" spans="5:5" ht="17.399999999999999">
      <c r="E981" s="7"/>
    </row>
    <row r="982" spans="5:5" ht="17.399999999999999">
      <c r="E982" s="7"/>
    </row>
    <row r="983" spans="5:5" ht="17.399999999999999">
      <c r="E983" s="7"/>
    </row>
    <row r="984" spans="5:5" ht="17.399999999999999">
      <c r="E984" s="7"/>
    </row>
    <row r="985" spans="5:5" ht="17.399999999999999">
      <c r="E985" s="7"/>
    </row>
    <row r="986" spans="5:5" ht="17.399999999999999">
      <c r="E986" s="7"/>
    </row>
    <row r="987" spans="5:5" ht="17.399999999999999">
      <c r="E987" s="7"/>
    </row>
    <row r="988" spans="5:5" ht="17.399999999999999">
      <c r="E988" s="7"/>
    </row>
    <row r="989" spans="5:5" ht="17.399999999999999">
      <c r="E989" s="7"/>
    </row>
    <row r="990" spans="5:5" ht="17.399999999999999">
      <c r="E990" s="7"/>
    </row>
    <row r="991" spans="5:5" ht="17.399999999999999">
      <c r="E991" s="7"/>
    </row>
    <row r="992" spans="5:5" ht="17.399999999999999">
      <c r="E992" s="7"/>
    </row>
    <row r="993" spans="5:5" ht="17.399999999999999">
      <c r="E993" s="7"/>
    </row>
    <row r="994" spans="5:5" ht="17.399999999999999">
      <c r="E994" s="7"/>
    </row>
    <row r="995" spans="5:5" ht="17.399999999999999">
      <c r="E995" s="7"/>
    </row>
    <row r="996" spans="5:5" ht="17.399999999999999">
      <c r="E996" s="7"/>
    </row>
    <row r="997" spans="5:5" ht="17.399999999999999">
      <c r="E997" s="7"/>
    </row>
    <row r="998" spans="5:5" ht="17.399999999999999">
      <c r="E998" s="7"/>
    </row>
    <row r="999" spans="5:5" ht="17.399999999999999">
      <c r="E999" s="7"/>
    </row>
    <row r="1000" spans="5:5" ht="17.399999999999999">
      <c r="E1000" s="7"/>
    </row>
    <row r="1001" spans="5:5" ht="17.399999999999999">
      <c r="E1001" s="7"/>
    </row>
    <row r="1002" spans="5:5" ht="17.399999999999999">
      <c r="E1002" s="7"/>
    </row>
    <row r="1003" spans="5:5" ht="17.399999999999999">
      <c r="E1003" s="7"/>
    </row>
    <row r="1004" spans="5:5" ht="17.399999999999999">
      <c r="E1004" s="7"/>
    </row>
    <row r="1005" spans="5:5" ht="17.399999999999999">
      <c r="E1005" s="7"/>
    </row>
    <row r="1006" spans="5:5" ht="17.399999999999999">
      <c r="E1006" s="7"/>
    </row>
    <row r="1007" spans="5:5" ht="17.399999999999999">
      <c r="E1007" s="7"/>
    </row>
    <row r="1008" spans="5:5" ht="17.399999999999999">
      <c r="E1008" s="7"/>
    </row>
    <row r="1009" spans="5:5" ht="17.399999999999999">
      <c r="E1009" s="7"/>
    </row>
    <row r="1010" spans="5:5" ht="17.399999999999999">
      <c r="E1010" s="7"/>
    </row>
    <row r="1011" spans="5:5" ht="17.399999999999999">
      <c r="E1011" s="7"/>
    </row>
    <row r="1012" spans="5:5" ht="17.399999999999999">
      <c r="E1012" s="7"/>
    </row>
    <row r="1013" spans="5:5" ht="17.399999999999999">
      <c r="E1013" s="7"/>
    </row>
    <row r="1014" spans="5:5" ht="17.399999999999999">
      <c r="E1014" s="7"/>
    </row>
    <row r="1015" spans="5:5" ht="17.399999999999999">
      <c r="E1015" s="7"/>
    </row>
    <row r="1016" spans="5:5" ht="17.399999999999999">
      <c r="E1016" s="7"/>
    </row>
    <row r="1017" spans="5:5" ht="17.399999999999999">
      <c r="E1017" s="7"/>
    </row>
  </sheetData>
  <mergeCells count="4">
    <mergeCell ref="F46:K46"/>
    <mergeCell ref="F68:K68"/>
    <mergeCell ref="B71:B78"/>
    <mergeCell ref="B81:B88"/>
  </mergeCells>
  <conditionalFormatting sqref="B26 F26:G26 B64 E64 D78:E78 D88:E88">
    <cfRule type="expression" dxfId="4" priority="1">
      <formula>"Yes" =INDIRECT("Appendix!H11")</formula>
    </cfRule>
  </conditionalFormatting>
  <conditionalFormatting sqref="E63">
    <cfRule type="expression" dxfId="3" priority="4">
      <formula>"Yes" =INDIRECT("Appendix!H11")</formula>
    </cfRule>
  </conditionalFormatting>
  <conditionalFormatting sqref="F25:G25">
    <cfRule type="expression" dxfId="2" priority="5">
      <formula>"Yes" =INDIRECT("Appendix!H11")</formula>
    </cfRule>
  </conditionalFormatting>
  <conditionalFormatting sqref="I3 I32">
    <cfRule type="expression" dxfId="1" priority="2">
      <formula>I4&lt;0</formula>
    </cfRule>
  </conditionalFormatting>
  <conditionalFormatting sqref="I4 I33">
    <cfRule type="cellIs" dxfId="0" priority="3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29DD5"/>
    <outlinePr summaryBelow="0" summaryRight="0"/>
  </sheetPr>
  <dimension ref="B1:T1000"/>
  <sheetViews>
    <sheetView showGridLines="0" zoomScale="63" zoomScaleNormal="80" workbookViewId="0">
      <selection activeCell="E20" sqref="E20"/>
    </sheetView>
  </sheetViews>
  <sheetFormatPr defaultColWidth="14.44140625" defaultRowHeight="15.75" customHeight="1"/>
  <cols>
    <col min="1" max="1" width="7.33203125" customWidth="1"/>
    <col min="3" max="3" width="23.44140625" customWidth="1"/>
    <col min="7" max="7" width="31" customWidth="1"/>
    <col min="9" max="9" width="6.109375" customWidth="1"/>
  </cols>
  <sheetData>
    <row r="1" spans="2:20" ht="22.8">
      <c r="B1" s="274" t="s">
        <v>98</v>
      </c>
      <c r="C1" s="3"/>
      <c r="D1" s="1"/>
      <c r="T1" s="2">
        <v>1</v>
      </c>
    </row>
    <row r="2" spans="2:20" s="6" customFormat="1" ht="19.95" customHeight="1">
      <c r="B2" s="272"/>
      <c r="C2" s="7"/>
    </row>
    <row r="3" spans="2:20" s="6" customFormat="1" ht="19.95" customHeight="1" thickBot="1">
      <c r="B3" s="416" t="s">
        <v>99</v>
      </c>
      <c r="C3" s="417" t="s">
        <v>100</v>
      </c>
      <c r="E3" s="8" t="s">
        <v>101</v>
      </c>
      <c r="H3" s="273" t="s">
        <v>119</v>
      </c>
    </row>
    <row r="4" spans="2:20" s="6" customFormat="1" ht="19.95" customHeight="1" thickBot="1">
      <c r="B4" s="412">
        <v>2012</v>
      </c>
      <c r="C4" s="413" t="s">
        <v>185</v>
      </c>
      <c r="E4" s="8" t="s">
        <v>102</v>
      </c>
      <c r="H4" s="273" t="s">
        <v>120</v>
      </c>
    </row>
    <row r="5" spans="2:20" s="6" customFormat="1" ht="19.95" customHeight="1" thickBot="1">
      <c r="B5" s="412">
        <v>2013</v>
      </c>
      <c r="C5" s="413" t="s">
        <v>185</v>
      </c>
      <c r="E5" s="8" t="s">
        <v>103</v>
      </c>
      <c r="H5" s="8">
        <f>IF(Appendix!H3=Appendix!H4,12,12-((LEFT(Appendix!H3,4)-LEFT(Appendix!H4,4))*12+(MID(Appendix!H3,6,2)-MID(Appendix!H4,6,2))))</f>
        <v>3</v>
      </c>
      <c r="J5" s="20" t="s">
        <v>104</v>
      </c>
    </row>
    <row r="6" spans="2:20" s="6" customFormat="1" ht="19.95" customHeight="1" thickBot="1">
      <c r="B6" s="412">
        <v>2014</v>
      </c>
      <c r="C6" s="413" t="s">
        <v>185</v>
      </c>
    </row>
    <row r="7" spans="2:20" s="6" customFormat="1" ht="19.95" customHeight="1" thickBot="1">
      <c r="B7" s="412">
        <v>2015</v>
      </c>
      <c r="C7" s="413" t="s">
        <v>185</v>
      </c>
      <c r="E7" s="8" t="s">
        <v>105</v>
      </c>
      <c r="H7" s="7" t="s">
        <v>16</v>
      </c>
    </row>
    <row r="8" spans="2:20" s="6" customFormat="1" ht="19.95" customHeight="1" thickBot="1">
      <c r="B8" s="412">
        <v>2016</v>
      </c>
      <c r="C8" s="413" t="s">
        <v>185</v>
      </c>
      <c r="G8" s="141" t="s">
        <v>106</v>
      </c>
      <c r="H8" s="21" t="s">
        <v>106</v>
      </c>
    </row>
    <row r="9" spans="2:20" s="6" customFormat="1" ht="19.95" customHeight="1" thickBot="1">
      <c r="B9" s="412">
        <v>2017</v>
      </c>
      <c r="C9" s="413">
        <v>1621</v>
      </c>
      <c r="E9" s="8" t="s">
        <v>107</v>
      </c>
      <c r="H9" s="35">
        <v>54330</v>
      </c>
    </row>
    <row r="10" spans="2:20" s="6" customFormat="1" ht="19.95" customHeight="1" thickBot="1">
      <c r="B10" s="412">
        <v>2018</v>
      </c>
      <c r="C10" s="413">
        <v>1897</v>
      </c>
    </row>
    <row r="11" spans="2:20" s="6" customFormat="1" ht="19.95" customHeight="1" thickBot="1">
      <c r="B11" s="412">
        <v>2019</v>
      </c>
      <c r="C11" s="413">
        <v>2442</v>
      </c>
      <c r="E11" s="8" t="s">
        <v>108</v>
      </c>
      <c r="H11" s="7" t="str">
        <f>IF(Master!E11=Master!G4,"Yes", "No")</f>
        <v>Yes</v>
      </c>
    </row>
    <row r="12" spans="2:20" s="6" customFormat="1" ht="19.95" customHeight="1" thickBot="1">
      <c r="B12" s="412">
        <v>2020</v>
      </c>
      <c r="C12" s="413">
        <v>2678</v>
      </c>
    </row>
    <row r="13" spans="2:20" s="6" customFormat="1" ht="19.95" customHeight="1" thickBot="1">
      <c r="B13" s="412">
        <v>2021</v>
      </c>
      <c r="C13" s="413">
        <v>2463</v>
      </c>
      <c r="E13" s="8" t="s">
        <v>109</v>
      </c>
      <c r="H13" s="35">
        <v>1</v>
      </c>
    </row>
    <row r="14" spans="2:20" s="6" customFormat="1" ht="19.95" customHeight="1" thickBot="1">
      <c r="B14" s="412">
        <v>2022</v>
      </c>
      <c r="C14" s="413">
        <v>2566</v>
      </c>
    </row>
    <row r="15" spans="2:20" s="6" customFormat="1" ht="19.95" customHeight="1" thickBot="1">
      <c r="B15" s="412">
        <v>2023</v>
      </c>
      <c r="C15" s="413">
        <v>3119</v>
      </c>
      <c r="E15" s="311"/>
      <c r="H15" s="398"/>
      <c r="O15" s="21" t="str">
        <f>"no"</f>
        <v>no</v>
      </c>
    </row>
    <row r="16" spans="2:20" s="6" customFormat="1" ht="19.95" customHeight="1" thickBot="1">
      <c r="B16" s="412">
        <v>2024</v>
      </c>
      <c r="C16" s="413">
        <v>3226</v>
      </c>
    </row>
    <row r="17" spans="2:4" s="6" customFormat="1" ht="19.95" customHeight="1" thickBot="1">
      <c r="B17" s="412">
        <v>2025</v>
      </c>
      <c r="C17" s="413">
        <v>3485</v>
      </c>
    </row>
    <row r="18" spans="2:4" s="6" customFormat="1" ht="19.95" customHeight="1" thickBot="1">
      <c r="B18" s="412">
        <v>2026</v>
      </c>
      <c r="C18" s="413" t="s">
        <v>185</v>
      </c>
    </row>
    <row r="19" spans="2:4" s="6" customFormat="1" ht="19.95" customHeight="1" thickBot="1">
      <c r="B19" s="412">
        <v>2027</v>
      </c>
      <c r="C19" s="413" t="s">
        <v>185</v>
      </c>
    </row>
    <row r="20" spans="2:4" s="6" customFormat="1" ht="19.95" customHeight="1" thickBot="1">
      <c r="B20" s="412">
        <v>2028</v>
      </c>
      <c r="C20" s="413" t="s">
        <v>185</v>
      </c>
    </row>
    <row r="21" spans="2:4" s="6" customFormat="1" ht="19.95" customHeight="1" thickBot="1">
      <c r="B21" s="412">
        <v>2029</v>
      </c>
      <c r="C21" s="413" t="s">
        <v>185</v>
      </c>
      <c r="D21" s="21" t="s">
        <v>0</v>
      </c>
    </row>
    <row r="22" spans="2:4" s="6" customFormat="1" ht="19.95" customHeight="1">
      <c r="B22" s="414">
        <v>2030</v>
      </c>
      <c r="C22" s="415" t="s">
        <v>185</v>
      </c>
    </row>
    <row r="23" spans="2:4" s="6" customFormat="1" ht="19.95" customHeight="1">
      <c r="B23" s="272"/>
      <c r="C23" s="7"/>
    </row>
    <row r="24" spans="2:4" s="6" customFormat="1" ht="19.95" customHeight="1" thickBot="1"/>
    <row r="25" spans="2:4" s="6" customFormat="1" ht="19.95" customHeight="1" thickBot="1">
      <c r="B25" s="433" t="s">
        <v>214</v>
      </c>
      <c r="C25" s="433"/>
      <c r="D25" s="433"/>
    </row>
    <row r="26" spans="2:4" s="6" customFormat="1" ht="19.95" customHeight="1" thickBot="1">
      <c r="B26" s="408" t="s">
        <v>211</v>
      </c>
      <c r="C26" s="408" t="s">
        <v>212</v>
      </c>
      <c r="D26" s="408" t="s">
        <v>213</v>
      </c>
    </row>
    <row r="27" spans="2:4" s="6" customFormat="1" ht="19.95" customHeight="1" thickBot="1">
      <c r="B27" s="409">
        <v>45674</v>
      </c>
      <c r="C27" s="410">
        <v>399.42193603515602</v>
      </c>
      <c r="D27" s="411">
        <v>5996.66015625</v>
      </c>
    </row>
    <row r="28" spans="2:4" s="6" customFormat="1" ht="19.95" customHeight="1" thickBot="1">
      <c r="B28" s="409">
        <v>45678</v>
      </c>
      <c r="C28" s="410">
        <v>408.25177001953102</v>
      </c>
      <c r="D28" s="411">
        <v>6049.240234375</v>
      </c>
    </row>
    <row r="29" spans="2:4" s="6" customFormat="1" ht="19.95" customHeight="1" thickBot="1">
      <c r="B29" s="409">
        <v>45679</v>
      </c>
      <c r="C29" s="410">
        <v>400.12438964843699</v>
      </c>
      <c r="D29" s="411">
        <v>6086.3701171875</v>
      </c>
    </row>
    <row r="30" spans="2:4" s="6" customFormat="1" ht="19.95" customHeight="1" thickBot="1">
      <c r="B30" s="409">
        <v>45680</v>
      </c>
      <c r="C30" s="411">
        <v>404.31005859375</v>
      </c>
      <c r="D30" s="411">
        <v>6118.7099609375</v>
      </c>
    </row>
    <row r="31" spans="2:4" s="6" customFormat="1" ht="19.95" customHeight="1" thickBot="1">
      <c r="B31" s="409">
        <v>45681</v>
      </c>
      <c r="C31" s="410">
        <v>404.41735839843699</v>
      </c>
      <c r="D31" s="411">
        <v>6101.240234375</v>
      </c>
    </row>
    <row r="32" spans="2:4" s="6" customFormat="1" ht="19.95" customHeight="1" thickBot="1">
      <c r="B32" s="409">
        <v>45684</v>
      </c>
      <c r="C32" s="410">
        <v>414.53512573242102</v>
      </c>
      <c r="D32" s="411">
        <v>6012.27978515625</v>
      </c>
    </row>
    <row r="33" spans="2:4" ht="15.75" customHeight="1" thickBot="1">
      <c r="B33" s="409">
        <v>45685</v>
      </c>
      <c r="C33" s="410">
        <v>408.64202880859301</v>
      </c>
      <c r="D33" s="411">
        <v>6067.7001953125</v>
      </c>
    </row>
    <row r="34" spans="2:4" ht="15.75" customHeight="1" thickBot="1">
      <c r="B34" s="409">
        <v>45686</v>
      </c>
      <c r="C34" s="410">
        <v>403.36364746093699</v>
      </c>
      <c r="D34" s="411">
        <v>6039.31005859375</v>
      </c>
    </row>
    <row r="35" spans="2:4" ht="15.75" customHeight="1" thickBot="1">
      <c r="B35" s="409">
        <v>45687</v>
      </c>
      <c r="C35" s="410">
        <v>404.41735839843699</v>
      </c>
      <c r="D35" s="411">
        <v>6071.169921875</v>
      </c>
    </row>
    <row r="36" spans="2:4" ht="15.75" customHeight="1" thickBot="1">
      <c r="B36" s="409">
        <v>45688</v>
      </c>
      <c r="C36" s="410">
        <v>401.95867919921801</v>
      </c>
      <c r="D36" s="411">
        <v>6040.52978515625</v>
      </c>
    </row>
    <row r="37" spans="2:4" ht="15.75" customHeight="1" thickBot="1">
      <c r="B37" s="409">
        <v>45691</v>
      </c>
      <c r="C37" s="410">
        <v>398.81698608398398</v>
      </c>
      <c r="D37" s="411">
        <v>5994.56982421875</v>
      </c>
    </row>
    <row r="38" spans="2:4" ht="15.75" customHeight="1" thickBot="1">
      <c r="B38" s="409">
        <v>45692</v>
      </c>
      <c r="C38" s="410">
        <v>401.48056030273398</v>
      </c>
      <c r="D38" s="411">
        <v>6037.8798828125</v>
      </c>
    </row>
    <row r="39" spans="2:4" ht="15.75" customHeight="1" thickBot="1">
      <c r="B39" s="409">
        <v>45693</v>
      </c>
      <c r="C39" s="411">
        <v>403.75390625</v>
      </c>
      <c r="D39" s="411">
        <v>6061.47998046875</v>
      </c>
    </row>
    <row r="40" spans="2:4" ht="15.75" customHeight="1" thickBot="1">
      <c r="B40" s="409">
        <v>45694</v>
      </c>
      <c r="C40" s="410">
        <v>404.08566284179602</v>
      </c>
      <c r="D40" s="411">
        <v>6083.56982421875</v>
      </c>
    </row>
    <row r="41" spans="2:4" ht="15.75" customHeight="1" thickBot="1">
      <c r="B41" s="409">
        <v>45695</v>
      </c>
      <c r="C41" s="410">
        <v>397.46078491210898</v>
      </c>
      <c r="D41" s="411">
        <v>6025.990234375</v>
      </c>
    </row>
    <row r="42" spans="2:4" ht="15.75" customHeight="1" thickBot="1">
      <c r="B42" s="409">
        <v>45698</v>
      </c>
      <c r="C42" s="410">
        <v>403.91973876953102</v>
      </c>
      <c r="D42" s="411">
        <v>6066.43994140625</v>
      </c>
    </row>
    <row r="43" spans="2:4" ht="15.75" customHeight="1" thickBot="1">
      <c r="B43" s="409">
        <v>45699</v>
      </c>
      <c r="C43" s="410">
        <v>406.23211669921801</v>
      </c>
      <c r="D43" s="411">
        <v>6068.5</v>
      </c>
    </row>
    <row r="44" spans="2:4" ht="15.75" customHeight="1" thickBot="1">
      <c r="B44" s="409">
        <v>45700</v>
      </c>
      <c r="C44" s="410">
        <v>397.23641967773398</v>
      </c>
      <c r="D44" s="411">
        <v>6051.97021484375</v>
      </c>
    </row>
    <row r="45" spans="2:4" ht="15.75" customHeight="1" thickBot="1">
      <c r="B45" s="409">
        <v>45701</v>
      </c>
      <c r="C45" s="411">
        <v>402.397705078125</v>
      </c>
      <c r="D45" s="411">
        <v>6115.06982421875</v>
      </c>
    </row>
    <row r="46" spans="2:4" ht="15.75" customHeight="1" thickBot="1">
      <c r="B46" s="409">
        <v>45702</v>
      </c>
      <c r="C46" s="410">
        <v>399.53900146484301</v>
      </c>
      <c r="D46" s="411">
        <v>6114.6298828125</v>
      </c>
    </row>
    <row r="47" spans="2:4" ht="15.75" customHeight="1" thickBot="1">
      <c r="B47" s="409">
        <v>45706</v>
      </c>
      <c r="C47" s="410">
        <v>393.49954223632801</v>
      </c>
      <c r="D47" s="411">
        <v>6129.580078125</v>
      </c>
    </row>
    <row r="48" spans="2:4" ht="15.75" customHeight="1" thickBot="1">
      <c r="B48" s="409">
        <v>45707</v>
      </c>
      <c r="C48" s="410">
        <v>385.81124877929602</v>
      </c>
      <c r="D48" s="411">
        <v>6144.14990234375</v>
      </c>
    </row>
    <row r="49" spans="2:4" ht="15.75" customHeight="1" thickBot="1">
      <c r="B49" s="409">
        <v>45708</v>
      </c>
      <c r="C49" s="410">
        <v>385.04046630859301</v>
      </c>
      <c r="D49" s="411">
        <v>6117.52001953125</v>
      </c>
    </row>
    <row r="50" spans="2:4" ht="15.75" customHeight="1" thickBot="1">
      <c r="B50" s="409">
        <v>45709</v>
      </c>
      <c r="C50" s="410">
        <v>375.92761230468699</v>
      </c>
      <c r="D50" s="411">
        <v>6013.1298828125</v>
      </c>
    </row>
    <row r="51" spans="2:4" ht="15.75" customHeight="1" thickBot="1">
      <c r="B51" s="409">
        <v>45712</v>
      </c>
      <c r="C51" s="410">
        <v>373.11773681640602</v>
      </c>
      <c r="D51" s="411">
        <v>5983.25</v>
      </c>
    </row>
    <row r="52" spans="2:4" ht="15.75" customHeight="1" thickBot="1">
      <c r="B52" s="409">
        <v>45713</v>
      </c>
      <c r="C52" s="410">
        <v>383.72332763671801</v>
      </c>
      <c r="D52" s="411">
        <v>5955.25</v>
      </c>
    </row>
    <row r="53" spans="2:4" ht="15.75" customHeight="1" thickBot="1">
      <c r="B53" s="409">
        <v>45714</v>
      </c>
      <c r="C53" s="410">
        <v>380.98165893554602</v>
      </c>
      <c r="D53" s="411">
        <v>5956.06005859375</v>
      </c>
    </row>
    <row r="54" spans="2:4" ht="15.75" customHeight="1" thickBot="1">
      <c r="B54" s="409">
        <v>45715</v>
      </c>
      <c r="C54" s="410">
        <v>380.776763916015</v>
      </c>
      <c r="D54" s="411">
        <v>5861.56982421875</v>
      </c>
    </row>
    <row r="55" spans="2:4" ht="15.75" customHeight="1" thickBot="1">
      <c r="B55" s="409">
        <v>45716</v>
      </c>
      <c r="C55" s="410">
        <v>386.95278930664</v>
      </c>
      <c r="D55" s="411">
        <v>5954.5</v>
      </c>
    </row>
    <row r="56" spans="2:4" ht="15.75" customHeight="1" thickBot="1">
      <c r="B56" s="409">
        <v>45719</v>
      </c>
      <c r="C56" s="410">
        <v>380.21087646484301</v>
      </c>
      <c r="D56" s="411">
        <v>5849.72021484375</v>
      </c>
    </row>
    <row r="57" spans="2:4" ht="15.75" customHeight="1" thickBot="1">
      <c r="B57" s="409">
        <v>45720</v>
      </c>
      <c r="C57" s="410">
        <v>372.39569091796801</v>
      </c>
      <c r="D57" s="411">
        <v>5778.14990234375</v>
      </c>
    </row>
    <row r="58" spans="2:4" ht="15.75" customHeight="1" thickBot="1">
      <c r="B58" s="409">
        <v>45721</v>
      </c>
      <c r="C58" s="410">
        <v>376.95211791992102</v>
      </c>
      <c r="D58" s="411">
        <v>5842.6298828125</v>
      </c>
    </row>
    <row r="59" spans="2:4" ht="15.75" customHeight="1" thickBot="1">
      <c r="B59" s="409">
        <v>45722</v>
      </c>
      <c r="C59" s="410">
        <v>372.44451904296801</v>
      </c>
      <c r="D59" s="411">
        <v>5738.52001953125</v>
      </c>
    </row>
    <row r="60" spans="2:4" ht="15.75" customHeight="1" thickBot="1">
      <c r="B60" s="409">
        <v>45723</v>
      </c>
      <c r="C60" s="410">
        <v>367.63439941406199</v>
      </c>
      <c r="D60" s="411">
        <v>5770.2001953125</v>
      </c>
    </row>
    <row r="61" spans="2:4" ht="15.75" customHeight="1" thickBot="1">
      <c r="B61" s="409">
        <v>45726</v>
      </c>
      <c r="C61" s="410">
        <v>365.53671264648398</v>
      </c>
      <c r="D61" s="411">
        <v>5614.56005859375</v>
      </c>
    </row>
    <row r="62" spans="2:4" ht="15.75" customHeight="1" thickBot="1">
      <c r="B62" s="409">
        <v>45727</v>
      </c>
      <c r="C62" s="411">
        <v>359.20458984375</v>
      </c>
      <c r="D62" s="411">
        <v>5572.06982421875</v>
      </c>
    </row>
    <row r="63" spans="2:4" ht="15.75" customHeight="1" thickBot="1">
      <c r="B63" s="409">
        <v>45728</v>
      </c>
      <c r="C63" s="410">
        <v>355.85800170898398</v>
      </c>
      <c r="D63" s="411">
        <v>5599.2998046875</v>
      </c>
    </row>
    <row r="64" spans="2:4" ht="18" thickBot="1">
      <c r="B64" s="409">
        <v>45729</v>
      </c>
      <c r="C64" s="410">
        <v>340.95327758789</v>
      </c>
      <c r="D64" s="411">
        <v>5521.52001953125</v>
      </c>
    </row>
    <row r="65" spans="2:4" ht="18" thickBot="1">
      <c r="B65" s="409">
        <v>45730</v>
      </c>
      <c r="C65" s="410">
        <v>344.93966674804602</v>
      </c>
      <c r="D65" s="411">
        <v>5638.93994140625</v>
      </c>
    </row>
    <row r="66" spans="2:4" ht="18" thickBot="1">
      <c r="B66" s="409">
        <v>45733</v>
      </c>
      <c r="C66" s="410">
        <v>347.70852661132801</v>
      </c>
      <c r="D66" s="411">
        <v>5675.1201171875</v>
      </c>
    </row>
    <row r="67" spans="2:4" ht="18" thickBot="1">
      <c r="B67" s="409">
        <v>45734</v>
      </c>
      <c r="C67" s="410">
        <v>343.23123168945301</v>
      </c>
      <c r="D67" s="411">
        <v>5614.66015625</v>
      </c>
    </row>
    <row r="68" spans="2:4" ht="18" thickBot="1">
      <c r="B68" s="409">
        <v>45735</v>
      </c>
      <c r="C68" s="410">
        <v>347.01141357421801</v>
      </c>
      <c r="D68" s="411">
        <v>5675.2900390625</v>
      </c>
    </row>
    <row r="69" spans="2:4" ht="18" thickBot="1">
      <c r="B69" s="409">
        <v>45736</v>
      </c>
      <c r="C69" s="410">
        <v>349.07330322265602</v>
      </c>
      <c r="D69" s="411">
        <v>5662.89013671875</v>
      </c>
    </row>
    <row r="70" spans="2:4" ht="18" thickBot="1">
      <c r="B70" s="409">
        <v>45737</v>
      </c>
      <c r="C70" s="410">
        <v>344.78256225585898</v>
      </c>
      <c r="D70" s="411">
        <v>5667.56005859375</v>
      </c>
    </row>
    <row r="71" spans="2:4" ht="18" thickBot="1">
      <c r="B71" s="409">
        <v>45740</v>
      </c>
      <c r="C71" s="410">
        <v>357.173736572265</v>
      </c>
      <c r="D71" s="411">
        <v>5767.56982421875</v>
      </c>
    </row>
    <row r="72" spans="2:4" ht="18" thickBot="1">
      <c r="B72" s="409">
        <v>45741</v>
      </c>
      <c r="C72" s="410">
        <v>354.44412231445301</v>
      </c>
      <c r="D72" s="411">
        <v>5776.64990234375</v>
      </c>
    </row>
    <row r="73" spans="2:4" ht="18" thickBot="1">
      <c r="B73" s="409">
        <v>45742</v>
      </c>
      <c r="C73" s="411">
        <v>355.5634765625</v>
      </c>
      <c r="D73" s="411">
        <v>5712.2001953125</v>
      </c>
    </row>
    <row r="74" spans="2:4" ht="18" thickBot="1">
      <c r="B74" s="409">
        <v>45743</v>
      </c>
      <c r="C74" s="410">
        <v>356.15255737304602</v>
      </c>
      <c r="D74" s="411">
        <v>5693.31005859375</v>
      </c>
    </row>
    <row r="75" spans="2:4" ht="18" thickBot="1">
      <c r="B75" s="409">
        <v>45744</v>
      </c>
      <c r="C75" s="410">
        <v>351.65560913085898</v>
      </c>
      <c r="D75" s="411">
        <v>5580.93994140625</v>
      </c>
    </row>
    <row r="76" spans="2:4" ht="18" thickBot="1">
      <c r="B76" s="409">
        <v>45747</v>
      </c>
      <c r="C76" s="410">
        <v>359.84436035156199</v>
      </c>
      <c r="D76" s="411">
        <v>5611.85009765625</v>
      </c>
    </row>
    <row r="77" spans="2:4" ht="18" thickBot="1">
      <c r="B77" s="409">
        <v>45748</v>
      </c>
      <c r="C77" s="410">
        <v>358.89196777343699</v>
      </c>
      <c r="D77" s="411">
        <v>5633.06982421875</v>
      </c>
    </row>
    <row r="78" spans="2:4" ht="18" thickBot="1">
      <c r="B78" s="409">
        <v>45749</v>
      </c>
      <c r="C78" s="410">
        <v>364.16461181640602</v>
      </c>
      <c r="D78" s="411">
        <v>5670.97021484375</v>
      </c>
    </row>
    <row r="79" spans="2:4" ht="18" thickBot="1">
      <c r="B79" s="409">
        <v>45750</v>
      </c>
      <c r="C79" s="410">
        <v>349.45623779296801</v>
      </c>
      <c r="D79" s="411">
        <v>5396.52001953125</v>
      </c>
    </row>
    <row r="80" spans="2:4" ht="18" thickBot="1">
      <c r="B80" s="409">
        <v>45751</v>
      </c>
      <c r="C80" s="411">
        <v>347.482666015625</v>
      </c>
      <c r="D80" s="411">
        <v>5074.080078125</v>
      </c>
    </row>
    <row r="81" spans="2:4" ht="18" thickBot="1">
      <c r="B81" s="409">
        <v>45754</v>
      </c>
      <c r="C81" s="411">
        <v>335.3173828125</v>
      </c>
      <c r="D81" s="411">
        <v>5062.25</v>
      </c>
    </row>
    <row r="82" spans="2:4" ht="18" thickBot="1">
      <c r="B82" s="409">
        <v>45755</v>
      </c>
      <c r="C82" s="410">
        <v>329.161041259765</v>
      </c>
      <c r="D82" s="411">
        <v>4982.77001953125</v>
      </c>
    </row>
    <row r="83" spans="2:4" ht="18" thickBot="1">
      <c r="B83" s="409">
        <v>45756</v>
      </c>
      <c r="C83" s="410">
        <v>348.94567871093699</v>
      </c>
      <c r="D83" s="411">
        <v>5456.89990234375</v>
      </c>
    </row>
    <row r="84" spans="2:4" ht="18" thickBot="1">
      <c r="B84" s="409">
        <v>45757</v>
      </c>
      <c r="C84" s="411">
        <v>347.207763671875</v>
      </c>
      <c r="D84" s="411">
        <v>5268.0498046875</v>
      </c>
    </row>
    <row r="85" spans="2:4" ht="18" thickBot="1">
      <c r="B85" s="409">
        <v>45758</v>
      </c>
      <c r="C85" s="410">
        <v>347.44338989257801</v>
      </c>
      <c r="D85" s="411">
        <v>5363.35986328125</v>
      </c>
    </row>
    <row r="86" spans="2:4" ht="18" thickBot="1">
      <c r="B86" s="409">
        <v>45761</v>
      </c>
      <c r="C86" s="410">
        <v>350.72286987304602</v>
      </c>
      <c r="D86" s="411">
        <v>5405.97021484375</v>
      </c>
    </row>
    <row r="87" spans="2:4" ht="18" thickBot="1">
      <c r="B87" s="409">
        <v>45762</v>
      </c>
      <c r="C87" s="410">
        <v>347.688873291015</v>
      </c>
      <c r="D87" s="411">
        <v>5396.6298828125</v>
      </c>
    </row>
    <row r="88" spans="2:4" ht="18" thickBot="1">
      <c r="B88" s="409">
        <v>45763</v>
      </c>
      <c r="C88" s="410">
        <v>339.71609497070301</v>
      </c>
      <c r="D88" s="411">
        <v>5275.7001953125</v>
      </c>
    </row>
    <row r="89" spans="2:4" ht="18" thickBot="1">
      <c r="B89" s="409">
        <v>45764</v>
      </c>
      <c r="C89" s="410">
        <v>348.62164306640602</v>
      </c>
      <c r="D89" s="411">
        <v>5282.7001953125</v>
      </c>
    </row>
    <row r="90" spans="2:4" ht="18" thickBot="1">
      <c r="B90" s="409">
        <v>45768</v>
      </c>
      <c r="C90" s="411">
        <v>340.609619140625</v>
      </c>
      <c r="D90" s="411">
        <v>5158.2001953125</v>
      </c>
    </row>
    <row r="91" spans="2:4" ht="18" thickBot="1">
      <c r="B91" s="409">
        <v>45769</v>
      </c>
      <c r="C91" s="410">
        <v>348.00305175781199</v>
      </c>
      <c r="D91" s="411">
        <v>5287.759765625</v>
      </c>
    </row>
    <row r="92" spans="2:4" ht="18" thickBot="1">
      <c r="B92" s="409">
        <v>45770</v>
      </c>
      <c r="C92" s="410">
        <v>349.95700073242102</v>
      </c>
      <c r="D92" s="411">
        <v>5375.85986328125</v>
      </c>
    </row>
    <row r="93" spans="2:4" ht="18" thickBot="1">
      <c r="B93" s="409">
        <v>45771</v>
      </c>
      <c r="C93" s="410">
        <v>353.11862182617102</v>
      </c>
      <c r="D93" s="411">
        <v>5484.77001953125</v>
      </c>
    </row>
    <row r="94" spans="2:4" ht="18" thickBot="1">
      <c r="B94" s="409">
        <v>45772</v>
      </c>
      <c r="C94" s="411">
        <v>351.095947265625</v>
      </c>
      <c r="D94" s="411">
        <v>5525.2099609375</v>
      </c>
    </row>
    <row r="95" spans="2:4" ht="18" thickBot="1">
      <c r="B95" s="409">
        <v>45775</v>
      </c>
      <c r="C95" s="410">
        <v>350.44793701171801</v>
      </c>
      <c r="D95" s="411">
        <v>5528.75</v>
      </c>
    </row>
    <row r="96" spans="2:4" ht="18" thickBot="1">
      <c r="B96" s="409">
        <v>45776</v>
      </c>
      <c r="C96" s="410">
        <v>352.49020385742102</v>
      </c>
      <c r="D96" s="411">
        <v>5560.830078125</v>
      </c>
    </row>
    <row r="97" spans="2:4" ht="18" thickBot="1">
      <c r="B97" s="409">
        <v>45777</v>
      </c>
      <c r="C97" s="410">
        <v>353.95318603515602</v>
      </c>
      <c r="D97" s="411">
        <v>5569.06005859375</v>
      </c>
    </row>
    <row r="98" spans="2:4" ht="18" thickBot="1">
      <c r="B98" s="409">
        <v>45778</v>
      </c>
      <c r="C98" s="410">
        <v>351.80288696289</v>
      </c>
      <c r="D98" s="411">
        <v>5604.14013671875</v>
      </c>
    </row>
    <row r="99" spans="2:4" ht="18" thickBot="1">
      <c r="B99" s="409">
        <v>45779</v>
      </c>
      <c r="C99" s="410">
        <v>357.91012573242102</v>
      </c>
      <c r="D99" s="411">
        <v>5686.669921875</v>
      </c>
    </row>
    <row r="100" spans="2:4" ht="18" thickBot="1">
      <c r="B100" s="409">
        <v>45782</v>
      </c>
      <c r="C100" s="410">
        <v>355.17071533203102</v>
      </c>
      <c r="D100" s="411">
        <v>5650.3798828125</v>
      </c>
    </row>
    <row r="101" spans="2:4" ht="18" thickBot="1">
      <c r="B101" s="409">
        <v>45783</v>
      </c>
      <c r="C101" s="410">
        <v>352.86331176757801</v>
      </c>
      <c r="D101" s="411">
        <v>5606.91015625</v>
      </c>
    </row>
    <row r="102" spans="2:4" ht="18" thickBot="1">
      <c r="B102" s="409">
        <v>45784</v>
      </c>
      <c r="C102" s="410">
        <v>356.17221069335898</v>
      </c>
      <c r="D102" s="411">
        <v>5631.27978515625</v>
      </c>
    </row>
    <row r="103" spans="2:4" ht="18" thickBot="1">
      <c r="B103" s="409">
        <v>45785</v>
      </c>
      <c r="C103" s="410">
        <v>358.24392700195301</v>
      </c>
      <c r="D103" s="411">
        <v>5663.93994140625</v>
      </c>
    </row>
    <row r="104" spans="2:4" ht="18" thickBot="1">
      <c r="B104" s="409">
        <v>45786</v>
      </c>
      <c r="C104" s="410">
        <v>356.13290405273398</v>
      </c>
      <c r="D104" s="411">
        <v>5659.91015625</v>
      </c>
    </row>
    <row r="105" spans="2:4" ht="18" thickBot="1">
      <c r="B105" s="409">
        <v>45789</v>
      </c>
      <c r="C105" s="410">
        <v>369.76126098632801</v>
      </c>
      <c r="D105" s="411">
        <v>5844.18994140625</v>
      </c>
    </row>
    <row r="106" spans="2:4" ht="18" thickBot="1">
      <c r="B106" s="409">
        <v>45790</v>
      </c>
      <c r="C106" s="410">
        <v>366.82546997070301</v>
      </c>
      <c r="D106" s="411">
        <v>5886.5498046875</v>
      </c>
    </row>
    <row r="107" spans="2:4" ht="18" thickBot="1">
      <c r="B107" s="409">
        <v>45791</v>
      </c>
      <c r="C107" s="411">
        <v>366.0498046875</v>
      </c>
      <c r="D107" s="411">
        <v>5892.580078125</v>
      </c>
    </row>
    <row r="108" spans="2:4" ht="18" thickBot="1">
      <c r="B108" s="409">
        <v>45792</v>
      </c>
      <c r="C108" s="410">
        <v>371.76428222656199</v>
      </c>
      <c r="D108" s="411">
        <v>5916.93017578125</v>
      </c>
    </row>
    <row r="109" spans="2:4" ht="18" thickBot="1">
      <c r="B109" s="409">
        <v>45793</v>
      </c>
      <c r="C109" s="410">
        <v>373.87527465820301</v>
      </c>
      <c r="D109" s="411">
        <v>5958.3798828125</v>
      </c>
    </row>
    <row r="110" spans="2:4" ht="18" thickBot="1">
      <c r="B110" s="409">
        <v>45796</v>
      </c>
      <c r="C110" s="410">
        <v>372.50067138671801</v>
      </c>
      <c r="D110" s="411">
        <v>5963.60009765625</v>
      </c>
    </row>
    <row r="111" spans="2:4" ht="18" thickBot="1">
      <c r="B111" s="409">
        <v>45797</v>
      </c>
      <c r="C111" s="411">
        <v>370.212890625</v>
      </c>
      <c r="D111" s="411">
        <v>5940.4599609375</v>
      </c>
    </row>
    <row r="112" spans="2:4" ht="18" thickBot="1">
      <c r="B112" s="409">
        <v>45798</v>
      </c>
      <c r="C112" s="410">
        <v>364.11550903320301</v>
      </c>
      <c r="D112" s="411">
        <v>5844.60986328125</v>
      </c>
    </row>
    <row r="113" spans="2:4" ht="18" thickBot="1">
      <c r="B113" s="409">
        <v>45799</v>
      </c>
      <c r="C113" s="410">
        <v>359.49093627929602</v>
      </c>
      <c r="D113" s="411">
        <v>5842.009765625</v>
      </c>
    </row>
    <row r="114" spans="2:4" ht="18" thickBot="1">
      <c r="B114" s="409">
        <v>45800</v>
      </c>
      <c r="C114" s="410">
        <v>356.13290405273398</v>
      </c>
      <c r="D114" s="411">
        <v>5802.81982421875</v>
      </c>
    </row>
    <row r="115" spans="2:4" ht="18" thickBot="1">
      <c r="B115" s="409">
        <v>45804</v>
      </c>
      <c r="C115" s="410">
        <v>363.68347167968699</v>
      </c>
      <c r="D115" s="411">
        <v>5921.5400390625</v>
      </c>
    </row>
    <row r="116" spans="2:4" ht="18" thickBot="1">
      <c r="B116" s="409">
        <v>45805</v>
      </c>
      <c r="C116" s="410">
        <v>361.38595581054602</v>
      </c>
      <c r="D116" s="411">
        <v>5888.5498046875</v>
      </c>
    </row>
    <row r="117" spans="2:4" ht="18" thickBot="1">
      <c r="B117" s="409">
        <v>45806</v>
      </c>
      <c r="C117" s="410">
        <v>361.61178588867102</v>
      </c>
      <c r="D117" s="411">
        <v>5912.169921875</v>
      </c>
    </row>
    <row r="118" spans="2:4" ht="18" thickBot="1">
      <c r="B118" s="409">
        <v>45807</v>
      </c>
      <c r="C118" s="410">
        <v>361.61178588867102</v>
      </c>
      <c r="D118" s="411">
        <v>5911.68994140625</v>
      </c>
    </row>
    <row r="119" spans="2:4" ht="18" thickBot="1">
      <c r="B119" s="409">
        <v>45810</v>
      </c>
      <c r="C119" s="410">
        <v>361.28775024414</v>
      </c>
      <c r="D119" s="411">
        <v>5935.93994140625</v>
      </c>
    </row>
    <row r="120" spans="2:4" ht="18" thickBot="1">
      <c r="B120" s="409">
        <v>45811</v>
      </c>
      <c r="C120" s="410">
        <v>366.31488037109301</v>
      </c>
      <c r="D120" s="411">
        <v>5970.3701171875</v>
      </c>
    </row>
    <row r="121" spans="2:4" ht="18" thickBot="1">
      <c r="B121" s="409">
        <v>45812</v>
      </c>
      <c r="C121" s="410">
        <v>365.64718627929602</v>
      </c>
      <c r="D121" s="411">
        <v>5970.81005859375</v>
      </c>
    </row>
    <row r="122" spans="2:4" ht="18" thickBot="1">
      <c r="B122" s="409">
        <v>45813</v>
      </c>
      <c r="C122" s="410">
        <v>364.83709716796801</v>
      </c>
      <c r="D122" s="411">
        <v>5939.2998046875</v>
      </c>
    </row>
    <row r="123" spans="2:4" ht="18" thickBot="1">
      <c r="B123" s="409">
        <v>45814</v>
      </c>
      <c r="C123" s="410">
        <v>362.910552978515</v>
      </c>
      <c r="D123" s="411">
        <v>6000.35986328125</v>
      </c>
    </row>
    <row r="124" spans="2:4" ht="18" thickBot="1">
      <c r="B124" s="409">
        <v>45817</v>
      </c>
      <c r="C124" s="410">
        <v>360.80618286132801</v>
      </c>
      <c r="D124" s="411">
        <v>6005.8798828125</v>
      </c>
    </row>
    <row r="125" spans="2:4" ht="18" thickBot="1">
      <c r="B125" s="409">
        <v>45818</v>
      </c>
      <c r="C125" s="410">
        <v>363.48361206054602</v>
      </c>
      <c r="D125" s="411">
        <v>6038.81005859375</v>
      </c>
    </row>
    <row r="126" spans="2:4" ht="18" thickBot="1">
      <c r="B126" s="409">
        <v>45819</v>
      </c>
      <c r="C126" s="410">
        <v>356.12319946289</v>
      </c>
      <c r="D126" s="411">
        <v>6022.240234375</v>
      </c>
    </row>
    <row r="127" spans="2:4" ht="18" thickBot="1">
      <c r="B127" s="409">
        <v>45820</v>
      </c>
      <c r="C127" s="410">
        <v>358.79074096679602</v>
      </c>
      <c r="D127" s="411">
        <v>6045.259765625</v>
      </c>
    </row>
    <row r="128" spans="2:4" ht="18" thickBot="1">
      <c r="B128" s="409">
        <v>45821</v>
      </c>
      <c r="C128" s="410">
        <v>350.39300537109301</v>
      </c>
      <c r="D128" s="411">
        <v>5976.97021484375</v>
      </c>
    </row>
    <row r="129" spans="2:4" ht="18" thickBot="1">
      <c r="B129" s="409">
        <v>45824</v>
      </c>
      <c r="C129" s="410">
        <v>349.30621337890602</v>
      </c>
      <c r="D129" s="411">
        <v>6033.10986328125</v>
      </c>
    </row>
    <row r="130" spans="2:4" ht="18" thickBot="1">
      <c r="B130" s="409">
        <v>45825</v>
      </c>
      <c r="C130" s="411">
        <v>344.583740234375</v>
      </c>
      <c r="D130" s="411">
        <v>5982.72021484375</v>
      </c>
    </row>
    <row r="131" spans="2:4" ht="18" thickBot="1">
      <c r="B131" s="409">
        <v>45826</v>
      </c>
      <c r="C131" s="410">
        <v>342.85479736328102</v>
      </c>
      <c r="D131" s="411">
        <v>5980.8701171875</v>
      </c>
    </row>
    <row r="132" spans="2:4" ht="18" thickBot="1">
      <c r="B132" s="409">
        <v>45828</v>
      </c>
      <c r="C132" s="410">
        <v>345.41363525390602</v>
      </c>
      <c r="D132" s="411">
        <v>5967.83984375</v>
      </c>
    </row>
    <row r="133" spans="2:4" ht="18" thickBot="1">
      <c r="B133" s="409">
        <v>45831</v>
      </c>
      <c r="C133" s="410">
        <v>352.66531372070301</v>
      </c>
      <c r="D133" s="411">
        <v>6025.169921875</v>
      </c>
    </row>
    <row r="134" spans="2:4" ht="18" thickBot="1">
      <c r="B134" s="409">
        <v>45832</v>
      </c>
      <c r="C134" s="410">
        <v>356.08370971679602</v>
      </c>
      <c r="D134" s="411">
        <v>6092.18017578125</v>
      </c>
    </row>
    <row r="135" spans="2:4" ht="18" thickBot="1">
      <c r="B135" s="409">
        <v>45833</v>
      </c>
      <c r="C135" s="410">
        <v>357.50637817382801</v>
      </c>
      <c r="D135" s="411">
        <v>6092.16015625</v>
      </c>
    </row>
    <row r="136" spans="2:4" ht="18" thickBot="1">
      <c r="B136" s="409">
        <v>45834</v>
      </c>
      <c r="C136" s="410">
        <v>359.12664794921801</v>
      </c>
      <c r="D136" s="411">
        <v>6141.02001953125</v>
      </c>
    </row>
    <row r="137" spans="2:4" ht="18" thickBot="1">
      <c r="B137" s="409">
        <v>45835</v>
      </c>
      <c r="C137" s="410">
        <v>364.30358886718699</v>
      </c>
      <c r="D137" s="411">
        <v>6173.06982421875</v>
      </c>
    </row>
    <row r="138" spans="2:4" ht="18" thickBot="1">
      <c r="B138" s="409">
        <v>45838</v>
      </c>
      <c r="C138" s="410">
        <v>362.22888183593699</v>
      </c>
      <c r="D138" s="411">
        <v>6204.9501953125</v>
      </c>
    </row>
    <row r="139" spans="2:4" ht="18" thickBot="1">
      <c r="B139" s="409">
        <v>45839</v>
      </c>
      <c r="C139" s="411">
        <v>368.67041015625</v>
      </c>
      <c r="D139" s="411">
        <v>6198.009765625</v>
      </c>
    </row>
    <row r="140" spans="2:4" ht="18" thickBot="1">
      <c r="B140" s="409">
        <v>45840</v>
      </c>
      <c r="C140" s="410">
        <v>367.37619018554602</v>
      </c>
      <c r="D140" s="411">
        <v>6227.419921875</v>
      </c>
    </row>
    <row r="141" spans="2:4" ht="18" thickBot="1">
      <c r="B141" s="409">
        <v>45841</v>
      </c>
      <c r="C141" s="410">
        <v>367.20822143554602</v>
      </c>
      <c r="D141" s="411">
        <v>6279.35009765625</v>
      </c>
    </row>
    <row r="142" spans="2:4" ht="18" thickBot="1">
      <c r="B142" s="409">
        <v>45845</v>
      </c>
      <c r="C142" s="410">
        <v>363.21682739257801</v>
      </c>
      <c r="D142" s="411">
        <v>6229.97998046875</v>
      </c>
    </row>
    <row r="143" spans="2:4" ht="18" thickBot="1">
      <c r="B143" s="409">
        <v>45846</v>
      </c>
      <c r="C143" s="410">
        <v>363.078521728515</v>
      </c>
      <c r="D143" s="411">
        <v>6225.52001953125</v>
      </c>
    </row>
    <row r="144" spans="2:4" ht="18" thickBot="1">
      <c r="B144" s="409">
        <v>45847</v>
      </c>
      <c r="C144" s="410">
        <v>366.57595825195301</v>
      </c>
      <c r="D144" s="411">
        <v>6263.259765625</v>
      </c>
    </row>
    <row r="145" spans="2:4" ht="18" thickBot="1">
      <c r="B145" s="409">
        <v>45848</v>
      </c>
      <c r="C145" s="410">
        <v>368.80874633789</v>
      </c>
      <c r="D145" s="411">
        <v>6280.4599609375</v>
      </c>
    </row>
    <row r="146" spans="2:4" ht="18" thickBot="1">
      <c r="B146" s="409">
        <v>45849</v>
      </c>
      <c r="C146" s="410">
        <v>365.61761474609301</v>
      </c>
      <c r="D146" s="411">
        <v>6259.75</v>
      </c>
    </row>
    <row r="147" spans="2:4" ht="18" thickBot="1">
      <c r="B147" s="409">
        <v>45852</v>
      </c>
      <c r="C147" s="410">
        <v>365.65710449218699</v>
      </c>
      <c r="D147" s="411">
        <v>6268.56005859375</v>
      </c>
    </row>
    <row r="148" spans="2:4" ht="18" thickBot="1">
      <c r="B148" s="409">
        <v>45853</v>
      </c>
      <c r="C148" s="410">
        <v>354.32513427734301</v>
      </c>
      <c r="D148" s="411">
        <v>6243.759765625</v>
      </c>
    </row>
    <row r="149" spans="2:4" ht="18" thickBot="1">
      <c r="B149" s="409">
        <v>45854</v>
      </c>
      <c r="C149" s="410">
        <v>353.10003662109301</v>
      </c>
      <c r="D149" s="411">
        <v>6263.7001953125</v>
      </c>
    </row>
    <row r="150" spans="2:4" ht="18" thickBot="1">
      <c r="B150" s="409">
        <v>45855</v>
      </c>
      <c r="C150" s="410">
        <v>354.72030639648398</v>
      </c>
      <c r="D150" s="411">
        <v>6297.35986328125</v>
      </c>
    </row>
    <row r="151" spans="2:4" ht="18" thickBot="1">
      <c r="B151" s="409">
        <v>45856</v>
      </c>
      <c r="C151" s="410">
        <v>355.07598876953102</v>
      </c>
      <c r="D151" s="411">
        <v>6296.7900390625</v>
      </c>
    </row>
    <row r="152" spans="2:4" ht="18" thickBot="1">
      <c r="B152" s="409">
        <v>45859</v>
      </c>
      <c r="C152" s="411">
        <v>359.66015625</v>
      </c>
      <c r="D152" s="411">
        <v>6305.60009765625</v>
      </c>
    </row>
    <row r="153" spans="2:4" ht="18" thickBot="1">
      <c r="B153" s="409">
        <v>45860</v>
      </c>
      <c r="C153" s="410">
        <v>366.546295166015</v>
      </c>
      <c r="D153" s="411">
        <v>6309.6201171875</v>
      </c>
    </row>
    <row r="154" spans="2:4" ht="18" thickBot="1">
      <c r="B154" s="409">
        <v>45861</v>
      </c>
      <c r="C154" s="411">
        <v>371.822021484375</v>
      </c>
      <c r="D154" s="411">
        <v>6358.91015625</v>
      </c>
    </row>
    <row r="155" spans="2:4" ht="18" thickBot="1">
      <c r="B155" s="409">
        <v>45862</v>
      </c>
      <c r="C155" s="410">
        <v>368.60125732421801</v>
      </c>
      <c r="D155" s="411">
        <v>6363.35009765625</v>
      </c>
    </row>
    <row r="156" spans="2:4" ht="18" thickBot="1">
      <c r="B156" s="409">
        <v>45863</v>
      </c>
      <c r="C156" s="410">
        <v>370.82418823242102</v>
      </c>
      <c r="D156" s="411">
        <v>6388.64013671875</v>
      </c>
    </row>
    <row r="157" spans="2:4" ht="18" thickBot="1">
      <c r="B157" s="409">
        <v>45866</v>
      </c>
      <c r="C157" s="410">
        <v>372.69146728515602</v>
      </c>
      <c r="D157" s="411">
        <v>6389.77001953125</v>
      </c>
    </row>
    <row r="158" spans="2:4" ht="18" thickBot="1">
      <c r="B158" s="409">
        <v>45867</v>
      </c>
      <c r="C158" s="410">
        <v>372.80014038085898</v>
      </c>
      <c r="D158" s="411">
        <v>6370.85986328125</v>
      </c>
    </row>
    <row r="159" spans="2:4" ht="18" thickBot="1">
      <c r="B159" s="409">
        <v>45868</v>
      </c>
      <c r="C159" s="410">
        <v>367.603424072265</v>
      </c>
      <c r="D159" s="411">
        <v>6362.89990234375</v>
      </c>
    </row>
    <row r="160" spans="2:4" ht="18" thickBot="1">
      <c r="B160" s="409">
        <v>45869</v>
      </c>
      <c r="C160" s="410">
        <v>363.08840942382801</v>
      </c>
      <c r="D160" s="411">
        <v>6339.39013671875</v>
      </c>
    </row>
    <row r="161" spans="2:4" ht="18" thickBot="1">
      <c r="B161" s="409">
        <v>45870</v>
      </c>
      <c r="C161" s="410">
        <v>369.16442871093699</v>
      </c>
      <c r="D161" s="411">
        <v>6238.009765625</v>
      </c>
    </row>
    <row r="162" spans="2:4" ht="18" thickBot="1">
      <c r="B162" s="409">
        <v>45873</v>
      </c>
      <c r="C162" s="410">
        <v>376.23825073242102</v>
      </c>
      <c r="D162" s="411">
        <v>6329.93994140625</v>
      </c>
    </row>
    <row r="163" spans="2:4" ht="18" thickBot="1">
      <c r="B163" s="409">
        <v>45874</v>
      </c>
      <c r="C163" s="410">
        <v>380.77304077148398</v>
      </c>
      <c r="D163" s="411">
        <v>6299.18994140625</v>
      </c>
    </row>
    <row r="164" spans="2:4" ht="18" thickBot="1">
      <c r="B164" s="409">
        <v>45875</v>
      </c>
      <c r="C164" s="410">
        <v>382.14630126953102</v>
      </c>
      <c r="D164" s="411">
        <v>6345.06005859375</v>
      </c>
    </row>
    <row r="165" spans="2:4" ht="18" thickBot="1">
      <c r="B165" s="409">
        <v>45876</v>
      </c>
      <c r="C165" s="411">
        <v>381.52392578125</v>
      </c>
      <c r="D165" s="411">
        <v>6340</v>
      </c>
    </row>
    <row r="166" spans="2:4" ht="18" thickBot="1">
      <c r="B166" s="409">
        <v>45877</v>
      </c>
      <c r="C166" s="410">
        <v>383.18368530273398</v>
      </c>
      <c r="D166" s="411">
        <v>6389.4501953125</v>
      </c>
    </row>
    <row r="167" spans="2:4" ht="18" thickBot="1">
      <c r="B167" s="409">
        <v>45880</v>
      </c>
      <c r="C167" s="410">
        <v>382.86752319335898</v>
      </c>
      <c r="D167" s="411">
        <v>6373.4501953125</v>
      </c>
    </row>
    <row r="168" spans="2:4" ht="18" thickBot="1">
      <c r="B168" s="409">
        <v>45881</v>
      </c>
      <c r="C168" s="410">
        <v>391.23562622070301</v>
      </c>
      <c r="D168" s="411">
        <v>6445.759765625</v>
      </c>
    </row>
    <row r="169" spans="2:4" ht="18" thickBot="1">
      <c r="B169" s="409">
        <v>45882</v>
      </c>
      <c r="C169" s="410">
        <v>402.28109741210898</v>
      </c>
      <c r="D169" s="411">
        <v>6466.580078125</v>
      </c>
    </row>
    <row r="170" spans="2:4" ht="18" thickBot="1">
      <c r="B170" s="409">
        <v>45883</v>
      </c>
      <c r="C170" s="411">
        <v>395.503662109375</v>
      </c>
      <c r="D170" s="411">
        <v>6468.5400390625</v>
      </c>
    </row>
    <row r="171" spans="2:4" ht="18" thickBot="1">
      <c r="B171" s="409">
        <v>45884</v>
      </c>
      <c r="C171" s="410">
        <v>394.57498168945301</v>
      </c>
      <c r="D171" s="411">
        <v>6449.7998046875</v>
      </c>
    </row>
    <row r="172" spans="2:4" ht="18" thickBot="1">
      <c r="B172" s="409">
        <v>45887</v>
      </c>
      <c r="C172" s="410">
        <v>389.95126342773398</v>
      </c>
      <c r="D172" s="411">
        <v>6449.14990234375</v>
      </c>
    </row>
    <row r="173" spans="2:4" ht="18" thickBot="1">
      <c r="B173" s="409">
        <v>45888</v>
      </c>
      <c r="C173" s="410">
        <v>402.30087280273398</v>
      </c>
      <c r="D173" s="411">
        <v>6411.3701171875</v>
      </c>
    </row>
    <row r="174" spans="2:4" ht="18" thickBot="1">
      <c r="B174" s="409">
        <v>45889</v>
      </c>
      <c r="C174" s="410">
        <v>396.90655517578102</v>
      </c>
      <c r="D174" s="411">
        <v>6395.77978515625</v>
      </c>
    </row>
    <row r="175" spans="2:4" ht="18" thickBot="1">
      <c r="B175" s="409">
        <v>45890</v>
      </c>
      <c r="C175" s="410">
        <v>392.91519165039</v>
      </c>
      <c r="D175" s="411">
        <v>6370.169921875</v>
      </c>
    </row>
    <row r="176" spans="2:4" ht="18" thickBot="1">
      <c r="B176" s="409">
        <v>45891</v>
      </c>
      <c r="C176" s="410">
        <v>407.823638916015</v>
      </c>
      <c r="D176" s="411">
        <v>6466.91015625</v>
      </c>
    </row>
    <row r="177" spans="2:4" ht="18" thickBot="1">
      <c r="B177" s="409">
        <v>45894</v>
      </c>
      <c r="C177" s="410">
        <v>403.98040771484301</v>
      </c>
      <c r="D177" s="411">
        <v>6439.31982421875</v>
      </c>
    </row>
    <row r="178" spans="2:4" ht="18" thickBot="1">
      <c r="B178" s="409">
        <v>45895</v>
      </c>
      <c r="C178" s="410">
        <v>402.63681030273398</v>
      </c>
      <c r="D178" s="411">
        <v>6465.93994140625</v>
      </c>
    </row>
    <row r="179" spans="2:4" ht="18" thickBot="1">
      <c r="B179" s="409">
        <v>45896</v>
      </c>
      <c r="C179" s="410">
        <v>403.32833862304602</v>
      </c>
      <c r="D179" s="411">
        <v>6481.39990234375</v>
      </c>
    </row>
    <row r="180" spans="2:4" ht="18" thickBot="1">
      <c r="B180" s="409">
        <v>45897</v>
      </c>
      <c r="C180" s="410">
        <v>402.54788208007801</v>
      </c>
      <c r="D180" s="411">
        <v>6501.85986328125</v>
      </c>
    </row>
    <row r="181" spans="2:4" ht="18" thickBot="1">
      <c r="B181" s="409">
        <v>45898</v>
      </c>
      <c r="C181" s="410">
        <v>401.87603759765602</v>
      </c>
      <c r="D181" s="411">
        <v>6460.259765625</v>
      </c>
    </row>
    <row r="182" spans="2:4" ht="18" thickBot="1">
      <c r="B182" s="409">
        <v>45902</v>
      </c>
      <c r="C182" s="410">
        <v>401.42160034179602</v>
      </c>
      <c r="D182" s="411">
        <v>6415.5400390625</v>
      </c>
    </row>
    <row r="183" spans="2:4" ht="18" thickBot="1">
      <c r="B183" s="409">
        <v>45903</v>
      </c>
      <c r="C183" s="410">
        <v>402.80474853515602</v>
      </c>
      <c r="D183" s="411">
        <v>6448.259765625</v>
      </c>
    </row>
    <row r="184" spans="2:4" ht="18" thickBot="1">
      <c r="B184" s="409">
        <v>45904</v>
      </c>
      <c r="C184" s="410">
        <v>409.04440307617102</v>
      </c>
      <c r="D184" s="411">
        <v>6502.080078125</v>
      </c>
    </row>
    <row r="185" spans="2:4" ht="18" thickBot="1">
      <c r="B185" s="409">
        <v>45905</v>
      </c>
      <c r="C185" s="410">
        <v>416.25775146484301</v>
      </c>
      <c r="D185" s="411">
        <v>6481.5</v>
      </c>
    </row>
    <row r="186" spans="2:4" ht="18" thickBot="1">
      <c r="B186" s="409">
        <v>45908</v>
      </c>
      <c r="C186" s="410">
        <v>417.24136352539</v>
      </c>
      <c r="D186" s="411">
        <v>6495.14990234375</v>
      </c>
    </row>
    <row r="187" spans="2:4" ht="18" thickBot="1">
      <c r="B187" s="409">
        <v>45909</v>
      </c>
      <c r="C187" s="410">
        <v>412.67092895507801</v>
      </c>
      <c r="D187" s="411">
        <v>6512.60986328125</v>
      </c>
    </row>
    <row r="188" spans="2:4" ht="18" thickBot="1">
      <c r="B188" s="409">
        <v>45910</v>
      </c>
      <c r="C188" s="410">
        <v>410.57449340820301</v>
      </c>
      <c r="D188" s="411">
        <v>6532.0400390625</v>
      </c>
    </row>
    <row r="189" spans="2:4" ht="18" thickBot="1">
      <c r="B189" s="409">
        <v>45911</v>
      </c>
      <c r="C189" s="410">
        <v>420.69903564453102</v>
      </c>
      <c r="D189" s="411">
        <v>6587.47021484375</v>
      </c>
    </row>
    <row r="190" spans="2:4" ht="18" thickBot="1">
      <c r="B190" s="409">
        <v>45912</v>
      </c>
      <c r="C190" s="410">
        <v>419.97369384765602</v>
      </c>
      <c r="D190" s="411">
        <v>6584.2900390625</v>
      </c>
    </row>
    <row r="191" spans="2:4" ht="18" thickBot="1">
      <c r="B191" s="409">
        <v>45915</v>
      </c>
      <c r="C191" s="410">
        <v>419.993560791015</v>
      </c>
      <c r="D191" s="411">
        <v>6615.27978515625</v>
      </c>
    </row>
    <row r="192" spans="2:4" ht="18" thickBot="1">
      <c r="B192" s="409">
        <v>45916</v>
      </c>
      <c r="C192" s="410">
        <v>418.74166870117102</v>
      </c>
      <c r="D192" s="411">
        <v>6606.759765625</v>
      </c>
    </row>
    <row r="193" spans="2:4" ht="18" thickBot="1">
      <c r="B193" s="409">
        <v>45917</v>
      </c>
      <c r="C193" s="410">
        <v>414.32028198242102</v>
      </c>
      <c r="D193" s="411">
        <v>6600.35009765625</v>
      </c>
    </row>
    <row r="194" spans="2:4" ht="18" thickBot="1">
      <c r="B194" s="409">
        <v>45918</v>
      </c>
      <c r="C194" s="410">
        <v>414.79718017578102</v>
      </c>
      <c r="D194" s="411">
        <v>6631.9599609375</v>
      </c>
    </row>
    <row r="195" spans="2:4" ht="18" thickBot="1">
      <c r="B195" s="409">
        <v>45919</v>
      </c>
      <c r="C195" s="410">
        <v>413.01867675781199</v>
      </c>
      <c r="D195" s="411">
        <v>6664.35986328125</v>
      </c>
    </row>
    <row r="196" spans="2:4" ht="18" thickBot="1">
      <c r="B196" s="409">
        <v>45922</v>
      </c>
      <c r="C196" s="410">
        <v>409.35238647460898</v>
      </c>
      <c r="D196" s="411">
        <v>6693.75</v>
      </c>
    </row>
    <row r="197" spans="2:4" ht="18" thickBot="1">
      <c r="B197" s="409">
        <v>45923</v>
      </c>
      <c r="C197" s="410">
        <v>408.26940917968699</v>
      </c>
      <c r="D197" s="411">
        <v>6656.919921875</v>
      </c>
    </row>
    <row r="198" spans="2:4" ht="18" thickBot="1">
      <c r="B198" s="409">
        <v>45924</v>
      </c>
      <c r="C198" s="411">
        <v>407.13671875</v>
      </c>
      <c r="D198" s="411">
        <v>6637.97021484375</v>
      </c>
    </row>
    <row r="199" spans="2:4" ht="18" thickBot="1">
      <c r="B199" s="409">
        <v>45925</v>
      </c>
      <c r="C199" s="410">
        <v>404.83166503906199</v>
      </c>
      <c r="D199" s="411">
        <v>6604.72021484375</v>
      </c>
    </row>
    <row r="200" spans="2:4" ht="18" thickBot="1">
      <c r="B200" s="409">
        <v>45926</v>
      </c>
      <c r="C200" s="410">
        <v>407.45468139648398</v>
      </c>
      <c r="D200" s="411">
        <v>6643.7001953125</v>
      </c>
    </row>
    <row r="201" spans="2:4" ht="18" thickBot="1">
      <c r="B201" s="409">
        <v>45929</v>
      </c>
      <c r="C201" s="411">
        <v>404.185791015625</v>
      </c>
      <c r="D201" s="411">
        <v>6661.2099609375</v>
      </c>
    </row>
    <row r="202" spans="2:4" ht="18" thickBot="1">
      <c r="B202" s="409">
        <v>45930</v>
      </c>
      <c r="C202" s="410">
        <v>402.58615112304602</v>
      </c>
      <c r="D202" s="411">
        <v>6688.4599609375</v>
      </c>
    </row>
    <row r="203" spans="2:4" ht="18" thickBot="1">
      <c r="B203" s="409">
        <v>45931</v>
      </c>
      <c r="C203" s="410">
        <v>394.468658447265</v>
      </c>
      <c r="D203" s="411">
        <v>6711.2001953125</v>
      </c>
    </row>
    <row r="204" spans="2:4" ht="18" thickBot="1">
      <c r="B204" s="409">
        <v>45932</v>
      </c>
      <c r="C204" s="410">
        <v>392.471588134765</v>
      </c>
      <c r="D204" s="411">
        <v>6715.35009765625</v>
      </c>
    </row>
    <row r="205" spans="2:4" ht="18" thickBot="1">
      <c r="B205" s="409">
        <v>45933</v>
      </c>
      <c r="C205" s="410">
        <v>392.52127075195301</v>
      </c>
      <c r="D205" s="411">
        <v>6715.7900390625</v>
      </c>
    </row>
    <row r="206" spans="2:4" ht="18" thickBot="1">
      <c r="B206" s="409">
        <v>45936</v>
      </c>
      <c r="C206" s="410">
        <v>386.82806396484301</v>
      </c>
      <c r="D206" s="411">
        <v>6740.27978515625</v>
      </c>
    </row>
    <row r="207" spans="2:4" ht="18" thickBot="1">
      <c r="B207" s="409">
        <v>45937</v>
      </c>
      <c r="C207" s="410">
        <v>384.32427978515602</v>
      </c>
      <c r="D207" s="411">
        <v>6714.58984375</v>
      </c>
    </row>
    <row r="208" spans="2:4" ht="18" thickBot="1">
      <c r="B208" s="409">
        <v>45938</v>
      </c>
      <c r="C208" s="410">
        <v>381.32369995117102</v>
      </c>
      <c r="D208" s="411">
        <v>6753.72021484375</v>
      </c>
    </row>
    <row r="209" spans="2:4" ht="18" thickBot="1">
      <c r="B209" s="409">
        <v>45939</v>
      </c>
      <c r="C209" s="410">
        <v>375.26287841796801</v>
      </c>
      <c r="D209" s="411">
        <v>6735.10986328125</v>
      </c>
    </row>
    <row r="210" spans="2:4" ht="18" thickBot="1">
      <c r="B210" s="409">
        <v>45940</v>
      </c>
      <c r="C210" s="410">
        <v>373.335357666015</v>
      </c>
      <c r="D210" s="411">
        <v>6552.509765625</v>
      </c>
    </row>
    <row r="211" spans="2:4" ht="18" thickBot="1">
      <c r="B211" s="409">
        <v>45943</v>
      </c>
      <c r="C211" s="410">
        <v>376.93206787109301</v>
      </c>
      <c r="D211" s="411">
        <v>6654.72021484375</v>
      </c>
    </row>
    <row r="212" spans="2:4" ht="18" thickBot="1">
      <c r="B212" s="409">
        <v>45944</v>
      </c>
      <c r="C212" s="410">
        <v>385.228424072265</v>
      </c>
      <c r="D212" s="411">
        <v>6644.31005859375</v>
      </c>
    </row>
    <row r="213" spans="2:4" ht="18" thickBot="1">
      <c r="B213" s="409">
        <v>45945</v>
      </c>
      <c r="C213" s="411">
        <v>385.8046875</v>
      </c>
      <c r="D213" s="411">
        <v>6671.06005859375</v>
      </c>
    </row>
    <row r="214" spans="2:4" ht="18" thickBot="1">
      <c r="B214" s="409">
        <v>45946</v>
      </c>
      <c r="C214" s="410">
        <v>384.90057373046801</v>
      </c>
      <c r="D214" s="411">
        <v>6629.06982421875</v>
      </c>
    </row>
    <row r="215" spans="2:4" ht="18" thickBot="1">
      <c r="B215" s="409">
        <v>45947</v>
      </c>
      <c r="C215" s="410">
        <v>389.38156127929602</v>
      </c>
      <c r="D215" s="411">
        <v>6664.009765625</v>
      </c>
    </row>
    <row r="216" spans="2:4" ht="18" thickBot="1">
      <c r="B216" s="409">
        <v>45950</v>
      </c>
      <c r="C216" s="410">
        <v>386.39093017578102</v>
      </c>
      <c r="D216" s="411">
        <v>6735.1298828125</v>
      </c>
    </row>
    <row r="217" spans="2:4" ht="18" thickBot="1">
      <c r="B217" s="409">
        <v>45951</v>
      </c>
      <c r="C217" s="410">
        <v>388.38800048828102</v>
      </c>
      <c r="D217" s="411">
        <v>6735.35009765625</v>
      </c>
    </row>
    <row r="218" spans="2:4" ht="18" thickBot="1">
      <c r="B218" s="409">
        <v>45952</v>
      </c>
      <c r="C218" s="410">
        <v>386.47039794921801</v>
      </c>
      <c r="D218" s="411">
        <v>6699.39990234375</v>
      </c>
    </row>
    <row r="219" spans="2:4" ht="18" thickBot="1">
      <c r="B219" s="409">
        <v>45953</v>
      </c>
      <c r="C219" s="410">
        <v>382.55572509765602</v>
      </c>
      <c r="D219" s="411">
        <v>6738.43994140625</v>
      </c>
    </row>
    <row r="220" spans="2:4" ht="18" thickBot="1">
      <c r="B220" s="409">
        <v>45954</v>
      </c>
      <c r="C220" s="410">
        <v>384.19509887695301</v>
      </c>
      <c r="D220" s="411">
        <v>6791.68994140625</v>
      </c>
    </row>
    <row r="221" spans="2:4" ht="18" thickBot="1">
      <c r="B221" s="409">
        <v>45957</v>
      </c>
      <c r="C221" s="410">
        <v>382.79415893554602</v>
      </c>
      <c r="D221" s="411">
        <v>6875.16015625</v>
      </c>
    </row>
    <row r="222" spans="2:4" ht="18" thickBot="1">
      <c r="B222" s="409">
        <v>45958</v>
      </c>
      <c r="C222" s="410">
        <v>383.27108764648398</v>
      </c>
      <c r="D222" s="411">
        <v>6890.89013671875</v>
      </c>
    </row>
    <row r="223" spans="2:4" ht="18" thickBot="1">
      <c r="B223" s="409">
        <v>45959</v>
      </c>
      <c r="C223" s="410">
        <v>375.61065673828102</v>
      </c>
      <c r="D223" s="411">
        <v>6890.58984375</v>
      </c>
    </row>
    <row r="224" spans="2:4" ht="18" thickBot="1">
      <c r="B224" s="409">
        <v>45960</v>
      </c>
      <c r="C224" s="410">
        <v>377.11093139648398</v>
      </c>
      <c r="D224" s="411">
        <v>6822.33984375</v>
      </c>
    </row>
    <row r="225" spans="2:4" ht="18" thickBot="1">
      <c r="B225" s="409">
        <v>45961</v>
      </c>
      <c r="C225" s="410">
        <v>377.15066528320301</v>
      </c>
      <c r="D225" s="411">
        <v>6840.2001953125</v>
      </c>
    </row>
    <row r="226" spans="2:4" ht="18" thickBot="1">
      <c r="B226" s="409">
        <v>45964</v>
      </c>
      <c r="C226" s="410">
        <v>375.91864013671801</v>
      </c>
      <c r="D226" s="411">
        <v>6851.97021484375</v>
      </c>
    </row>
    <row r="227" spans="2:4" ht="18" thickBot="1">
      <c r="B227" s="409">
        <v>45965</v>
      </c>
      <c r="C227" s="410">
        <v>380.61822509765602</v>
      </c>
      <c r="D227" s="411">
        <v>6771.5498046875</v>
      </c>
    </row>
    <row r="228" spans="2:4" ht="18" thickBot="1">
      <c r="B228" s="409">
        <v>45966</v>
      </c>
      <c r="C228" s="410">
        <v>371.43762207031199</v>
      </c>
      <c r="D228" s="411">
        <v>6796.2900390625</v>
      </c>
    </row>
    <row r="229" spans="2:4" ht="18" thickBot="1">
      <c r="B229" s="409">
        <v>45967</v>
      </c>
      <c r="C229" s="410">
        <v>366.69827270507801</v>
      </c>
      <c r="D229" s="411">
        <v>6720.31982421875</v>
      </c>
    </row>
    <row r="230" spans="2:4" ht="18" thickBot="1">
      <c r="B230" s="409">
        <v>45968</v>
      </c>
      <c r="C230" s="410">
        <v>368.72515869140602</v>
      </c>
      <c r="D230" s="411">
        <v>6728.7998046875</v>
      </c>
    </row>
    <row r="231" spans="2:4" ht="18" thickBot="1">
      <c r="B231" s="409">
        <v>45971</v>
      </c>
      <c r="C231" s="410">
        <v>368.04953002929602</v>
      </c>
      <c r="D231" s="411">
        <v>6832.43017578125</v>
      </c>
    </row>
    <row r="232" spans="2:4" ht="18" thickBot="1">
      <c r="B232" s="409">
        <v>45972</v>
      </c>
      <c r="C232" s="410">
        <v>371.83505249023398</v>
      </c>
      <c r="D232" s="411">
        <v>6846.60986328125</v>
      </c>
    </row>
    <row r="233" spans="2:4" ht="18" thickBot="1">
      <c r="B233" s="409">
        <v>45973</v>
      </c>
      <c r="C233" s="410">
        <v>368.74505615234301</v>
      </c>
      <c r="D233" s="411">
        <v>6850.919921875</v>
      </c>
    </row>
    <row r="234" spans="2:4" ht="18" thickBot="1">
      <c r="B234" s="409">
        <v>45974</v>
      </c>
      <c r="C234" s="410">
        <v>365.70471191406199</v>
      </c>
      <c r="D234" s="411">
        <v>6737.490234375</v>
      </c>
    </row>
    <row r="235" spans="2:4" ht="18" thickBot="1">
      <c r="B235" s="409">
        <v>45975</v>
      </c>
      <c r="C235" s="410">
        <v>360.03137207031199</v>
      </c>
      <c r="D235" s="411">
        <v>6734.10986328125</v>
      </c>
    </row>
    <row r="236" spans="2:4" ht="18" thickBot="1">
      <c r="B236" s="409">
        <v>45978</v>
      </c>
      <c r="C236" s="410">
        <v>355.72921752929602</v>
      </c>
      <c r="D236" s="411">
        <v>6672.41015625</v>
      </c>
    </row>
    <row r="237" spans="2:4" ht="18" thickBot="1">
      <c r="B237" s="409">
        <v>45979</v>
      </c>
      <c r="C237" s="410">
        <v>334.31771850585898</v>
      </c>
      <c r="D237" s="411">
        <v>6617.31982421875</v>
      </c>
    </row>
    <row r="238" spans="2:4" ht="18" thickBot="1">
      <c r="B238" s="409">
        <v>45980</v>
      </c>
      <c r="C238" s="410">
        <v>332.35043334960898</v>
      </c>
      <c r="D238" s="411">
        <v>6642.16015625</v>
      </c>
    </row>
    <row r="239" spans="2:4" ht="18" thickBot="1">
      <c r="B239" s="409">
        <v>45981</v>
      </c>
      <c r="C239" s="410">
        <v>330.244049072265</v>
      </c>
      <c r="D239" s="411">
        <v>6538.759765625</v>
      </c>
    </row>
    <row r="240" spans="2:4" ht="18" thickBot="1">
      <c r="B240" s="409">
        <v>45982</v>
      </c>
      <c r="C240" s="411">
        <v>341.11376953125</v>
      </c>
      <c r="D240" s="411">
        <v>6602.990234375</v>
      </c>
    </row>
    <row r="241" spans="2:4" ht="18" thickBot="1">
      <c r="B241" s="409">
        <v>45985</v>
      </c>
      <c r="C241" s="410">
        <v>334.41705322265602</v>
      </c>
      <c r="D241" s="411">
        <v>6705.1201171875</v>
      </c>
    </row>
    <row r="242" spans="2:4" ht="18" thickBot="1">
      <c r="B242" s="409">
        <v>45986</v>
      </c>
      <c r="C242" s="411">
        <v>348.81396484375</v>
      </c>
      <c r="D242" s="411">
        <v>6765.8798828125</v>
      </c>
    </row>
    <row r="243" spans="2:4" ht="18" thickBot="1">
      <c r="B243" s="409">
        <v>45987</v>
      </c>
      <c r="C243" s="410">
        <v>353.18566894531199</v>
      </c>
      <c r="D243" s="411">
        <v>6812.60986328125</v>
      </c>
    </row>
    <row r="244" spans="2:4" ht="18" thickBot="1">
      <c r="B244" s="409">
        <v>45989</v>
      </c>
      <c r="C244" s="410">
        <v>354.626373291015</v>
      </c>
      <c r="D244" s="411">
        <v>6849.08984375</v>
      </c>
    </row>
    <row r="245" spans="2:4" ht="18" thickBot="1">
      <c r="B245" s="409">
        <v>45992</v>
      </c>
      <c r="C245" s="410">
        <v>355.03372192382801</v>
      </c>
      <c r="D245" s="411">
        <v>6812.6298828125</v>
      </c>
    </row>
    <row r="246" spans="2:4" ht="18" thickBot="1">
      <c r="B246" s="409">
        <v>45993</v>
      </c>
      <c r="C246" s="410">
        <v>351.75491333007801</v>
      </c>
      <c r="D246" s="411">
        <v>6829.3701171875</v>
      </c>
    </row>
    <row r="247" spans="2:4" ht="18" thickBot="1">
      <c r="B247" s="409">
        <v>45994</v>
      </c>
      <c r="C247" s="410">
        <v>355.60998535156199</v>
      </c>
      <c r="D247" s="411">
        <v>6849.72021484375</v>
      </c>
    </row>
    <row r="248" spans="2:4" ht="18" thickBot="1">
      <c r="B248" s="409">
        <v>45995</v>
      </c>
      <c r="C248" s="410">
        <v>351.17001342773398</v>
      </c>
      <c r="D248" s="411">
        <v>6857.1201171875</v>
      </c>
    </row>
    <row r="249" spans="2:4" ht="18" thickBot="1">
      <c r="B249" s="409">
        <v>45996</v>
      </c>
      <c r="C249" s="410">
        <v>354.60998535156199</v>
      </c>
      <c r="D249" s="411">
        <v>6870.39990234375</v>
      </c>
    </row>
    <row r="250" spans="2:4" ht="18" thickBot="1">
      <c r="B250" s="409">
        <v>45999</v>
      </c>
      <c r="C250" s="410">
        <v>349.91000366210898</v>
      </c>
      <c r="D250" s="411">
        <v>6846.509765625</v>
      </c>
    </row>
    <row r="251" spans="2:4" ht="18" thickBot="1">
      <c r="B251" s="409">
        <v>46000</v>
      </c>
      <c r="C251" s="410">
        <v>345.26998901367102</v>
      </c>
      <c r="D251" s="411">
        <v>6840.509765625</v>
      </c>
    </row>
    <row r="252" spans="2:4" ht="18" thickBot="1">
      <c r="B252" s="409">
        <v>46001</v>
      </c>
      <c r="C252" s="410">
        <v>351.13000488281199</v>
      </c>
      <c r="D252" s="411">
        <v>6886.68017578125</v>
      </c>
    </row>
    <row r="253" spans="2:4" ht="18" thickBot="1">
      <c r="B253" s="409">
        <v>46002</v>
      </c>
      <c r="C253" s="410">
        <v>357.45999145507801</v>
      </c>
      <c r="D253" s="411">
        <v>6901</v>
      </c>
    </row>
    <row r="254" spans="2:4" ht="18" thickBot="1">
      <c r="B254" s="409">
        <v>46003</v>
      </c>
      <c r="C254" s="410">
        <v>359.64999389648398</v>
      </c>
      <c r="D254" s="411">
        <v>6827.41015625</v>
      </c>
    </row>
    <row r="255" spans="2:4" ht="18" thickBot="1">
      <c r="B255" s="409">
        <v>46006</v>
      </c>
      <c r="C255" s="411">
        <v>356.989990234375</v>
      </c>
      <c r="D255" s="411">
        <v>6816.509765625</v>
      </c>
    </row>
    <row r="256" spans="2:4" ht="18" thickBot="1">
      <c r="B256" s="409">
        <v>46007</v>
      </c>
      <c r="C256" s="410">
        <v>352.67999267578102</v>
      </c>
      <c r="D256" s="411">
        <v>6800.259765625</v>
      </c>
    </row>
    <row r="257" spans="2:4" ht="18" thickBot="1">
      <c r="B257" s="409">
        <v>46008</v>
      </c>
      <c r="C257" s="411">
        <v>356.75</v>
      </c>
      <c r="D257" s="411">
        <v>6721.43017578125</v>
      </c>
    </row>
    <row r="258" spans="2:4" ht="18" thickBot="1">
      <c r="B258" s="409">
        <v>46009</v>
      </c>
      <c r="C258" s="411">
        <v>354.989990234375</v>
      </c>
      <c r="D258" s="411">
        <v>6774.759765625</v>
      </c>
    </row>
    <row r="259" spans="2:4" ht="18" thickBot="1">
      <c r="B259" s="409">
        <v>46010</v>
      </c>
      <c r="C259" s="411">
        <v>345</v>
      </c>
      <c r="D259" s="411">
        <v>6834.5</v>
      </c>
    </row>
    <row r="260" spans="2:4" ht="18" thickBot="1">
      <c r="B260" s="409">
        <v>46013</v>
      </c>
      <c r="C260" s="410">
        <v>346.39001464843699</v>
      </c>
      <c r="D260" s="411">
        <v>6878.490234375</v>
      </c>
    </row>
    <row r="261" spans="2:4" ht="18" thickBot="1">
      <c r="B261" s="409">
        <v>46014</v>
      </c>
      <c r="C261" s="410">
        <v>344.97000122070301</v>
      </c>
      <c r="D261" s="411">
        <v>6909.7900390625</v>
      </c>
    </row>
    <row r="262" spans="2:4" ht="18" thickBot="1">
      <c r="B262" s="409">
        <v>46015</v>
      </c>
      <c r="C262" s="410">
        <v>347.33999633789</v>
      </c>
      <c r="D262" s="411">
        <v>6932.0498046875</v>
      </c>
    </row>
    <row r="263" spans="2:4" ht="18" thickBot="1">
      <c r="B263" s="409">
        <v>46017</v>
      </c>
      <c r="C263" s="410">
        <v>349.77999877929602</v>
      </c>
      <c r="D263" s="411">
        <v>6929.93994140625</v>
      </c>
    </row>
    <row r="264" spans="2:4" ht="18" thickBot="1">
      <c r="B264" s="409">
        <v>46020</v>
      </c>
      <c r="C264" s="410">
        <v>347.45001220703102</v>
      </c>
      <c r="D264" s="411">
        <v>6905.740234375</v>
      </c>
    </row>
    <row r="265" spans="2:4" ht="18" thickBot="1">
      <c r="B265" s="409">
        <v>46021</v>
      </c>
      <c r="C265" s="410">
        <v>346.350006103515</v>
      </c>
      <c r="D265" s="411">
        <v>6896.240234375</v>
      </c>
    </row>
    <row r="266" spans="2:4" ht="18" thickBot="1">
      <c r="B266" s="409">
        <v>46022</v>
      </c>
      <c r="C266" s="410">
        <v>344.100006103515</v>
      </c>
      <c r="D266" s="411">
        <v>6845.5</v>
      </c>
    </row>
    <row r="267" spans="2:4" ht="18" thickBot="1">
      <c r="B267" s="409">
        <v>46024</v>
      </c>
      <c r="C267" s="410">
        <v>345.82000732421801</v>
      </c>
      <c r="D267" s="411">
        <v>6858.47021484375</v>
      </c>
    </row>
    <row r="268" spans="2:4" ht="18" thickBot="1">
      <c r="B268" s="409">
        <v>46027</v>
      </c>
      <c r="C268" s="410">
        <v>344.08999633789</v>
      </c>
      <c r="D268" s="411">
        <v>6902.0498046875</v>
      </c>
    </row>
    <row r="269" spans="2:4" ht="18" thickBot="1">
      <c r="B269" s="409">
        <v>46028</v>
      </c>
      <c r="C269" s="410">
        <v>349.29000854492102</v>
      </c>
      <c r="D269" s="411">
        <v>6944.81982421875</v>
      </c>
    </row>
    <row r="270" spans="2:4" ht="18" thickBot="1">
      <c r="B270" s="409">
        <v>46029</v>
      </c>
      <c r="C270" s="410">
        <v>349.05999755859301</v>
      </c>
      <c r="D270" s="411">
        <v>6920.93017578125</v>
      </c>
    </row>
    <row r="271" spans="2:4" ht="18" thickBot="1">
      <c r="B271" s="409">
        <v>46030</v>
      </c>
      <c r="C271" s="410">
        <v>359.55999755859301</v>
      </c>
      <c r="D271" s="411">
        <v>6921.4599609375</v>
      </c>
    </row>
    <row r="272" spans="2:4" ht="18" thickBot="1">
      <c r="B272" s="409">
        <v>46031</v>
      </c>
      <c r="C272" s="410">
        <v>374.64001464843699</v>
      </c>
      <c r="D272" s="411">
        <v>6966.27978515625</v>
      </c>
    </row>
    <row r="273" spans="2:4" ht="18" thickBot="1">
      <c r="B273" s="409">
        <v>46034</v>
      </c>
      <c r="C273" s="410">
        <v>374.94000244140602</v>
      </c>
      <c r="D273" s="411">
        <v>6977.27001953125</v>
      </c>
    </row>
    <row r="274" spans="2:4" ht="18" thickBot="1">
      <c r="B274" s="409">
        <v>46035</v>
      </c>
      <c r="C274" s="411">
        <v>379.739990234375</v>
      </c>
      <c r="D274" s="411">
        <v>6963.740234375</v>
      </c>
    </row>
    <row r="275" spans="2:4" ht="18" thickBot="1">
      <c r="B275" s="409">
        <v>46036</v>
      </c>
      <c r="C275" s="410">
        <v>375.95001220703102</v>
      </c>
      <c r="D275" s="411">
        <v>6926.60009765625</v>
      </c>
    </row>
    <row r="276" spans="2:4" ht="18" thickBot="1">
      <c r="B276" s="409">
        <v>46037</v>
      </c>
      <c r="C276" s="410">
        <v>379.16000366210898</v>
      </c>
      <c r="D276" s="411">
        <v>6944.47021484375</v>
      </c>
    </row>
    <row r="277" spans="2:4" ht="18" thickBot="1">
      <c r="B277" s="409">
        <v>46038</v>
      </c>
      <c r="C277" s="410">
        <v>380.17001342773398</v>
      </c>
      <c r="D277" s="411">
        <v>6940.009765625</v>
      </c>
    </row>
    <row r="278" spans="2:4" ht="13.2">
      <c r="B278" s="5"/>
      <c r="C278" s="3"/>
    </row>
    <row r="279" spans="2:4" ht="13.2">
      <c r="B279" s="5"/>
      <c r="C279" s="3"/>
    </row>
    <row r="280" spans="2:4" ht="13.2">
      <c r="B280" s="5"/>
      <c r="C280" s="3"/>
    </row>
    <row r="281" spans="2:4" ht="13.2">
      <c r="B281" s="5"/>
      <c r="C281" s="3"/>
    </row>
    <row r="282" spans="2:4" ht="13.2">
      <c r="B282" s="5"/>
      <c r="C282" s="3"/>
    </row>
    <row r="283" spans="2:4" ht="13.2">
      <c r="B283" s="5"/>
      <c r="C283" s="3"/>
    </row>
    <row r="284" spans="2:4" ht="13.2">
      <c r="B284" s="5"/>
      <c r="C284" s="3"/>
    </row>
    <row r="285" spans="2:4" ht="13.2">
      <c r="B285" s="5"/>
      <c r="C285" s="3"/>
    </row>
    <row r="286" spans="2:4" ht="13.2">
      <c r="B286" s="5"/>
      <c r="C286" s="3"/>
    </row>
    <row r="287" spans="2:4" ht="13.2">
      <c r="B287" s="5"/>
      <c r="C287" s="3"/>
    </row>
    <row r="288" spans="2:4" ht="13.2">
      <c r="B288" s="5"/>
      <c r="C288" s="3"/>
    </row>
    <row r="289" spans="2:3" ht="13.2">
      <c r="B289" s="5"/>
      <c r="C289" s="3"/>
    </row>
    <row r="290" spans="2:3" ht="13.2">
      <c r="B290" s="5"/>
      <c r="C290" s="3"/>
    </row>
    <row r="291" spans="2:3" ht="13.2">
      <c r="B291" s="5"/>
      <c r="C291" s="3"/>
    </row>
    <row r="292" spans="2:3" ht="13.2">
      <c r="B292" s="5"/>
      <c r="C292" s="3"/>
    </row>
    <row r="293" spans="2:3" ht="13.2">
      <c r="B293" s="5"/>
      <c r="C293" s="3"/>
    </row>
    <row r="294" spans="2:3" ht="13.2">
      <c r="B294" s="5"/>
      <c r="C294" s="3"/>
    </row>
    <row r="295" spans="2:3" ht="13.2">
      <c r="B295" s="5"/>
      <c r="C295" s="3"/>
    </row>
    <row r="296" spans="2:3" ht="13.2">
      <c r="B296" s="5"/>
      <c r="C296" s="3"/>
    </row>
    <row r="297" spans="2:3" ht="13.2">
      <c r="B297" s="5"/>
      <c r="C297" s="3"/>
    </row>
    <row r="298" spans="2:3" ht="13.2">
      <c r="B298" s="5"/>
      <c r="C298" s="3"/>
    </row>
    <row r="299" spans="2:3" ht="13.2">
      <c r="B299" s="5"/>
      <c r="C299" s="3"/>
    </row>
    <row r="300" spans="2:3" ht="13.2">
      <c r="B300" s="5"/>
      <c r="C300" s="3"/>
    </row>
    <row r="301" spans="2:3" ht="13.2">
      <c r="B301" s="5"/>
      <c r="C301" s="3"/>
    </row>
    <row r="302" spans="2:3" ht="13.2">
      <c r="B302" s="5"/>
      <c r="C302" s="3"/>
    </row>
    <row r="303" spans="2:3" ht="13.2">
      <c r="B303" s="5"/>
      <c r="C303" s="3"/>
    </row>
    <row r="304" spans="2:3" ht="13.2">
      <c r="B304" s="5"/>
      <c r="C304" s="3"/>
    </row>
    <row r="305" spans="2:3" ht="13.2">
      <c r="B305" s="5"/>
      <c r="C305" s="3"/>
    </row>
    <row r="306" spans="2:3" ht="13.2">
      <c r="B306" s="5"/>
      <c r="C306" s="3"/>
    </row>
    <row r="307" spans="2:3" ht="13.2">
      <c r="B307" s="5"/>
      <c r="C307" s="3"/>
    </row>
    <row r="308" spans="2:3" ht="13.2">
      <c r="B308" s="5"/>
      <c r="C308" s="3"/>
    </row>
    <row r="309" spans="2:3" ht="13.2">
      <c r="B309" s="5"/>
      <c r="C309" s="3"/>
    </row>
    <row r="310" spans="2:3" ht="13.2">
      <c r="B310" s="5"/>
      <c r="C310" s="3"/>
    </row>
    <row r="311" spans="2:3" ht="13.2">
      <c r="B311" s="5"/>
      <c r="C311" s="3"/>
    </row>
    <row r="312" spans="2:3" ht="13.2">
      <c r="B312" s="5"/>
      <c r="C312" s="3"/>
    </row>
    <row r="313" spans="2:3" ht="13.2">
      <c r="B313" s="5"/>
      <c r="C313" s="3"/>
    </row>
    <row r="314" spans="2:3" ht="13.2">
      <c r="B314" s="5"/>
      <c r="C314" s="3"/>
    </row>
    <row r="315" spans="2:3" ht="13.2">
      <c r="B315" s="5"/>
      <c r="C315" s="3"/>
    </row>
    <row r="316" spans="2:3" ht="13.2">
      <c r="B316" s="5"/>
      <c r="C316" s="3"/>
    </row>
    <row r="317" spans="2:3" ht="13.2">
      <c r="B317" s="5"/>
      <c r="C317" s="3"/>
    </row>
    <row r="318" spans="2:3" ht="13.2">
      <c r="B318" s="5"/>
      <c r="C318" s="3"/>
    </row>
    <row r="319" spans="2:3" ht="13.2">
      <c r="B319" s="5"/>
      <c r="C319" s="3"/>
    </row>
    <row r="320" spans="2:3" ht="13.2">
      <c r="B320" s="5"/>
      <c r="C320" s="3"/>
    </row>
    <row r="321" spans="2:3" ht="13.2">
      <c r="B321" s="5"/>
      <c r="C321" s="3"/>
    </row>
    <row r="322" spans="2:3" ht="13.2">
      <c r="B322" s="5"/>
      <c r="C322" s="3"/>
    </row>
    <row r="323" spans="2:3" ht="13.2">
      <c r="B323" s="5"/>
      <c r="C323" s="3"/>
    </row>
    <row r="324" spans="2:3" ht="13.2">
      <c r="B324" s="5"/>
      <c r="C324" s="3"/>
    </row>
    <row r="325" spans="2:3" ht="13.2">
      <c r="B325" s="5"/>
      <c r="C325" s="3"/>
    </row>
    <row r="326" spans="2:3" ht="13.2">
      <c r="B326" s="5"/>
      <c r="C326" s="3"/>
    </row>
    <row r="327" spans="2:3" ht="13.2">
      <c r="B327" s="5"/>
      <c r="C327" s="3"/>
    </row>
    <row r="328" spans="2:3" ht="13.2">
      <c r="B328" s="5"/>
      <c r="C328" s="3"/>
    </row>
    <row r="329" spans="2:3" ht="13.2">
      <c r="B329" s="5"/>
      <c r="C329" s="3"/>
    </row>
    <row r="330" spans="2:3" ht="13.2">
      <c r="B330" s="5"/>
      <c r="C330" s="3"/>
    </row>
    <row r="331" spans="2:3" ht="13.2">
      <c r="B331" s="5"/>
      <c r="C331" s="3"/>
    </row>
    <row r="332" spans="2:3" ht="13.2">
      <c r="B332" s="5"/>
      <c r="C332" s="3"/>
    </row>
    <row r="333" spans="2:3" ht="13.2">
      <c r="B333" s="5"/>
      <c r="C333" s="3"/>
    </row>
    <row r="334" spans="2:3" ht="13.2">
      <c r="B334" s="5"/>
      <c r="C334" s="3"/>
    </row>
    <row r="335" spans="2:3" ht="13.2">
      <c r="B335" s="5"/>
      <c r="C335" s="3"/>
    </row>
    <row r="336" spans="2:3" ht="13.2">
      <c r="B336" s="5"/>
      <c r="C336" s="3"/>
    </row>
    <row r="337" spans="2:3" ht="13.2">
      <c r="B337" s="5"/>
      <c r="C337" s="3"/>
    </row>
    <row r="338" spans="2:3" ht="13.2">
      <c r="B338" s="5"/>
      <c r="C338" s="3"/>
    </row>
    <row r="339" spans="2:3" ht="13.2">
      <c r="B339" s="5"/>
      <c r="C339" s="3"/>
    </row>
    <row r="340" spans="2:3" ht="13.2">
      <c r="B340" s="5"/>
      <c r="C340" s="3"/>
    </row>
    <row r="341" spans="2:3" ht="13.2">
      <c r="B341" s="5"/>
      <c r="C341" s="3"/>
    </row>
    <row r="342" spans="2:3" ht="13.2">
      <c r="B342" s="5"/>
      <c r="C342" s="3"/>
    </row>
    <row r="343" spans="2:3" ht="13.2">
      <c r="B343" s="5"/>
      <c r="C343" s="3"/>
    </row>
    <row r="344" spans="2:3" ht="13.2">
      <c r="B344" s="5"/>
      <c r="C344" s="3"/>
    </row>
    <row r="345" spans="2:3" ht="13.2">
      <c r="B345" s="5"/>
      <c r="C345" s="3"/>
    </row>
    <row r="346" spans="2:3" ht="13.2">
      <c r="B346" s="5"/>
      <c r="C346" s="3"/>
    </row>
    <row r="347" spans="2:3" ht="13.2">
      <c r="B347" s="5"/>
      <c r="C347" s="3"/>
    </row>
    <row r="348" spans="2:3" ht="13.2">
      <c r="B348" s="5"/>
      <c r="C348" s="3"/>
    </row>
    <row r="349" spans="2:3" ht="13.2">
      <c r="B349" s="5"/>
      <c r="C349" s="3"/>
    </row>
    <row r="350" spans="2:3" ht="13.2">
      <c r="B350" s="5"/>
      <c r="C350" s="3"/>
    </row>
    <row r="351" spans="2:3" ht="13.2">
      <c r="B351" s="5"/>
      <c r="C351" s="3"/>
    </row>
    <row r="352" spans="2:3" ht="13.2">
      <c r="B352" s="5"/>
      <c r="C352" s="3"/>
    </row>
    <row r="353" spans="2:3" ht="13.2">
      <c r="B353" s="5"/>
      <c r="C353" s="3"/>
    </row>
    <row r="354" spans="2:3" ht="13.2">
      <c r="B354" s="5"/>
      <c r="C354" s="3"/>
    </row>
    <row r="355" spans="2:3" ht="13.2">
      <c r="B355" s="5"/>
      <c r="C355" s="3"/>
    </row>
    <row r="356" spans="2:3" ht="13.2">
      <c r="B356" s="5"/>
      <c r="C356" s="3"/>
    </row>
    <row r="357" spans="2:3" ht="13.2">
      <c r="B357" s="5"/>
      <c r="C357" s="3"/>
    </row>
    <row r="358" spans="2:3" ht="13.2">
      <c r="B358" s="5"/>
      <c r="C358" s="3"/>
    </row>
    <row r="359" spans="2:3" ht="13.2">
      <c r="B359" s="5"/>
      <c r="C359" s="3"/>
    </row>
    <row r="360" spans="2:3" ht="13.2">
      <c r="B360" s="5"/>
      <c r="C360" s="3"/>
    </row>
    <row r="361" spans="2:3" ht="13.2">
      <c r="B361" s="5"/>
      <c r="C361" s="3"/>
    </row>
    <row r="362" spans="2:3" ht="13.2">
      <c r="B362" s="5"/>
      <c r="C362" s="3"/>
    </row>
    <row r="363" spans="2:3" ht="13.2">
      <c r="B363" s="5"/>
      <c r="C363" s="3"/>
    </row>
    <row r="364" spans="2:3" ht="13.2">
      <c r="B364" s="5"/>
      <c r="C364" s="3"/>
    </row>
    <row r="365" spans="2:3" ht="13.2">
      <c r="B365" s="5"/>
      <c r="C365" s="3"/>
    </row>
    <row r="366" spans="2:3" ht="13.2">
      <c r="B366" s="5"/>
      <c r="C366" s="3"/>
    </row>
    <row r="367" spans="2:3" ht="13.2">
      <c r="B367" s="5"/>
      <c r="C367" s="3"/>
    </row>
    <row r="368" spans="2:3" ht="13.2">
      <c r="B368" s="5"/>
      <c r="C368" s="3"/>
    </row>
    <row r="369" spans="2:3" ht="13.2">
      <c r="B369" s="5"/>
      <c r="C369" s="3"/>
    </row>
    <row r="370" spans="2:3" ht="13.2">
      <c r="B370" s="5"/>
      <c r="C370" s="3"/>
    </row>
    <row r="371" spans="2:3" ht="13.2">
      <c r="B371" s="5"/>
      <c r="C371" s="3"/>
    </row>
    <row r="372" spans="2:3" ht="13.2">
      <c r="B372" s="5"/>
      <c r="C372" s="3"/>
    </row>
    <row r="373" spans="2:3" ht="13.2">
      <c r="B373" s="5"/>
      <c r="C373" s="3"/>
    </row>
    <row r="374" spans="2:3" ht="13.2">
      <c r="B374" s="5"/>
      <c r="C374" s="3"/>
    </row>
    <row r="375" spans="2:3" ht="13.2">
      <c r="B375" s="5"/>
      <c r="C375" s="3"/>
    </row>
    <row r="376" spans="2:3" ht="13.2">
      <c r="B376" s="5"/>
      <c r="C376" s="3"/>
    </row>
    <row r="377" spans="2:3" ht="13.2">
      <c r="B377" s="5"/>
      <c r="C377" s="3"/>
    </row>
    <row r="378" spans="2:3" ht="13.2">
      <c r="B378" s="5"/>
      <c r="C378" s="3"/>
    </row>
    <row r="379" spans="2:3" ht="13.2">
      <c r="B379" s="5"/>
      <c r="C379" s="3"/>
    </row>
    <row r="380" spans="2:3" ht="13.2">
      <c r="B380" s="5"/>
      <c r="C380" s="3"/>
    </row>
    <row r="381" spans="2:3" ht="13.2">
      <c r="B381" s="5"/>
      <c r="C381" s="3"/>
    </row>
    <row r="382" spans="2:3" ht="13.2">
      <c r="B382" s="5"/>
      <c r="C382" s="3"/>
    </row>
    <row r="383" spans="2:3" ht="13.2">
      <c r="B383" s="5"/>
      <c r="C383" s="3"/>
    </row>
    <row r="384" spans="2:3" ht="13.2">
      <c r="B384" s="5"/>
      <c r="C384" s="3"/>
    </row>
    <row r="385" spans="2:3" ht="13.2">
      <c r="B385" s="5"/>
      <c r="C385" s="3"/>
    </row>
    <row r="386" spans="2:3" ht="13.2">
      <c r="B386" s="5"/>
      <c r="C386" s="3"/>
    </row>
    <row r="387" spans="2:3" ht="13.2">
      <c r="B387" s="5"/>
      <c r="C387" s="3"/>
    </row>
    <row r="388" spans="2:3" ht="13.2">
      <c r="B388" s="5"/>
      <c r="C388" s="3"/>
    </row>
    <row r="389" spans="2:3" ht="13.2">
      <c r="B389" s="5"/>
      <c r="C389" s="3"/>
    </row>
    <row r="390" spans="2:3" ht="13.2">
      <c r="B390" s="5"/>
      <c r="C390" s="3"/>
    </row>
    <row r="391" spans="2:3" ht="13.2">
      <c r="B391" s="5"/>
      <c r="C391" s="3"/>
    </row>
    <row r="392" spans="2:3" ht="13.2">
      <c r="B392" s="5"/>
      <c r="C392" s="3"/>
    </row>
    <row r="393" spans="2:3" ht="13.2">
      <c r="B393" s="5"/>
      <c r="C393" s="3"/>
    </row>
    <row r="394" spans="2:3" ht="13.2">
      <c r="B394" s="5"/>
      <c r="C394" s="3"/>
    </row>
    <row r="395" spans="2:3" ht="13.2">
      <c r="B395" s="5"/>
      <c r="C395" s="3"/>
    </row>
    <row r="396" spans="2:3" ht="13.2">
      <c r="B396" s="5"/>
      <c r="C396" s="3"/>
    </row>
    <row r="397" spans="2:3" ht="13.2">
      <c r="B397" s="5"/>
      <c r="C397" s="3"/>
    </row>
    <row r="398" spans="2:3" ht="13.2">
      <c r="B398" s="5"/>
      <c r="C398" s="3"/>
    </row>
    <row r="399" spans="2:3" ht="13.2">
      <c r="B399" s="5"/>
      <c r="C399" s="3"/>
    </row>
    <row r="400" spans="2:3" ht="13.2">
      <c r="B400" s="5"/>
      <c r="C400" s="3"/>
    </row>
    <row r="401" spans="2:3" ht="13.2">
      <c r="B401" s="5"/>
      <c r="C401" s="3"/>
    </row>
    <row r="402" spans="2:3" ht="13.2">
      <c r="B402" s="5"/>
      <c r="C402" s="3"/>
    </row>
    <row r="403" spans="2:3" ht="13.2">
      <c r="B403" s="5"/>
      <c r="C403" s="3"/>
    </row>
    <row r="404" spans="2:3" ht="13.2">
      <c r="B404" s="5"/>
      <c r="C404" s="3"/>
    </row>
    <row r="405" spans="2:3" ht="13.2">
      <c r="B405" s="5"/>
      <c r="C405" s="3"/>
    </row>
    <row r="406" spans="2:3" ht="13.2">
      <c r="B406" s="5"/>
      <c r="C406" s="3"/>
    </row>
    <row r="407" spans="2:3" ht="13.2">
      <c r="B407" s="5"/>
      <c r="C407" s="3"/>
    </row>
    <row r="408" spans="2:3" ht="13.2">
      <c r="B408" s="5"/>
      <c r="C408" s="3"/>
    </row>
    <row r="409" spans="2:3" ht="13.2">
      <c r="B409" s="5"/>
      <c r="C409" s="3"/>
    </row>
    <row r="410" spans="2:3" ht="13.2">
      <c r="B410" s="5"/>
      <c r="C410" s="3"/>
    </row>
    <row r="411" spans="2:3" ht="13.2">
      <c r="B411" s="5"/>
      <c r="C411" s="3"/>
    </row>
    <row r="412" spans="2:3" ht="13.2">
      <c r="B412" s="5"/>
      <c r="C412" s="3"/>
    </row>
    <row r="413" spans="2:3" ht="13.2">
      <c r="B413" s="5"/>
      <c r="C413" s="3"/>
    </row>
    <row r="414" spans="2:3" ht="13.2">
      <c r="B414" s="5"/>
      <c r="C414" s="3"/>
    </row>
    <row r="415" spans="2:3" ht="13.2">
      <c r="B415" s="5"/>
      <c r="C415" s="3"/>
    </row>
    <row r="416" spans="2:3" ht="13.2">
      <c r="B416" s="5"/>
      <c r="C416" s="3"/>
    </row>
    <row r="417" spans="2:3" ht="13.2">
      <c r="B417" s="5"/>
      <c r="C417" s="3"/>
    </row>
    <row r="418" spans="2:3" ht="13.2">
      <c r="B418" s="5"/>
      <c r="C418" s="3"/>
    </row>
    <row r="419" spans="2:3" ht="13.2">
      <c r="B419" s="5"/>
      <c r="C419" s="3"/>
    </row>
    <row r="420" spans="2:3" ht="13.2">
      <c r="B420" s="5"/>
      <c r="C420" s="3"/>
    </row>
    <row r="421" spans="2:3" ht="13.2">
      <c r="B421" s="5"/>
      <c r="C421" s="3"/>
    </row>
    <row r="422" spans="2:3" ht="13.2">
      <c r="B422" s="5"/>
      <c r="C422" s="3"/>
    </row>
    <row r="423" spans="2:3" ht="13.2">
      <c r="B423" s="5"/>
      <c r="C423" s="3"/>
    </row>
    <row r="424" spans="2:3" ht="13.2">
      <c r="B424" s="5"/>
      <c r="C424" s="3"/>
    </row>
    <row r="425" spans="2:3" ht="13.2">
      <c r="B425" s="5"/>
      <c r="C425" s="3"/>
    </row>
    <row r="426" spans="2:3" ht="13.2">
      <c r="B426" s="5"/>
      <c r="C426" s="3"/>
    </row>
    <row r="427" spans="2:3" ht="13.2">
      <c r="B427" s="5"/>
      <c r="C427" s="3"/>
    </row>
    <row r="428" spans="2:3" ht="13.2">
      <c r="B428" s="5"/>
      <c r="C428" s="3"/>
    </row>
    <row r="429" spans="2:3" ht="13.2">
      <c r="B429" s="5"/>
      <c r="C429" s="3"/>
    </row>
    <row r="430" spans="2:3" ht="13.2">
      <c r="B430" s="5"/>
      <c r="C430" s="3"/>
    </row>
    <row r="431" spans="2:3" ht="13.2">
      <c r="B431" s="5"/>
      <c r="C431" s="3"/>
    </row>
    <row r="432" spans="2:3" ht="13.2">
      <c r="B432" s="5"/>
      <c r="C432" s="3"/>
    </row>
    <row r="433" spans="2:3" ht="13.2">
      <c r="B433" s="5"/>
      <c r="C433" s="3"/>
    </row>
    <row r="434" spans="2:3" ht="13.2">
      <c r="B434" s="5"/>
      <c r="C434" s="3"/>
    </row>
    <row r="435" spans="2:3" ht="13.2">
      <c r="B435" s="5"/>
      <c r="C435" s="3"/>
    </row>
    <row r="436" spans="2:3" ht="13.2">
      <c r="B436" s="5"/>
      <c r="C436" s="3"/>
    </row>
    <row r="437" spans="2:3" ht="13.2">
      <c r="B437" s="5"/>
      <c r="C437" s="3"/>
    </row>
    <row r="438" spans="2:3" ht="13.2">
      <c r="B438" s="5"/>
      <c r="C438" s="3"/>
    </row>
    <row r="439" spans="2:3" ht="13.2">
      <c r="B439" s="5"/>
      <c r="C439" s="3"/>
    </row>
    <row r="440" spans="2:3" ht="13.2">
      <c r="B440" s="5"/>
      <c r="C440" s="3"/>
    </row>
    <row r="441" spans="2:3" ht="13.2">
      <c r="B441" s="5"/>
      <c r="C441" s="3"/>
    </row>
    <row r="442" spans="2:3" ht="13.2">
      <c r="B442" s="5"/>
      <c r="C442" s="3"/>
    </row>
    <row r="443" spans="2:3" ht="13.2">
      <c r="B443" s="5"/>
      <c r="C443" s="3"/>
    </row>
    <row r="444" spans="2:3" ht="13.2">
      <c r="B444" s="5"/>
      <c r="C444" s="3"/>
    </row>
    <row r="445" spans="2:3" ht="13.2">
      <c r="B445" s="5"/>
      <c r="C445" s="3"/>
    </row>
    <row r="446" spans="2:3" ht="13.2">
      <c r="B446" s="5"/>
      <c r="C446" s="3"/>
    </row>
    <row r="447" spans="2:3" ht="13.2">
      <c r="B447" s="5"/>
      <c r="C447" s="3"/>
    </row>
    <row r="448" spans="2:3" ht="13.2">
      <c r="B448" s="5"/>
      <c r="C448" s="3"/>
    </row>
    <row r="449" spans="2:3" ht="13.2">
      <c r="B449" s="5"/>
      <c r="C449" s="3"/>
    </row>
    <row r="450" spans="2:3" ht="13.2">
      <c r="B450" s="5"/>
      <c r="C450" s="3"/>
    </row>
    <row r="451" spans="2:3" ht="13.2">
      <c r="B451" s="5"/>
      <c r="C451" s="3"/>
    </row>
    <row r="452" spans="2:3" ht="13.2">
      <c r="B452" s="5"/>
      <c r="C452" s="3"/>
    </row>
    <row r="453" spans="2:3" ht="13.2">
      <c r="B453" s="5"/>
      <c r="C453" s="3"/>
    </row>
    <row r="454" spans="2:3" ht="13.2">
      <c r="B454" s="5"/>
      <c r="C454" s="3"/>
    </row>
    <row r="455" spans="2:3" ht="13.2">
      <c r="B455" s="5"/>
      <c r="C455" s="3"/>
    </row>
    <row r="456" spans="2:3" ht="13.2">
      <c r="B456" s="5"/>
      <c r="C456" s="3"/>
    </row>
    <row r="457" spans="2:3" ht="13.2">
      <c r="B457" s="5"/>
      <c r="C457" s="3"/>
    </row>
    <row r="458" spans="2:3" ht="13.2">
      <c r="B458" s="5"/>
      <c r="C458" s="3"/>
    </row>
    <row r="459" spans="2:3" ht="13.2">
      <c r="B459" s="5"/>
      <c r="C459" s="3"/>
    </row>
    <row r="460" spans="2:3" ht="13.2">
      <c r="B460" s="5"/>
      <c r="C460" s="3"/>
    </row>
    <row r="461" spans="2:3" ht="13.2">
      <c r="B461" s="5"/>
      <c r="C461" s="3"/>
    </row>
    <row r="462" spans="2:3" ht="13.2">
      <c r="B462" s="5"/>
      <c r="C462" s="3"/>
    </row>
    <row r="463" spans="2:3" ht="13.2">
      <c r="B463" s="5"/>
      <c r="C463" s="3"/>
    </row>
    <row r="464" spans="2:3" ht="13.2">
      <c r="B464" s="5"/>
      <c r="C464" s="3"/>
    </row>
    <row r="465" spans="2:3" ht="13.2">
      <c r="B465" s="5"/>
      <c r="C465" s="3"/>
    </row>
    <row r="466" spans="2:3" ht="13.2">
      <c r="B466" s="5"/>
      <c r="C466" s="3"/>
    </row>
    <row r="467" spans="2:3" ht="13.2">
      <c r="B467" s="5"/>
      <c r="C467" s="3"/>
    </row>
    <row r="468" spans="2:3" ht="13.2">
      <c r="B468" s="5"/>
      <c r="C468" s="3"/>
    </row>
    <row r="469" spans="2:3" ht="13.2">
      <c r="B469" s="5"/>
      <c r="C469" s="3"/>
    </row>
    <row r="470" spans="2:3" ht="13.2">
      <c r="B470" s="5"/>
      <c r="C470" s="3"/>
    </row>
    <row r="471" spans="2:3" ht="13.2">
      <c r="B471" s="5"/>
      <c r="C471" s="3"/>
    </row>
    <row r="472" spans="2:3" ht="13.2">
      <c r="B472" s="5"/>
      <c r="C472" s="3"/>
    </row>
    <row r="473" spans="2:3" ht="13.2">
      <c r="B473" s="5"/>
      <c r="C473" s="3"/>
    </row>
    <row r="474" spans="2:3" ht="13.2">
      <c r="B474" s="5"/>
      <c r="C474" s="3"/>
    </row>
    <row r="475" spans="2:3" ht="13.2">
      <c r="B475" s="5"/>
      <c r="C475" s="3"/>
    </row>
    <row r="476" spans="2:3" ht="13.2">
      <c r="B476" s="5"/>
      <c r="C476" s="3"/>
    </row>
    <row r="477" spans="2:3" ht="13.2">
      <c r="B477" s="5"/>
      <c r="C477" s="3"/>
    </row>
    <row r="478" spans="2:3" ht="13.2">
      <c r="B478" s="5"/>
      <c r="C478" s="3"/>
    </row>
    <row r="479" spans="2:3" ht="13.2">
      <c r="B479" s="5"/>
      <c r="C479" s="3"/>
    </row>
    <row r="480" spans="2:3" ht="13.2">
      <c r="B480" s="5"/>
      <c r="C480" s="3"/>
    </row>
    <row r="481" spans="2:3" ht="13.2">
      <c r="B481" s="5"/>
      <c r="C481" s="3"/>
    </row>
    <row r="482" spans="2:3" ht="13.2">
      <c r="B482" s="5"/>
      <c r="C482" s="3"/>
    </row>
    <row r="483" spans="2:3" ht="13.2">
      <c r="B483" s="5"/>
      <c r="C483" s="3"/>
    </row>
    <row r="484" spans="2:3" ht="13.2">
      <c r="B484" s="5"/>
      <c r="C484" s="3"/>
    </row>
    <row r="485" spans="2:3" ht="13.2">
      <c r="B485" s="5"/>
      <c r="C485" s="3"/>
    </row>
    <row r="486" spans="2:3" ht="13.2">
      <c r="B486" s="5"/>
      <c r="C486" s="3"/>
    </row>
    <row r="487" spans="2:3" ht="13.2">
      <c r="B487" s="5"/>
      <c r="C487" s="3"/>
    </row>
    <row r="488" spans="2:3" ht="13.2">
      <c r="B488" s="5"/>
      <c r="C488" s="3"/>
    </row>
    <row r="489" spans="2:3" ht="13.2">
      <c r="B489" s="5"/>
      <c r="C489" s="3"/>
    </row>
    <row r="490" spans="2:3" ht="13.2">
      <c r="B490" s="5"/>
      <c r="C490" s="3"/>
    </row>
    <row r="491" spans="2:3" ht="13.2">
      <c r="B491" s="5"/>
      <c r="C491" s="3"/>
    </row>
    <row r="492" spans="2:3" ht="13.2">
      <c r="B492" s="5"/>
      <c r="C492" s="3"/>
    </row>
    <row r="493" spans="2:3" ht="13.2">
      <c r="B493" s="5"/>
      <c r="C493" s="3"/>
    </row>
    <row r="494" spans="2:3" ht="13.2">
      <c r="B494" s="5"/>
      <c r="C494" s="3"/>
    </row>
    <row r="495" spans="2:3" ht="13.2">
      <c r="B495" s="5"/>
      <c r="C495" s="3"/>
    </row>
    <row r="496" spans="2:3" ht="13.2">
      <c r="B496" s="5"/>
      <c r="C496" s="3"/>
    </row>
    <row r="497" spans="2:3" ht="13.2">
      <c r="B497" s="5"/>
      <c r="C497" s="3"/>
    </row>
    <row r="498" spans="2:3" ht="13.2">
      <c r="B498" s="5"/>
      <c r="C498" s="3"/>
    </row>
    <row r="499" spans="2:3" ht="13.2">
      <c r="B499" s="5"/>
      <c r="C499" s="3"/>
    </row>
    <row r="500" spans="2:3" ht="13.2">
      <c r="B500" s="5"/>
      <c r="C500" s="3"/>
    </row>
    <row r="501" spans="2:3" ht="13.2">
      <c r="B501" s="5"/>
      <c r="C501" s="3"/>
    </row>
    <row r="502" spans="2:3" ht="13.2">
      <c r="B502" s="5"/>
      <c r="C502" s="3"/>
    </row>
    <row r="503" spans="2:3" ht="13.2">
      <c r="B503" s="5"/>
      <c r="C503" s="3"/>
    </row>
    <row r="504" spans="2:3" ht="13.2">
      <c r="B504" s="5"/>
      <c r="C504" s="3"/>
    </row>
    <row r="505" spans="2:3" ht="13.2">
      <c r="B505" s="5"/>
      <c r="C505" s="3"/>
    </row>
    <row r="506" spans="2:3" ht="13.2">
      <c r="B506" s="5"/>
      <c r="C506" s="3"/>
    </row>
    <row r="507" spans="2:3" ht="13.2">
      <c r="B507" s="5"/>
      <c r="C507" s="3"/>
    </row>
    <row r="508" spans="2:3" ht="13.2">
      <c r="B508" s="5"/>
      <c r="C508" s="3"/>
    </row>
    <row r="509" spans="2:3" ht="13.2">
      <c r="B509" s="5"/>
      <c r="C509" s="3"/>
    </row>
    <row r="510" spans="2:3" ht="13.2">
      <c r="B510" s="5"/>
      <c r="C510" s="3"/>
    </row>
    <row r="511" spans="2:3" ht="13.2">
      <c r="B511" s="5"/>
      <c r="C511" s="3"/>
    </row>
    <row r="512" spans="2:3" ht="13.2">
      <c r="B512" s="5"/>
      <c r="C512" s="3"/>
    </row>
    <row r="513" spans="2:3" ht="13.2">
      <c r="B513" s="5"/>
      <c r="C513" s="3"/>
    </row>
    <row r="514" spans="2:3" ht="13.2">
      <c r="B514" s="5"/>
      <c r="C514" s="3"/>
    </row>
    <row r="515" spans="2:3" ht="13.2">
      <c r="B515" s="5"/>
      <c r="C515" s="3"/>
    </row>
    <row r="516" spans="2:3" ht="13.2">
      <c r="B516" s="5"/>
      <c r="C516" s="3"/>
    </row>
    <row r="517" spans="2:3" ht="13.2">
      <c r="B517" s="5"/>
      <c r="C517" s="3"/>
    </row>
    <row r="518" spans="2:3" ht="13.2">
      <c r="B518" s="5"/>
      <c r="C518" s="3"/>
    </row>
    <row r="519" spans="2:3" ht="13.2">
      <c r="B519" s="5"/>
      <c r="C519" s="3"/>
    </row>
    <row r="520" spans="2:3" ht="13.2">
      <c r="B520" s="5"/>
      <c r="C520" s="3"/>
    </row>
    <row r="521" spans="2:3" ht="13.2">
      <c r="B521" s="5"/>
      <c r="C521" s="3"/>
    </row>
    <row r="522" spans="2:3" ht="13.2">
      <c r="B522" s="5"/>
      <c r="C522" s="3"/>
    </row>
    <row r="523" spans="2:3" ht="13.2">
      <c r="B523" s="5"/>
      <c r="C523" s="3"/>
    </row>
    <row r="524" spans="2:3" ht="13.2">
      <c r="B524" s="5"/>
      <c r="C524" s="3"/>
    </row>
    <row r="525" spans="2:3" ht="13.2">
      <c r="B525" s="5"/>
      <c r="C525" s="3"/>
    </row>
    <row r="526" spans="2:3" ht="13.2">
      <c r="B526" s="5"/>
      <c r="C526" s="3"/>
    </row>
    <row r="527" spans="2:3" ht="13.2">
      <c r="B527" s="5"/>
      <c r="C527" s="3"/>
    </row>
    <row r="528" spans="2:3" ht="13.2">
      <c r="B528" s="5"/>
      <c r="C528" s="3"/>
    </row>
    <row r="529" spans="2:3" ht="13.2">
      <c r="B529" s="5"/>
      <c r="C529" s="3"/>
    </row>
    <row r="530" spans="2:3" ht="13.2">
      <c r="B530" s="5"/>
      <c r="C530" s="3"/>
    </row>
    <row r="531" spans="2:3" ht="13.2">
      <c r="B531" s="5"/>
      <c r="C531" s="3"/>
    </row>
    <row r="532" spans="2:3" ht="13.2">
      <c r="B532" s="5"/>
      <c r="C532" s="3"/>
    </row>
    <row r="533" spans="2:3" ht="13.2">
      <c r="B533" s="5"/>
      <c r="C533" s="3"/>
    </row>
    <row r="534" spans="2:3" ht="13.2">
      <c r="B534" s="5"/>
      <c r="C534" s="3"/>
    </row>
    <row r="535" spans="2:3" ht="13.2">
      <c r="B535" s="5"/>
      <c r="C535" s="3"/>
    </row>
    <row r="536" spans="2:3" ht="13.2">
      <c r="B536" s="5"/>
      <c r="C536" s="3"/>
    </row>
    <row r="537" spans="2:3" ht="13.2">
      <c r="B537" s="5"/>
      <c r="C537" s="3"/>
    </row>
    <row r="538" spans="2:3" ht="13.2">
      <c r="B538" s="5"/>
      <c r="C538" s="3"/>
    </row>
    <row r="539" spans="2:3" ht="13.2">
      <c r="B539" s="5"/>
      <c r="C539" s="3"/>
    </row>
    <row r="540" spans="2:3" ht="13.2">
      <c r="B540" s="5"/>
      <c r="C540" s="3"/>
    </row>
    <row r="541" spans="2:3" ht="13.2">
      <c r="B541" s="5"/>
      <c r="C541" s="3"/>
    </row>
    <row r="542" spans="2:3" ht="13.2">
      <c r="B542" s="5"/>
      <c r="C542" s="3"/>
    </row>
    <row r="543" spans="2:3" ht="13.2">
      <c r="B543" s="5"/>
      <c r="C543" s="3"/>
    </row>
    <row r="544" spans="2:3" ht="13.2">
      <c r="B544" s="5"/>
      <c r="C544" s="3"/>
    </row>
    <row r="545" spans="2:3" ht="13.2">
      <c r="B545" s="5"/>
      <c r="C545" s="3"/>
    </row>
    <row r="546" spans="2:3" ht="13.2">
      <c r="B546" s="5"/>
      <c r="C546" s="3"/>
    </row>
    <row r="547" spans="2:3" ht="13.2">
      <c r="B547" s="5"/>
      <c r="C547" s="3"/>
    </row>
    <row r="548" spans="2:3" ht="13.2">
      <c r="B548" s="5"/>
      <c r="C548" s="3"/>
    </row>
    <row r="549" spans="2:3" ht="13.2">
      <c r="B549" s="5"/>
      <c r="C549" s="3"/>
    </row>
    <row r="550" spans="2:3" ht="13.2">
      <c r="B550" s="5"/>
      <c r="C550" s="3"/>
    </row>
    <row r="551" spans="2:3" ht="13.2">
      <c r="B551" s="5"/>
      <c r="C551" s="3"/>
    </row>
    <row r="552" spans="2:3" ht="13.2">
      <c r="B552" s="5"/>
      <c r="C552" s="3"/>
    </row>
    <row r="553" spans="2:3" ht="13.2">
      <c r="B553" s="5"/>
      <c r="C553" s="3"/>
    </row>
    <row r="554" spans="2:3" ht="13.2">
      <c r="B554" s="5"/>
      <c r="C554" s="3"/>
    </row>
    <row r="555" spans="2:3" ht="13.2">
      <c r="B555" s="5"/>
      <c r="C555" s="3"/>
    </row>
    <row r="556" spans="2:3" ht="13.2">
      <c r="B556" s="5"/>
      <c r="C556" s="3"/>
    </row>
    <row r="557" spans="2:3" ht="13.2">
      <c r="B557" s="5"/>
      <c r="C557" s="3"/>
    </row>
    <row r="558" spans="2:3" ht="13.2">
      <c r="B558" s="5"/>
      <c r="C558" s="3"/>
    </row>
    <row r="559" spans="2:3" ht="13.2">
      <c r="B559" s="5"/>
      <c r="C559" s="3"/>
    </row>
    <row r="560" spans="2:3" ht="13.2">
      <c r="B560" s="5"/>
      <c r="C560" s="3"/>
    </row>
    <row r="561" spans="2:3" ht="13.2">
      <c r="B561" s="5"/>
      <c r="C561" s="3"/>
    </row>
    <row r="562" spans="2:3" ht="13.2">
      <c r="B562" s="5"/>
      <c r="C562" s="3"/>
    </row>
    <row r="563" spans="2:3" ht="13.2">
      <c r="B563" s="5"/>
      <c r="C563" s="3"/>
    </row>
    <row r="564" spans="2:3" ht="13.2">
      <c r="B564" s="5"/>
      <c r="C564" s="3"/>
    </row>
    <row r="565" spans="2:3" ht="13.2">
      <c r="B565" s="5"/>
      <c r="C565" s="3"/>
    </row>
    <row r="566" spans="2:3" ht="13.2">
      <c r="B566" s="5"/>
      <c r="C566" s="3"/>
    </row>
    <row r="567" spans="2:3" ht="13.2">
      <c r="B567" s="5"/>
      <c r="C567" s="3"/>
    </row>
    <row r="568" spans="2:3" ht="13.2">
      <c r="B568" s="5"/>
      <c r="C568" s="3"/>
    </row>
    <row r="569" spans="2:3" ht="13.2">
      <c r="B569" s="5"/>
      <c r="C569" s="3"/>
    </row>
    <row r="570" spans="2:3" ht="13.2">
      <c r="B570" s="5"/>
      <c r="C570" s="3"/>
    </row>
    <row r="571" spans="2:3" ht="13.2">
      <c r="B571" s="5"/>
      <c r="C571" s="3"/>
    </row>
    <row r="572" spans="2:3" ht="13.2">
      <c r="B572" s="5"/>
      <c r="C572" s="3"/>
    </row>
    <row r="573" spans="2:3" ht="13.2">
      <c r="B573" s="5"/>
      <c r="C573" s="3"/>
    </row>
    <row r="574" spans="2:3" ht="13.2">
      <c r="B574" s="5"/>
      <c r="C574" s="3"/>
    </row>
    <row r="575" spans="2:3" ht="13.2">
      <c r="B575" s="5"/>
      <c r="C575" s="3"/>
    </row>
    <row r="576" spans="2:3" ht="13.2">
      <c r="B576" s="5"/>
      <c r="C576" s="3"/>
    </row>
    <row r="577" spans="2:3" ht="13.2">
      <c r="B577" s="5"/>
      <c r="C577" s="3"/>
    </row>
    <row r="578" spans="2:3" ht="13.2">
      <c r="B578" s="5"/>
      <c r="C578" s="3"/>
    </row>
    <row r="579" spans="2:3" ht="13.2">
      <c r="B579" s="5"/>
      <c r="C579" s="3"/>
    </row>
    <row r="580" spans="2:3" ht="13.2">
      <c r="B580" s="5"/>
      <c r="C580" s="3"/>
    </row>
    <row r="581" spans="2:3" ht="13.2">
      <c r="B581" s="5"/>
      <c r="C581" s="3"/>
    </row>
    <row r="582" spans="2:3" ht="13.2">
      <c r="B582" s="5"/>
      <c r="C582" s="3"/>
    </row>
    <row r="583" spans="2:3" ht="13.2">
      <c r="B583" s="5"/>
      <c r="C583" s="3"/>
    </row>
    <row r="584" spans="2:3" ht="13.2">
      <c r="B584" s="5"/>
      <c r="C584" s="3"/>
    </row>
    <row r="585" spans="2:3" ht="13.2">
      <c r="B585" s="5"/>
      <c r="C585" s="3"/>
    </row>
    <row r="586" spans="2:3" ht="13.2">
      <c r="B586" s="5"/>
      <c r="C586" s="3"/>
    </row>
    <row r="587" spans="2:3" ht="13.2">
      <c r="B587" s="5"/>
      <c r="C587" s="3"/>
    </row>
    <row r="588" spans="2:3" ht="13.2">
      <c r="B588" s="5"/>
      <c r="C588" s="3"/>
    </row>
    <row r="589" spans="2:3" ht="13.2">
      <c r="B589" s="5"/>
      <c r="C589" s="3"/>
    </row>
    <row r="590" spans="2:3" ht="13.2">
      <c r="B590" s="5"/>
      <c r="C590" s="3"/>
    </row>
    <row r="591" spans="2:3" ht="13.2">
      <c r="B591" s="5"/>
      <c r="C591" s="3"/>
    </row>
    <row r="592" spans="2:3" ht="13.2">
      <c r="B592" s="5"/>
      <c r="C592" s="3"/>
    </row>
    <row r="593" spans="2:3" ht="13.2">
      <c r="B593" s="5"/>
      <c r="C593" s="3"/>
    </row>
    <row r="594" spans="2:3" ht="13.2">
      <c r="B594" s="5"/>
      <c r="C594" s="3"/>
    </row>
    <row r="595" spans="2:3" ht="13.2">
      <c r="B595" s="5"/>
      <c r="C595" s="3"/>
    </row>
    <row r="596" spans="2:3" ht="13.2">
      <c r="B596" s="5"/>
      <c r="C596" s="3"/>
    </row>
    <row r="597" spans="2:3" ht="13.2">
      <c r="B597" s="5"/>
      <c r="C597" s="3"/>
    </row>
    <row r="598" spans="2:3" ht="13.2">
      <c r="B598" s="5"/>
      <c r="C598" s="3"/>
    </row>
    <row r="599" spans="2:3" ht="13.2">
      <c r="B599" s="5"/>
      <c r="C599" s="3"/>
    </row>
    <row r="600" spans="2:3" ht="13.2">
      <c r="B600" s="5"/>
      <c r="C600" s="3"/>
    </row>
    <row r="601" spans="2:3" ht="13.2">
      <c r="B601" s="5"/>
      <c r="C601" s="3"/>
    </row>
    <row r="602" spans="2:3" ht="13.2">
      <c r="B602" s="5"/>
      <c r="C602" s="3"/>
    </row>
    <row r="603" spans="2:3" ht="13.2">
      <c r="B603" s="5"/>
      <c r="C603" s="3"/>
    </row>
    <row r="604" spans="2:3" ht="13.2">
      <c r="B604" s="5"/>
      <c r="C604" s="3"/>
    </row>
    <row r="605" spans="2:3" ht="13.2">
      <c r="B605" s="5"/>
      <c r="C605" s="3"/>
    </row>
    <row r="606" spans="2:3" ht="13.2">
      <c r="B606" s="5"/>
      <c r="C606" s="3"/>
    </row>
    <row r="607" spans="2:3" ht="13.2">
      <c r="B607" s="5"/>
      <c r="C607" s="3"/>
    </row>
    <row r="608" spans="2:3" ht="13.2">
      <c r="B608" s="5"/>
      <c r="C608" s="3"/>
    </row>
    <row r="609" spans="2:3" ht="13.2">
      <c r="B609" s="5"/>
      <c r="C609" s="3"/>
    </row>
    <row r="610" spans="2:3" ht="13.2">
      <c r="B610" s="5"/>
      <c r="C610" s="3"/>
    </row>
    <row r="611" spans="2:3" ht="13.2">
      <c r="B611" s="5"/>
      <c r="C611" s="3"/>
    </row>
    <row r="612" spans="2:3" ht="13.2">
      <c r="B612" s="5"/>
      <c r="C612" s="3"/>
    </row>
    <row r="613" spans="2:3" ht="13.2">
      <c r="B613" s="5"/>
      <c r="C613" s="3"/>
    </row>
    <row r="614" spans="2:3" ht="13.2">
      <c r="B614" s="5"/>
      <c r="C614" s="3"/>
    </row>
    <row r="615" spans="2:3" ht="13.2">
      <c r="B615" s="5"/>
      <c r="C615" s="3"/>
    </row>
    <row r="616" spans="2:3" ht="13.2">
      <c r="B616" s="5"/>
      <c r="C616" s="3"/>
    </row>
    <row r="617" spans="2:3" ht="13.2">
      <c r="B617" s="5"/>
      <c r="C617" s="3"/>
    </row>
    <row r="618" spans="2:3" ht="13.2">
      <c r="B618" s="5"/>
      <c r="C618" s="3"/>
    </row>
    <row r="619" spans="2:3" ht="13.2">
      <c r="B619" s="5"/>
      <c r="C619" s="3"/>
    </row>
    <row r="620" spans="2:3" ht="13.2">
      <c r="B620" s="5"/>
      <c r="C620" s="3"/>
    </row>
    <row r="621" spans="2:3" ht="13.2">
      <c r="B621" s="5"/>
      <c r="C621" s="3"/>
    </row>
    <row r="622" spans="2:3" ht="13.2">
      <c r="B622" s="5"/>
      <c r="C622" s="3"/>
    </row>
    <row r="623" spans="2:3" ht="13.2">
      <c r="B623" s="5"/>
      <c r="C623" s="3"/>
    </row>
    <row r="624" spans="2:3" ht="13.2">
      <c r="B624" s="5"/>
      <c r="C624" s="3"/>
    </row>
    <row r="625" spans="2:3" ht="13.2">
      <c r="B625" s="5"/>
      <c r="C625" s="3"/>
    </row>
    <row r="626" spans="2:3" ht="13.2">
      <c r="B626" s="5"/>
      <c r="C626" s="3"/>
    </row>
    <row r="627" spans="2:3" ht="13.2">
      <c r="B627" s="5"/>
      <c r="C627" s="3"/>
    </row>
    <row r="628" spans="2:3" ht="13.2">
      <c r="B628" s="5"/>
      <c r="C628" s="3"/>
    </row>
    <row r="629" spans="2:3" ht="13.2">
      <c r="B629" s="5"/>
      <c r="C629" s="3"/>
    </row>
    <row r="630" spans="2:3" ht="13.2">
      <c r="B630" s="5"/>
      <c r="C630" s="3"/>
    </row>
    <row r="631" spans="2:3" ht="13.2">
      <c r="B631" s="5"/>
      <c r="C631" s="3"/>
    </row>
    <row r="632" spans="2:3" ht="13.2">
      <c r="B632" s="5"/>
      <c r="C632" s="3"/>
    </row>
    <row r="633" spans="2:3" ht="13.2">
      <c r="B633" s="5"/>
      <c r="C633" s="3"/>
    </row>
    <row r="634" spans="2:3" ht="13.2">
      <c r="B634" s="5"/>
      <c r="C634" s="3"/>
    </row>
    <row r="635" spans="2:3" ht="13.2">
      <c r="B635" s="5"/>
      <c r="C635" s="3"/>
    </row>
    <row r="636" spans="2:3" ht="13.2">
      <c r="B636" s="5"/>
      <c r="C636" s="3"/>
    </row>
    <row r="637" spans="2:3" ht="13.2">
      <c r="B637" s="5"/>
      <c r="C637" s="3"/>
    </row>
    <row r="638" spans="2:3" ht="13.2">
      <c r="B638" s="5"/>
      <c r="C638" s="3"/>
    </row>
    <row r="639" spans="2:3" ht="13.2">
      <c r="B639" s="5"/>
      <c r="C639" s="3"/>
    </row>
    <row r="640" spans="2:3" ht="13.2">
      <c r="B640" s="5"/>
      <c r="C640" s="3"/>
    </row>
    <row r="641" spans="2:3" ht="13.2">
      <c r="B641" s="5"/>
      <c r="C641" s="3"/>
    </row>
    <row r="642" spans="2:3" ht="13.2">
      <c r="B642" s="5"/>
      <c r="C642" s="3"/>
    </row>
    <row r="643" spans="2:3" ht="13.2">
      <c r="B643" s="5"/>
      <c r="C643" s="3"/>
    </row>
    <row r="644" spans="2:3" ht="13.2">
      <c r="B644" s="5"/>
      <c r="C644" s="3"/>
    </row>
    <row r="645" spans="2:3" ht="13.2">
      <c r="B645" s="5"/>
      <c r="C645" s="3"/>
    </row>
    <row r="646" spans="2:3" ht="13.2">
      <c r="B646" s="5"/>
      <c r="C646" s="3"/>
    </row>
    <row r="647" spans="2:3" ht="13.2">
      <c r="B647" s="5"/>
      <c r="C647" s="3"/>
    </row>
    <row r="648" spans="2:3" ht="13.2">
      <c r="B648" s="5"/>
      <c r="C648" s="3"/>
    </row>
    <row r="649" spans="2:3" ht="13.2">
      <c r="B649" s="5"/>
      <c r="C649" s="3"/>
    </row>
    <row r="650" spans="2:3" ht="13.2">
      <c r="B650" s="5"/>
      <c r="C650" s="3"/>
    </row>
    <row r="651" spans="2:3" ht="13.2">
      <c r="B651" s="5"/>
      <c r="C651" s="3"/>
    </row>
    <row r="652" spans="2:3" ht="13.2">
      <c r="B652" s="5"/>
      <c r="C652" s="3"/>
    </row>
    <row r="653" spans="2:3" ht="13.2">
      <c r="B653" s="5"/>
      <c r="C653" s="3"/>
    </row>
    <row r="654" spans="2:3" ht="13.2">
      <c r="B654" s="5"/>
      <c r="C654" s="3"/>
    </row>
    <row r="655" spans="2:3" ht="13.2">
      <c r="B655" s="5"/>
      <c r="C655" s="3"/>
    </row>
    <row r="656" spans="2:3" ht="13.2">
      <c r="B656" s="5"/>
      <c r="C656" s="3"/>
    </row>
    <row r="657" spans="2:3" ht="13.2">
      <c r="B657" s="5"/>
      <c r="C657" s="3"/>
    </row>
    <row r="658" spans="2:3" ht="13.2">
      <c r="B658" s="5"/>
      <c r="C658" s="3"/>
    </row>
    <row r="659" spans="2:3" ht="13.2">
      <c r="B659" s="5"/>
      <c r="C659" s="3"/>
    </row>
    <row r="660" spans="2:3" ht="13.2">
      <c r="B660" s="5"/>
      <c r="C660" s="3"/>
    </row>
    <row r="661" spans="2:3" ht="13.2">
      <c r="B661" s="5"/>
      <c r="C661" s="3"/>
    </row>
    <row r="662" spans="2:3" ht="13.2">
      <c r="B662" s="5"/>
      <c r="C662" s="3"/>
    </row>
    <row r="663" spans="2:3" ht="13.2">
      <c r="B663" s="5"/>
      <c r="C663" s="3"/>
    </row>
    <row r="664" spans="2:3" ht="13.2">
      <c r="B664" s="5"/>
      <c r="C664" s="3"/>
    </row>
    <row r="665" spans="2:3" ht="13.2">
      <c r="B665" s="5"/>
      <c r="C665" s="3"/>
    </row>
    <row r="666" spans="2:3" ht="13.2">
      <c r="B666" s="5"/>
      <c r="C666" s="3"/>
    </row>
    <row r="667" spans="2:3" ht="13.2">
      <c r="B667" s="5"/>
      <c r="C667" s="3"/>
    </row>
    <row r="668" spans="2:3" ht="13.2">
      <c r="B668" s="5"/>
      <c r="C668" s="3"/>
    </row>
    <row r="669" spans="2:3" ht="13.2">
      <c r="B669" s="5"/>
      <c r="C669" s="3"/>
    </row>
    <row r="670" spans="2:3" ht="13.2">
      <c r="B670" s="5"/>
      <c r="C670" s="3"/>
    </row>
    <row r="671" spans="2:3" ht="13.2">
      <c r="B671" s="5"/>
      <c r="C671" s="3"/>
    </row>
    <row r="672" spans="2:3" ht="13.2">
      <c r="B672" s="5"/>
      <c r="C672" s="3"/>
    </row>
    <row r="673" spans="2:3" ht="13.2">
      <c r="B673" s="5"/>
      <c r="C673" s="3"/>
    </row>
    <row r="674" spans="2:3" ht="13.2">
      <c r="B674" s="5"/>
      <c r="C674" s="3"/>
    </row>
    <row r="675" spans="2:3" ht="13.2">
      <c r="B675" s="5"/>
      <c r="C675" s="3"/>
    </row>
    <row r="676" spans="2:3" ht="13.2">
      <c r="B676" s="5"/>
      <c r="C676" s="3"/>
    </row>
    <row r="677" spans="2:3" ht="13.2">
      <c r="B677" s="5"/>
      <c r="C677" s="3"/>
    </row>
    <row r="678" spans="2:3" ht="13.2">
      <c r="B678" s="5"/>
      <c r="C678" s="3"/>
    </row>
    <row r="679" spans="2:3" ht="13.2">
      <c r="B679" s="5"/>
      <c r="C679" s="3"/>
    </row>
    <row r="680" spans="2:3" ht="13.2">
      <c r="B680" s="5"/>
      <c r="C680" s="3"/>
    </row>
    <row r="681" spans="2:3" ht="13.2">
      <c r="B681" s="5"/>
      <c r="C681" s="3"/>
    </row>
    <row r="682" spans="2:3" ht="13.2">
      <c r="B682" s="5"/>
      <c r="C682" s="3"/>
    </row>
    <row r="683" spans="2:3" ht="13.2">
      <c r="B683" s="5"/>
      <c r="C683" s="3"/>
    </row>
    <row r="684" spans="2:3" ht="13.2">
      <c r="B684" s="5"/>
      <c r="C684" s="3"/>
    </row>
    <row r="685" spans="2:3" ht="13.2">
      <c r="B685" s="5"/>
      <c r="C685" s="3"/>
    </row>
    <row r="686" spans="2:3" ht="13.2">
      <c r="B686" s="5"/>
      <c r="C686" s="3"/>
    </row>
    <row r="687" spans="2:3" ht="13.2">
      <c r="B687" s="5"/>
      <c r="C687" s="3"/>
    </row>
    <row r="688" spans="2:3" ht="13.2">
      <c r="B688" s="5"/>
      <c r="C688" s="3"/>
    </row>
    <row r="689" spans="2:3" ht="13.2">
      <c r="B689" s="5"/>
      <c r="C689" s="3"/>
    </row>
    <row r="690" spans="2:3" ht="13.2">
      <c r="B690" s="5"/>
      <c r="C690" s="3"/>
    </row>
    <row r="691" spans="2:3" ht="13.2">
      <c r="B691" s="5"/>
      <c r="C691" s="3"/>
    </row>
    <row r="692" spans="2:3" ht="13.2">
      <c r="B692" s="5"/>
      <c r="C692" s="3"/>
    </row>
    <row r="693" spans="2:3" ht="13.2">
      <c r="B693" s="5"/>
      <c r="C693" s="3"/>
    </row>
    <row r="694" spans="2:3" ht="13.2">
      <c r="B694" s="5"/>
      <c r="C694" s="3"/>
    </row>
    <row r="695" spans="2:3" ht="13.2">
      <c r="B695" s="5"/>
      <c r="C695" s="3"/>
    </row>
    <row r="696" spans="2:3" ht="13.2">
      <c r="B696" s="5"/>
      <c r="C696" s="3"/>
    </row>
    <row r="697" spans="2:3" ht="13.2">
      <c r="B697" s="5"/>
      <c r="C697" s="3"/>
    </row>
    <row r="698" spans="2:3" ht="13.2">
      <c r="B698" s="5"/>
      <c r="C698" s="3"/>
    </row>
    <row r="699" spans="2:3" ht="13.2">
      <c r="B699" s="5"/>
      <c r="C699" s="3"/>
    </row>
    <row r="700" spans="2:3" ht="13.2">
      <c r="B700" s="5"/>
      <c r="C700" s="3"/>
    </row>
    <row r="701" spans="2:3" ht="13.2">
      <c r="B701" s="5"/>
      <c r="C701" s="3"/>
    </row>
    <row r="702" spans="2:3" ht="13.2">
      <c r="B702" s="5"/>
      <c r="C702" s="3"/>
    </row>
    <row r="703" spans="2:3" ht="13.2">
      <c r="B703" s="5"/>
      <c r="C703" s="3"/>
    </row>
    <row r="704" spans="2:3" ht="13.2">
      <c r="B704" s="5"/>
      <c r="C704" s="3"/>
    </row>
    <row r="705" spans="2:3" ht="13.2">
      <c r="B705" s="5"/>
      <c r="C705" s="3"/>
    </row>
    <row r="706" spans="2:3" ht="13.2">
      <c r="B706" s="5"/>
      <c r="C706" s="3"/>
    </row>
    <row r="707" spans="2:3" ht="13.2">
      <c r="B707" s="5"/>
      <c r="C707" s="3"/>
    </row>
    <row r="708" spans="2:3" ht="13.2">
      <c r="B708" s="5"/>
      <c r="C708" s="3"/>
    </row>
    <row r="709" spans="2:3" ht="13.2">
      <c r="B709" s="5"/>
      <c r="C709" s="3"/>
    </row>
    <row r="710" spans="2:3" ht="13.2">
      <c r="B710" s="5"/>
      <c r="C710" s="3"/>
    </row>
    <row r="711" spans="2:3" ht="13.2">
      <c r="B711" s="5"/>
      <c r="C711" s="3"/>
    </row>
    <row r="712" spans="2:3" ht="13.2">
      <c r="B712" s="5"/>
      <c r="C712" s="3"/>
    </row>
    <row r="713" spans="2:3" ht="13.2">
      <c r="B713" s="5"/>
      <c r="C713" s="3"/>
    </row>
    <row r="714" spans="2:3" ht="13.2">
      <c r="B714" s="5"/>
      <c r="C714" s="3"/>
    </row>
    <row r="715" spans="2:3" ht="13.2">
      <c r="B715" s="5"/>
      <c r="C715" s="3"/>
    </row>
    <row r="716" spans="2:3" ht="13.2">
      <c r="B716" s="5"/>
      <c r="C716" s="3"/>
    </row>
    <row r="717" spans="2:3" ht="13.2">
      <c r="B717" s="5"/>
      <c r="C717" s="3"/>
    </row>
    <row r="718" spans="2:3" ht="13.2">
      <c r="B718" s="5"/>
      <c r="C718" s="3"/>
    </row>
    <row r="719" spans="2:3" ht="13.2">
      <c r="B719" s="5"/>
      <c r="C719" s="3"/>
    </row>
    <row r="720" spans="2:3" ht="13.2">
      <c r="B720" s="5"/>
      <c r="C720" s="3"/>
    </row>
    <row r="721" spans="2:3" ht="13.2">
      <c r="B721" s="5"/>
      <c r="C721" s="3"/>
    </row>
    <row r="722" spans="2:3" ht="13.2">
      <c r="B722" s="5"/>
      <c r="C722" s="3"/>
    </row>
    <row r="723" spans="2:3" ht="13.2">
      <c r="B723" s="5"/>
      <c r="C723" s="3"/>
    </row>
    <row r="724" spans="2:3" ht="13.2">
      <c r="B724" s="5"/>
      <c r="C724" s="3"/>
    </row>
    <row r="725" spans="2:3" ht="13.2">
      <c r="B725" s="5"/>
      <c r="C725" s="3"/>
    </row>
    <row r="726" spans="2:3" ht="13.2">
      <c r="B726" s="5"/>
      <c r="C726" s="3"/>
    </row>
    <row r="727" spans="2:3" ht="13.2">
      <c r="B727" s="5"/>
      <c r="C727" s="3"/>
    </row>
    <row r="728" spans="2:3" ht="13.2">
      <c r="B728" s="5"/>
      <c r="C728" s="3"/>
    </row>
    <row r="729" spans="2:3" ht="13.2">
      <c r="B729" s="5"/>
      <c r="C729" s="3"/>
    </row>
    <row r="730" spans="2:3" ht="13.2">
      <c r="B730" s="5"/>
      <c r="C730" s="3"/>
    </row>
    <row r="731" spans="2:3" ht="13.2">
      <c r="B731" s="5"/>
      <c r="C731" s="3"/>
    </row>
    <row r="732" spans="2:3" ht="13.2">
      <c r="B732" s="5"/>
      <c r="C732" s="3"/>
    </row>
    <row r="733" spans="2:3" ht="13.2">
      <c r="B733" s="5"/>
      <c r="C733" s="3"/>
    </row>
    <row r="734" spans="2:3" ht="13.2">
      <c r="B734" s="5"/>
      <c r="C734" s="3"/>
    </row>
    <row r="735" spans="2:3" ht="13.2">
      <c r="B735" s="5"/>
      <c r="C735" s="3"/>
    </row>
    <row r="736" spans="2:3" ht="13.2">
      <c r="B736" s="5"/>
      <c r="C736" s="3"/>
    </row>
    <row r="737" spans="2:3" ht="13.2">
      <c r="B737" s="5"/>
      <c r="C737" s="3"/>
    </row>
    <row r="738" spans="2:3" ht="13.2">
      <c r="B738" s="5"/>
      <c r="C738" s="3"/>
    </row>
    <row r="739" spans="2:3" ht="13.2">
      <c r="B739" s="5"/>
      <c r="C739" s="3"/>
    </row>
    <row r="740" spans="2:3" ht="13.2">
      <c r="B740" s="5"/>
      <c r="C740" s="3"/>
    </row>
    <row r="741" spans="2:3" ht="13.2">
      <c r="B741" s="5"/>
      <c r="C741" s="3"/>
    </row>
    <row r="742" spans="2:3" ht="13.2">
      <c r="B742" s="5"/>
      <c r="C742" s="3"/>
    </row>
    <row r="743" spans="2:3" ht="13.2">
      <c r="B743" s="5"/>
      <c r="C743" s="3"/>
    </row>
    <row r="744" spans="2:3" ht="13.2">
      <c r="B744" s="5"/>
      <c r="C744" s="3"/>
    </row>
    <row r="745" spans="2:3" ht="13.2">
      <c r="B745" s="5"/>
      <c r="C745" s="3"/>
    </row>
    <row r="746" spans="2:3" ht="13.2">
      <c r="B746" s="5"/>
      <c r="C746" s="3"/>
    </row>
    <row r="747" spans="2:3" ht="13.2">
      <c r="B747" s="5"/>
      <c r="C747" s="3"/>
    </row>
    <row r="748" spans="2:3" ht="13.2">
      <c r="B748" s="5"/>
      <c r="C748" s="3"/>
    </row>
    <row r="749" spans="2:3" ht="13.2">
      <c r="B749" s="5"/>
      <c r="C749" s="3"/>
    </row>
    <row r="750" spans="2:3" ht="13.2">
      <c r="B750" s="5"/>
      <c r="C750" s="3"/>
    </row>
    <row r="751" spans="2:3" ht="13.2">
      <c r="B751" s="5"/>
      <c r="C751" s="3"/>
    </row>
    <row r="752" spans="2:3" ht="13.2">
      <c r="B752" s="5"/>
      <c r="C752" s="3"/>
    </row>
    <row r="753" spans="2:3" ht="13.2">
      <c r="B753" s="5"/>
      <c r="C753" s="3"/>
    </row>
    <row r="754" spans="2:3" ht="13.2">
      <c r="B754" s="5"/>
      <c r="C754" s="3"/>
    </row>
    <row r="755" spans="2:3" ht="13.2">
      <c r="B755" s="5"/>
      <c r="C755" s="3"/>
    </row>
    <row r="756" spans="2:3" ht="13.2">
      <c r="B756" s="5"/>
      <c r="C756" s="3"/>
    </row>
    <row r="757" spans="2:3" ht="13.2">
      <c r="B757" s="5"/>
      <c r="C757" s="3"/>
    </row>
    <row r="758" spans="2:3" ht="13.2">
      <c r="B758" s="5"/>
      <c r="C758" s="3"/>
    </row>
    <row r="759" spans="2:3" ht="13.2">
      <c r="B759" s="5"/>
      <c r="C759" s="3"/>
    </row>
    <row r="760" spans="2:3" ht="13.2">
      <c r="B760" s="5"/>
      <c r="C760" s="3"/>
    </row>
    <row r="761" spans="2:3" ht="13.2">
      <c r="B761" s="5"/>
      <c r="C761" s="3"/>
    </row>
    <row r="762" spans="2:3" ht="13.2">
      <c r="B762" s="5"/>
      <c r="C762" s="3"/>
    </row>
    <row r="763" spans="2:3" ht="13.2">
      <c r="B763" s="5"/>
      <c r="C763" s="3"/>
    </row>
    <row r="764" spans="2:3" ht="13.2">
      <c r="B764" s="5"/>
      <c r="C764" s="3"/>
    </row>
    <row r="765" spans="2:3" ht="13.2">
      <c r="B765" s="5"/>
      <c r="C765" s="3"/>
    </row>
    <row r="766" spans="2:3" ht="13.2">
      <c r="B766" s="5"/>
      <c r="C766" s="3"/>
    </row>
    <row r="767" spans="2:3" ht="13.2">
      <c r="B767" s="5"/>
      <c r="C767" s="3"/>
    </row>
    <row r="768" spans="2:3" ht="13.2">
      <c r="B768" s="5"/>
      <c r="C768" s="3"/>
    </row>
    <row r="769" spans="2:3" ht="13.2">
      <c r="B769" s="5"/>
      <c r="C769" s="3"/>
    </row>
    <row r="770" spans="2:3" ht="13.2">
      <c r="B770" s="5"/>
      <c r="C770" s="3"/>
    </row>
    <row r="771" spans="2:3" ht="13.2">
      <c r="B771" s="5"/>
      <c r="C771" s="3"/>
    </row>
    <row r="772" spans="2:3" ht="13.2">
      <c r="B772" s="5"/>
      <c r="C772" s="3"/>
    </row>
    <row r="773" spans="2:3" ht="13.2">
      <c r="B773" s="5"/>
      <c r="C773" s="3"/>
    </row>
    <row r="774" spans="2:3" ht="13.2">
      <c r="B774" s="5"/>
      <c r="C774" s="3"/>
    </row>
    <row r="775" spans="2:3" ht="13.2">
      <c r="B775" s="5"/>
      <c r="C775" s="3"/>
    </row>
    <row r="776" spans="2:3" ht="13.2">
      <c r="B776" s="5"/>
      <c r="C776" s="3"/>
    </row>
    <row r="777" spans="2:3" ht="13.2">
      <c r="B777" s="5"/>
      <c r="C777" s="3"/>
    </row>
    <row r="778" spans="2:3" ht="13.2">
      <c r="B778" s="5"/>
      <c r="C778" s="3"/>
    </row>
    <row r="779" spans="2:3" ht="13.2">
      <c r="B779" s="5"/>
      <c r="C779" s="3"/>
    </row>
    <row r="780" spans="2:3" ht="13.2">
      <c r="B780" s="5"/>
      <c r="C780" s="3"/>
    </row>
    <row r="781" spans="2:3" ht="13.2">
      <c r="B781" s="5"/>
      <c r="C781" s="3"/>
    </row>
    <row r="782" spans="2:3" ht="13.2">
      <c r="B782" s="5"/>
      <c r="C782" s="3"/>
    </row>
    <row r="783" spans="2:3" ht="13.2">
      <c r="B783" s="5"/>
      <c r="C783" s="3"/>
    </row>
    <row r="784" spans="2:3" ht="13.2">
      <c r="B784" s="5"/>
      <c r="C784" s="3"/>
    </row>
    <row r="785" spans="2:3" ht="13.2">
      <c r="B785" s="5"/>
      <c r="C785" s="3"/>
    </row>
    <row r="786" spans="2:3" ht="13.2">
      <c r="B786" s="5"/>
      <c r="C786" s="3"/>
    </row>
    <row r="787" spans="2:3" ht="13.2">
      <c r="B787" s="5"/>
      <c r="C787" s="3"/>
    </row>
    <row r="788" spans="2:3" ht="13.2">
      <c r="B788" s="5"/>
      <c r="C788" s="3"/>
    </row>
    <row r="789" spans="2:3" ht="13.2">
      <c r="B789" s="5"/>
      <c r="C789" s="3"/>
    </row>
    <row r="790" spans="2:3" ht="13.2">
      <c r="B790" s="5"/>
      <c r="C790" s="3"/>
    </row>
    <row r="791" spans="2:3" ht="13.2">
      <c r="B791" s="5"/>
      <c r="C791" s="3"/>
    </row>
    <row r="792" spans="2:3" ht="13.2">
      <c r="B792" s="5"/>
      <c r="C792" s="3"/>
    </row>
    <row r="793" spans="2:3" ht="13.2">
      <c r="B793" s="5"/>
      <c r="C793" s="3"/>
    </row>
    <row r="794" spans="2:3" ht="13.2">
      <c r="B794" s="5"/>
      <c r="C794" s="3"/>
    </row>
    <row r="795" spans="2:3" ht="13.2">
      <c r="B795" s="5"/>
      <c r="C795" s="3"/>
    </row>
    <row r="796" spans="2:3" ht="13.2">
      <c r="B796" s="5"/>
      <c r="C796" s="3"/>
    </row>
    <row r="797" spans="2:3" ht="13.2">
      <c r="B797" s="5"/>
      <c r="C797" s="3"/>
    </row>
    <row r="798" spans="2:3" ht="13.2">
      <c r="B798" s="5"/>
      <c r="C798" s="3"/>
    </row>
    <row r="799" spans="2:3" ht="13.2">
      <c r="B799" s="5"/>
      <c r="C799" s="3"/>
    </row>
    <row r="800" spans="2:3" ht="13.2">
      <c r="B800" s="5"/>
      <c r="C800" s="3"/>
    </row>
    <row r="801" spans="2:3" ht="13.2">
      <c r="B801" s="5"/>
      <c r="C801" s="3"/>
    </row>
    <row r="802" spans="2:3" ht="13.2">
      <c r="B802" s="5"/>
      <c r="C802" s="3"/>
    </row>
    <row r="803" spans="2:3" ht="13.2">
      <c r="B803" s="5"/>
      <c r="C803" s="3"/>
    </row>
    <row r="804" spans="2:3" ht="13.2">
      <c r="B804" s="5"/>
      <c r="C804" s="3"/>
    </row>
    <row r="805" spans="2:3" ht="13.2">
      <c r="B805" s="5"/>
      <c r="C805" s="3"/>
    </row>
    <row r="806" spans="2:3" ht="13.2">
      <c r="B806" s="5"/>
      <c r="C806" s="3"/>
    </row>
    <row r="807" spans="2:3" ht="13.2">
      <c r="B807" s="5"/>
      <c r="C807" s="3"/>
    </row>
    <row r="808" spans="2:3" ht="13.2">
      <c r="B808" s="5"/>
      <c r="C808" s="3"/>
    </row>
    <row r="809" spans="2:3" ht="13.2">
      <c r="B809" s="5"/>
      <c r="C809" s="3"/>
    </row>
    <row r="810" spans="2:3" ht="13.2">
      <c r="B810" s="5"/>
      <c r="C810" s="3"/>
    </row>
    <row r="811" spans="2:3" ht="13.2">
      <c r="B811" s="5"/>
      <c r="C811" s="3"/>
    </row>
    <row r="812" spans="2:3" ht="13.2">
      <c r="B812" s="5"/>
      <c r="C812" s="3"/>
    </row>
    <row r="813" spans="2:3" ht="13.2">
      <c r="B813" s="5"/>
      <c r="C813" s="3"/>
    </row>
    <row r="814" spans="2:3" ht="13.2">
      <c r="B814" s="5"/>
      <c r="C814" s="3"/>
    </row>
    <row r="815" spans="2:3" ht="13.2">
      <c r="B815" s="5"/>
      <c r="C815" s="3"/>
    </row>
    <row r="816" spans="2:3" ht="13.2">
      <c r="B816" s="5"/>
      <c r="C816" s="3"/>
    </row>
    <row r="817" spans="2:3" ht="13.2">
      <c r="B817" s="5"/>
      <c r="C817" s="3"/>
    </row>
    <row r="818" spans="2:3" ht="13.2">
      <c r="B818" s="5"/>
      <c r="C818" s="3"/>
    </row>
    <row r="819" spans="2:3" ht="13.2">
      <c r="B819" s="5"/>
      <c r="C819" s="3"/>
    </row>
    <row r="820" spans="2:3" ht="13.2">
      <c r="B820" s="5"/>
      <c r="C820" s="3"/>
    </row>
    <row r="821" spans="2:3" ht="13.2">
      <c r="B821" s="5"/>
      <c r="C821" s="3"/>
    </row>
    <row r="822" spans="2:3" ht="13.2">
      <c r="B822" s="5"/>
      <c r="C822" s="3"/>
    </row>
    <row r="823" spans="2:3" ht="13.2">
      <c r="B823" s="5"/>
      <c r="C823" s="3"/>
    </row>
    <row r="824" spans="2:3" ht="13.2">
      <c r="B824" s="5"/>
      <c r="C824" s="3"/>
    </row>
    <row r="825" spans="2:3" ht="13.2">
      <c r="B825" s="5"/>
      <c r="C825" s="3"/>
    </row>
    <row r="826" spans="2:3" ht="13.2">
      <c r="B826" s="5"/>
      <c r="C826" s="3"/>
    </row>
    <row r="827" spans="2:3" ht="13.2">
      <c r="B827" s="5"/>
      <c r="C827" s="3"/>
    </row>
    <row r="828" spans="2:3" ht="13.2">
      <c r="B828" s="5"/>
      <c r="C828" s="3"/>
    </row>
    <row r="829" spans="2:3" ht="13.2">
      <c r="B829" s="5"/>
      <c r="C829" s="3"/>
    </row>
    <row r="830" spans="2:3" ht="13.2">
      <c r="B830" s="5"/>
      <c r="C830" s="3"/>
    </row>
    <row r="831" spans="2:3" ht="13.2">
      <c r="B831" s="5"/>
      <c r="C831" s="3"/>
    </row>
    <row r="832" spans="2:3" ht="13.2">
      <c r="B832" s="5"/>
      <c r="C832" s="3"/>
    </row>
    <row r="833" spans="2:3" ht="13.2">
      <c r="B833" s="5"/>
      <c r="C833" s="3"/>
    </row>
    <row r="834" spans="2:3" ht="13.2">
      <c r="B834" s="5"/>
      <c r="C834" s="3"/>
    </row>
    <row r="835" spans="2:3" ht="13.2">
      <c r="B835" s="5"/>
      <c r="C835" s="3"/>
    </row>
    <row r="836" spans="2:3" ht="13.2">
      <c r="B836" s="5"/>
      <c r="C836" s="3"/>
    </row>
    <row r="837" spans="2:3" ht="13.2">
      <c r="B837" s="5"/>
      <c r="C837" s="3"/>
    </row>
    <row r="838" spans="2:3" ht="13.2">
      <c r="B838" s="5"/>
      <c r="C838" s="3"/>
    </row>
    <row r="839" spans="2:3" ht="13.2">
      <c r="B839" s="5"/>
      <c r="C839" s="3"/>
    </row>
    <row r="840" spans="2:3" ht="13.2">
      <c r="B840" s="5"/>
      <c r="C840" s="3"/>
    </row>
    <row r="841" spans="2:3" ht="13.2">
      <c r="B841" s="5"/>
      <c r="C841" s="3"/>
    </row>
    <row r="842" spans="2:3" ht="13.2">
      <c r="B842" s="5"/>
      <c r="C842" s="3"/>
    </row>
    <row r="843" spans="2:3" ht="13.2">
      <c r="B843" s="5"/>
      <c r="C843" s="3"/>
    </row>
    <row r="844" spans="2:3" ht="13.2">
      <c r="B844" s="5"/>
      <c r="C844" s="3"/>
    </row>
    <row r="845" spans="2:3" ht="13.2">
      <c r="B845" s="5"/>
      <c r="C845" s="3"/>
    </row>
    <row r="846" spans="2:3" ht="13.2">
      <c r="B846" s="5"/>
      <c r="C846" s="3"/>
    </row>
    <row r="847" spans="2:3" ht="13.2">
      <c r="B847" s="5"/>
      <c r="C847" s="3"/>
    </row>
    <row r="848" spans="2:3" ht="13.2">
      <c r="B848" s="5"/>
      <c r="C848" s="3"/>
    </row>
    <row r="849" spans="2:3" ht="13.2">
      <c r="B849" s="5"/>
      <c r="C849" s="3"/>
    </row>
    <row r="850" spans="2:3" ht="13.2">
      <c r="B850" s="5"/>
      <c r="C850" s="3"/>
    </row>
    <row r="851" spans="2:3" ht="13.2">
      <c r="B851" s="5"/>
      <c r="C851" s="3"/>
    </row>
    <row r="852" spans="2:3" ht="13.2">
      <c r="B852" s="5"/>
      <c r="C852" s="3"/>
    </row>
    <row r="853" spans="2:3" ht="13.2">
      <c r="B853" s="5"/>
      <c r="C853" s="3"/>
    </row>
    <row r="854" spans="2:3" ht="13.2">
      <c r="B854" s="5"/>
      <c r="C854" s="3"/>
    </row>
    <row r="855" spans="2:3" ht="13.2">
      <c r="B855" s="5"/>
      <c r="C855" s="3"/>
    </row>
    <row r="856" spans="2:3" ht="13.2">
      <c r="B856" s="5"/>
      <c r="C856" s="3"/>
    </row>
    <row r="857" spans="2:3" ht="13.2">
      <c r="B857" s="5"/>
      <c r="C857" s="3"/>
    </row>
    <row r="858" spans="2:3" ht="13.2">
      <c r="B858" s="5"/>
      <c r="C858" s="3"/>
    </row>
    <row r="859" spans="2:3" ht="13.2">
      <c r="B859" s="5"/>
      <c r="C859" s="3"/>
    </row>
    <row r="860" spans="2:3" ht="13.2">
      <c r="B860" s="5"/>
      <c r="C860" s="3"/>
    </row>
    <row r="861" spans="2:3" ht="13.2">
      <c r="B861" s="5"/>
      <c r="C861" s="3"/>
    </row>
    <row r="862" spans="2:3" ht="13.2">
      <c r="B862" s="5"/>
      <c r="C862" s="3"/>
    </row>
    <row r="863" spans="2:3" ht="13.2">
      <c r="B863" s="5"/>
      <c r="C863" s="3"/>
    </row>
    <row r="864" spans="2:3" ht="13.2">
      <c r="B864" s="5"/>
      <c r="C864" s="3"/>
    </row>
    <row r="865" spans="2:3" ht="13.2">
      <c r="B865" s="5"/>
      <c r="C865" s="3"/>
    </row>
    <row r="866" spans="2:3" ht="13.2">
      <c r="B866" s="5"/>
      <c r="C866" s="3"/>
    </row>
    <row r="867" spans="2:3" ht="13.2">
      <c r="B867" s="5"/>
      <c r="C867" s="3"/>
    </row>
    <row r="868" spans="2:3" ht="13.2">
      <c r="B868" s="5"/>
      <c r="C868" s="3"/>
    </row>
    <row r="869" spans="2:3" ht="13.2">
      <c r="B869" s="5"/>
      <c r="C869" s="3"/>
    </row>
    <row r="870" spans="2:3" ht="13.2">
      <c r="B870" s="5"/>
      <c r="C870" s="3"/>
    </row>
    <row r="871" spans="2:3" ht="13.2">
      <c r="B871" s="5"/>
      <c r="C871" s="3"/>
    </row>
    <row r="872" spans="2:3" ht="13.2">
      <c r="B872" s="5"/>
      <c r="C872" s="3"/>
    </row>
    <row r="873" spans="2:3" ht="13.2">
      <c r="B873" s="5"/>
      <c r="C873" s="3"/>
    </row>
    <row r="874" spans="2:3" ht="13.2">
      <c r="B874" s="5"/>
      <c r="C874" s="3"/>
    </row>
    <row r="875" spans="2:3" ht="13.2">
      <c r="B875" s="5"/>
      <c r="C875" s="3"/>
    </row>
    <row r="876" spans="2:3" ht="13.2">
      <c r="B876" s="5"/>
      <c r="C876" s="3"/>
    </row>
    <row r="877" spans="2:3" ht="13.2">
      <c r="B877" s="5"/>
      <c r="C877" s="3"/>
    </row>
    <row r="878" spans="2:3" ht="13.2">
      <c r="B878" s="5"/>
      <c r="C878" s="3"/>
    </row>
    <row r="879" spans="2:3" ht="13.2">
      <c r="B879" s="5"/>
      <c r="C879" s="3"/>
    </row>
    <row r="880" spans="2:3" ht="13.2">
      <c r="B880" s="5"/>
      <c r="C880" s="3"/>
    </row>
    <row r="881" spans="2:3" ht="13.2">
      <c r="B881" s="5"/>
      <c r="C881" s="3"/>
    </row>
    <row r="882" spans="2:3" ht="13.2">
      <c r="B882" s="5"/>
      <c r="C882" s="3"/>
    </row>
    <row r="883" spans="2:3" ht="13.2">
      <c r="B883" s="5"/>
      <c r="C883" s="3"/>
    </row>
    <row r="884" spans="2:3" ht="13.2">
      <c r="B884" s="5"/>
      <c r="C884" s="3"/>
    </row>
    <row r="885" spans="2:3" ht="13.2">
      <c r="B885" s="5"/>
      <c r="C885" s="3"/>
    </row>
    <row r="886" spans="2:3" ht="13.2">
      <c r="B886" s="5"/>
      <c r="C886" s="3"/>
    </row>
    <row r="887" spans="2:3" ht="13.2">
      <c r="B887" s="5"/>
      <c r="C887" s="3"/>
    </row>
    <row r="888" spans="2:3" ht="13.2">
      <c r="B888" s="5"/>
      <c r="C888" s="3"/>
    </row>
    <row r="889" spans="2:3" ht="13.2">
      <c r="B889" s="5"/>
      <c r="C889" s="3"/>
    </row>
    <row r="890" spans="2:3" ht="13.2">
      <c r="B890" s="5"/>
      <c r="C890" s="3"/>
    </row>
    <row r="891" spans="2:3" ht="13.2">
      <c r="B891" s="5"/>
      <c r="C891" s="3"/>
    </row>
    <row r="892" spans="2:3" ht="13.2">
      <c r="B892" s="5"/>
      <c r="C892" s="3"/>
    </row>
    <row r="893" spans="2:3" ht="13.2">
      <c r="B893" s="5"/>
      <c r="C893" s="3"/>
    </row>
    <row r="894" spans="2:3" ht="13.2">
      <c r="B894" s="5"/>
      <c r="C894" s="3"/>
    </row>
    <row r="895" spans="2:3" ht="13.2">
      <c r="B895" s="5"/>
      <c r="C895" s="3"/>
    </row>
    <row r="896" spans="2:3" ht="13.2">
      <c r="B896" s="5"/>
      <c r="C896" s="3"/>
    </row>
    <row r="897" spans="2:3" ht="13.2">
      <c r="B897" s="5"/>
      <c r="C897" s="3"/>
    </row>
    <row r="898" spans="2:3" ht="13.2">
      <c r="B898" s="5"/>
      <c r="C898" s="3"/>
    </row>
    <row r="899" spans="2:3" ht="13.2">
      <c r="B899" s="5"/>
      <c r="C899" s="3"/>
    </row>
    <row r="900" spans="2:3" ht="13.2">
      <c r="B900" s="5"/>
      <c r="C900" s="3"/>
    </row>
    <row r="901" spans="2:3" ht="13.2">
      <c r="B901" s="5"/>
      <c r="C901" s="3"/>
    </row>
    <row r="902" spans="2:3" ht="13.2">
      <c r="B902" s="5"/>
      <c r="C902" s="3"/>
    </row>
    <row r="903" spans="2:3" ht="13.2">
      <c r="B903" s="5"/>
      <c r="C903" s="3"/>
    </row>
    <row r="904" spans="2:3" ht="13.2">
      <c r="B904" s="5"/>
      <c r="C904" s="3"/>
    </row>
    <row r="905" spans="2:3" ht="13.2">
      <c r="B905" s="5"/>
      <c r="C905" s="3"/>
    </row>
    <row r="906" spans="2:3" ht="13.2">
      <c r="B906" s="5"/>
      <c r="C906" s="3"/>
    </row>
    <row r="907" spans="2:3" ht="13.2">
      <c r="B907" s="5"/>
      <c r="C907" s="3"/>
    </row>
    <row r="908" spans="2:3" ht="13.2">
      <c r="B908" s="5"/>
      <c r="C908" s="3"/>
    </row>
    <row r="909" spans="2:3" ht="13.2">
      <c r="B909" s="5"/>
      <c r="C909" s="3"/>
    </row>
    <row r="910" spans="2:3" ht="13.2">
      <c r="B910" s="5"/>
      <c r="C910" s="3"/>
    </row>
    <row r="911" spans="2:3" ht="13.2">
      <c r="B911" s="5"/>
      <c r="C911" s="3"/>
    </row>
    <row r="912" spans="2:3" ht="13.2">
      <c r="B912" s="5"/>
      <c r="C912" s="3"/>
    </row>
    <row r="913" spans="2:3" ht="13.2">
      <c r="B913" s="5"/>
      <c r="C913" s="3"/>
    </row>
    <row r="914" spans="2:3" ht="13.2">
      <c r="B914" s="5"/>
      <c r="C914" s="3"/>
    </row>
    <row r="915" spans="2:3" ht="13.2">
      <c r="B915" s="5"/>
      <c r="C915" s="3"/>
    </row>
    <row r="916" spans="2:3" ht="13.2">
      <c r="B916" s="5"/>
      <c r="C916" s="3"/>
    </row>
    <row r="917" spans="2:3" ht="13.2">
      <c r="B917" s="5"/>
      <c r="C917" s="3"/>
    </row>
    <row r="918" spans="2:3" ht="13.2">
      <c r="B918" s="5"/>
      <c r="C918" s="3"/>
    </row>
    <row r="919" spans="2:3" ht="13.2">
      <c r="B919" s="5"/>
      <c r="C919" s="3"/>
    </row>
    <row r="920" spans="2:3" ht="13.2">
      <c r="B920" s="5"/>
      <c r="C920" s="3"/>
    </row>
    <row r="921" spans="2:3" ht="13.2">
      <c r="B921" s="5"/>
      <c r="C921" s="3"/>
    </row>
    <row r="922" spans="2:3" ht="13.2">
      <c r="B922" s="5"/>
      <c r="C922" s="3"/>
    </row>
    <row r="923" spans="2:3" ht="13.2">
      <c r="B923" s="5"/>
      <c r="C923" s="3"/>
    </row>
    <row r="924" spans="2:3" ht="13.2">
      <c r="B924" s="5"/>
      <c r="C924" s="3"/>
    </row>
    <row r="925" spans="2:3" ht="13.2">
      <c r="B925" s="5"/>
      <c r="C925" s="3"/>
    </row>
    <row r="926" spans="2:3" ht="13.2">
      <c r="B926" s="5"/>
      <c r="C926" s="3"/>
    </row>
    <row r="927" spans="2:3" ht="13.2">
      <c r="B927" s="5"/>
      <c r="C927" s="3"/>
    </row>
    <row r="928" spans="2:3" ht="13.2">
      <c r="B928" s="5"/>
      <c r="C928" s="3"/>
    </row>
    <row r="929" spans="2:3" ht="13.2">
      <c r="B929" s="5"/>
      <c r="C929" s="3"/>
    </row>
    <row r="930" spans="2:3" ht="13.2">
      <c r="B930" s="5"/>
      <c r="C930" s="3"/>
    </row>
    <row r="931" spans="2:3" ht="13.2">
      <c r="B931" s="5"/>
      <c r="C931" s="3"/>
    </row>
    <row r="932" spans="2:3" ht="13.2">
      <c r="B932" s="5"/>
      <c r="C932" s="3"/>
    </row>
    <row r="933" spans="2:3" ht="13.2">
      <c r="B933" s="5"/>
      <c r="C933" s="3"/>
    </row>
    <row r="934" spans="2:3" ht="13.2">
      <c r="B934" s="5"/>
      <c r="C934" s="3"/>
    </row>
    <row r="935" spans="2:3" ht="13.2">
      <c r="B935" s="5"/>
      <c r="C935" s="3"/>
    </row>
    <row r="936" spans="2:3" ht="13.2">
      <c r="B936" s="5"/>
      <c r="C936" s="3"/>
    </row>
    <row r="937" spans="2:3" ht="13.2">
      <c r="B937" s="5"/>
      <c r="C937" s="3"/>
    </row>
    <row r="938" spans="2:3" ht="13.2">
      <c r="B938" s="5"/>
      <c r="C938" s="3"/>
    </row>
    <row r="939" spans="2:3" ht="13.2">
      <c r="B939" s="5"/>
      <c r="C939" s="3"/>
    </row>
    <row r="940" spans="2:3" ht="13.2">
      <c r="B940" s="5"/>
      <c r="C940" s="3"/>
    </row>
    <row r="941" spans="2:3" ht="13.2">
      <c r="B941" s="5"/>
      <c r="C941" s="3"/>
    </row>
    <row r="942" spans="2:3" ht="13.2">
      <c r="B942" s="5"/>
      <c r="C942" s="3"/>
    </row>
    <row r="943" spans="2:3" ht="13.2">
      <c r="B943" s="5"/>
      <c r="C943" s="3"/>
    </row>
    <row r="944" spans="2:3" ht="13.2">
      <c r="B944" s="5"/>
      <c r="C944" s="3"/>
    </row>
    <row r="945" spans="2:3" ht="13.2">
      <c r="B945" s="5"/>
      <c r="C945" s="3"/>
    </row>
    <row r="946" spans="2:3" ht="13.2">
      <c r="B946" s="5"/>
      <c r="C946" s="3"/>
    </row>
    <row r="947" spans="2:3" ht="13.2">
      <c r="B947" s="5"/>
      <c r="C947" s="3"/>
    </row>
    <row r="948" spans="2:3" ht="13.2">
      <c r="B948" s="5"/>
      <c r="C948" s="3"/>
    </row>
    <row r="949" spans="2:3" ht="13.2">
      <c r="B949" s="5"/>
      <c r="C949" s="3"/>
    </row>
    <row r="950" spans="2:3" ht="13.2">
      <c r="B950" s="5"/>
      <c r="C950" s="3"/>
    </row>
    <row r="951" spans="2:3" ht="13.2">
      <c r="B951" s="5"/>
      <c r="C951" s="3"/>
    </row>
    <row r="952" spans="2:3" ht="13.2">
      <c r="B952" s="5"/>
      <c r="C952" s="3"/>
    </row>
    <row r="953" spans="2:3" ht="13.2">
      <c r="B953" s="5"/>
      <c r="C953" s="3"/>
    </row>
    <row r="954" spans="2:3" ht="13.2">
      <c r="B954" s="5"/>
      <c r="C954" s="3"/>
    </row>
    <row r="955" spans="2:3" ht="13.2">
      <c r="B955" s="5"/>
      <c r="C955" s="3"/>
    </row>
    <row r="956" spans="2:3" ht="13.2">
      <c r="B956" s="5"/>
      <c r="C956" s="3"/>
    </row>
    <row r="957" spans="2:3" ht="13.2">
      <c r="B957" s="5"/>
      <c r="C957" s="3"/>
    </row>
    <row r="958" spans="2:3" ht="13.2">
      <c r="B958" s="5"/>
      <c r="C958" s="3"/>
    </row>
    <row r="959" spans="2:3" ht="13.2">
      <c r="B959" s="5"/>
      <c r="C959" s="3"/>
    </row>
    <row r="960" spans="2:3" ht="13.2">
      <c r="B960" s="5"/>
      <c r="C960" s="3"/>
    </row>
    <row r="961" spans="2:3" ht="13.2">
      <c r="B961" s="5"/>
      <c r="C961" s="3"/>
    </row>
    <row r="962" spans="2:3" ht="13.2">
      <c r="B962" s="5"/>
      <c r="C962" s="3"/>
    </row>
    <row r="963" spans="2:3" ht="13.2">
      <c r="B963" s="5"/>
      <c r="C963" s="3"/>
    </row>
    <row r="964" spans="2:3" ht="13.2">
      <c r="B964" s="5"/>
      <c r="C964" s="3"/>
    </row>
    <row r="965" spans="2:3" ht="13.2">
      <c r="B965" s="5"/>
      <c r="C965" s="3"/>
    </row>
    <row r="966" spans="2:3" ht="13.2">
      <c r="B966" s="5"/>
      <c r="C966" s="3"/>
    </row>
    <row r="967" spans="2:3" ht="13.2">
      <c r="B967" s="5"/>
      <c r="C967" s="3"/>
    </row>
    <row r="968" spans="2:3" ht="13.2">
      <c r="B968" s="5"/>
      <c r="C968" s="3"/>
    </row>
    <row r="969" spans="2:3" ht="13.2">
      <c r="B969" s="5"/>
      <c r="C969" s="3"/>
    </row>
    <row r="970" spans="2:3" ht="13.2">
      <c r="B970" s="5"/>
      <c r="C970" s="3"/>
    </row>
    <row r="971" spans="2:3" ht="13.2">
      <c r="B971" s="5"/>
      <c r="C971" s="3"/>
    </row>
    <row r="972" spans="2:3" ht="13.2">
      <c r="B972" s="5"/>
      <c r="C972" s="3"/>
    </row>
    <row r="973" spans="2:3" ht="13.2">
      <c r="B973" s="5"/>
      <c r="C973" s="3"/>
    </row>
    <row r="974" spans="2:3" ht="13.2">
      <c r="B974" s="5"/>
      <c r="C974" s="3"/>
    </row>
    <row r="975" spans="2:3" ht="13.2">
      <c r="B975" s="5"/>
      <c r="C975" s="3"/>
    </row>
    <row r="976" spans="2:3" ht="13.2">
      <c r="B976" s="5"/>
      <c r="C976" s="3"/>
    </row>
    <row r="977" spans="2:3" ht="13.2">
      <c r="B977" s="5"/>
      <c r="C977" s="3"/>
    </row>
    <row r="978" spans="2:3" ht="13.2">
      <c r="B978" s="5"/>
      <c r="C978" s="3"/>
    </row>
    <row r="979" spans="2:3" ht="13.2">
      <c r="B979" s="5"/>
      <c r="C979" s="3"/>
    </row>
    <row r="980" spans="2:3" ht="13.2">
      <c r="B980" s="5"/>
      <c r="C980" s="3"/>
    </row>
    <row r="981" spans="2:3" ht="13.2">
      <c r="B981" s="5"/>
      <c r="C981" s="3"/>
    </row>
    <row r="982" spans="2:3" ht="13.2">
      <c r="B982" s="5"/>
      <c r="C982" s="3"/>
    </row>
    <row r="983" spans="2:3" ht="13.2">
      <c r="B983" s="5"/>
      <c r="C983" s="3"/>
    </row>
    <row r="984" spans="2:3" ht="13.2">
      <c r="B984" s="5"/>
      <c r="C984" s="3"/>
    </row>
    <row r="985" spans="2:3" ht="13.2">
      <c r="B985" s="5"/>
      <c r="C985" s="3"/>
    </row>
    <row r="986" spans="2:3" ht="13.2">
      <c r="B986" s="5"/>
      <c r="C986" s="3"/>
    </row>
    <row r="987" spans="2:3" ht="13.2">
      <c r="B987" s="5"/>
      <c r="C987" s="3"/>
    </row>
    <row r="988" spans="2:3" ht="13.2">
      <c r="B988" s="5"/>
      <c r="C988" s="3"/>
    </row>
    <row r="989" spans="2:3" ht="13.2">
      <c r="B989" s="5"/>
      <c r="C989" s="3"/>
    </row>
    <row r="990" spans="2:3" ht="13.2">
      <c r="B990" s="5"/>
      <c r="C990" s="3"/>
    </row>
    <row r="991" spans="2:3" ht="13.2">
      <c r="B991" s="5"/>
      <c r="C991" s="3"/>
    </row>
    <row r="992" spans="2:3" ht="13.2">
      <c r="B992" s="5"/>
      <c r="C992" s="3"/>
    </row>
    <row r="993" spans="2:3" ht="13.2">
      <c r="B993" s="5"/>
      <c r="C993" s="3"/>
    </row>
    <row r="994" spans="2:3" ht="13.2">
      <c r="B994" s="5"/>
      <c r="C994" s="3"/>
    </row>
    <row r="995" spans="2:3" ht="13.2">
      <c r="B995" s="5"/>
      <c r="C995" s="3"/>
    </row>
    <row r="996" spans="2:3" ht="13.2">
      <c r="B996" s="5"/>
      <c r="C996" s="3"/>
    </row>
    <row r="997" spans="2:3" ht="13.2">
      <c r="B997" s="5"/>
      <c r="C997" s="3"/>
    </row>
    <row r="998" spans="2:3" ht="13.2">
      <c r="B998" s="5"/>
      <c r="C998" s="3"/>
    </row>
    <row r="999" spans="2:3" ht="13.2">
      <c r="B999" s="5"/>
      <c r="C999" s="3"/>
    </row>
    <row r="1000" spans="2:3" ht="13.2">
      <c r="B1000" s="5"/>
      <c r="C1000" s="3"/>
    </row>
  </sheetData>
  <mergeCells count="1">
    <mergeCell ref="B25:D25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CB7A2F26-E9D7-4A2D-863B-EAFC13179809}">
  <ds:schemaRefs/>
</ds:datastoreItem>
</file>

<file path=customXml/itemProps2.xml><?xml version="1.0" encoding="utf-8"?>
<ds:datastoreItem xmlns:ds="http://schemas.openxmlformats.org/officeDocument/2006/customXml" ds:itemID="{A5560C2D-2CF4-4B2F-B0AF-561EF2962446}">
  <ds:schemaRefs/>
</ds:datastoreItem>
</file>

<file path=customXml/itemProps3.xml><?xml version="1.0" encoding="utf-8"?>
<ds:datastoreItem xmlns:ds="http://schemas.openxmlformats.org/officeDocument/2006/customXml" ds:itemID="{1C87A82B-5609-4DE5-BDC4-5BE9728DB761}">
  <ds:schemaRefs/>
</ds:datastoreItem>
</file>

<file path=customXml/itemProps4.xml><?xml version="1.0" encoding="utf-8"?>
<ds:datastoreItem xmlns:ds="http://schemas.openxmlformats.org/officeDocument/2006/customXml" ds:itemID="{A4396CD7-0A34-44E1-A9FD-C368230290C4}">
  <ds:schemaRefs/>
</ds:datastoreItem>
</file>

<file path=customXml/itemProps5.xml><?xml version="1.0" encoding="utf-8"?>
<ds:datastoreItem xmlns:ds="http://schemas.openxmlformats.org/officeDocument/2006/customXml" ds:itemID="{9AA93010-8181-4364-90B3-A867E66EE2AF}">
  <ds:schemaRefs/>
</ds:datastoreItem>
</file>

<file path=customXml/itemProps6.xml><?xml version="1.0" encoding="utf-8"?>
<ds:datastoreItem xmlns:ds="http://schemas.openxmlformats.org/officeDocument/2006/customXml" ds:itemID="{61E4BA60-BDFE-4876-A0BE-DAE2C82D8E6A}">
  <ds:schemaRefs/>
</ds:datastoreItem>
</file>

<file path=customXml/itemProps7.xml><?xml version="1.0" encoding="utf-8"?>
<ds:datastoreItem xmlns:ds="http://schemas.openxmlformats.org/officeDocument/2006/customXml" ds:itemID="{C9771A02-61F5-468F-A46C-38E34C0E4DCA}">
  <ds:schemaRefs/>
</ds:datastoreItem>
</file>

<file path=customXml/itemProps8.xml><?xml version="1.0" encoding="utf-8"?>
<ds:datastoreItem xmlns:ds="http://schemas.openxmlformats.org/officeDocument/2006/customXml" ds:itemID="{2A3850FE-65AA-4FD2-98AA-00FCE8430919}">
  <ds:schemaRefs/>
</ds:datastoreItem>
</file>

<file path=customXml/itemProps9.xml><?xml version="1.0" encoding="utf-8"?>
<ds:datastoreItem xmlns:ds="http://schemas.openxmlformats.org/officeDocument/2006/customXml" ds:itemID="{CFB4AADC-E6D8-4EE9-8BDE-1D27E32AEAA9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F174CAB6-FBB2-4E82-961E-629775061E3D}">
  <ds:schemaRefs/>
</ds:datastoreItem>
</file>

<file path=customXml/itemProps11.xml><?xml version="1.0" encoding="utf-8"?>
<ds:datastoreItem xmlns:ds="http://schemas.openxmlformats.org/officeDocument/2006/customXml" ds:itemID="{C7CD77ED-85E3-41EC-B3CB-0F1A903EC2A4}">
  <ds:schemaRefs/>
</ds:datastoreItem>
</file>

<file path=customXml/itemProps12.xml><?xml version="1.0" encoding="utf-8"?>
<ds:datastoreItem xmlns:ds="http://schemas.openxmlformats.org/officeDocument/2006/customXml" ds:itemID="{6998B7BA-0CA3-42E0-BAF7-ED6EE883CA86}">
  <ds:schemaRefs/>
</ds:datastoreItem>
</file>

<file path=customXml/itemProps13.xml><?xml version="1.0" encoding="utf-8"?>
<ds:datastoreItem xmlns:ds="http://schemas.openxmlformats.org/officeDocument/2006/customXml" ds:itemID="{AC9BD751-C9AE-4E69-B789-8A5D1408AC55}">
  <ds:schemaRefs/>
</ds:datastoreItem>
</file>

<file path=customXml/itemProps14.xml><?xml version="1.0" encoding="utf-8"?>
<ds:datastoreItem xmlns:ds="http://schemas.openxmlformats.org/officeDocument/2006/customXml" ds:itemID="{5ACD25F6-7513-418E-ABE2-60C244FB5E2B}">
  <ds:schemaRefs/>
</ds:datastoreItem>
</file>

<file path=customXml/itemProps15.xml><?xml version="1.0" encoding="utf-8"?>
<ds:datastoreItem xmlns:ds="http://schemas.openxmlformats.org/officeDocument/2006/customXml" ds:itemID="{76F639FB-4E01-43F8-B36E-F1F370CF7FC1}">
  <ds:schemaRefs/>
</ds:datastoreItem>
</file>

<file path=customXml/itemProps16.xml><?xml version="1.0" encoding="utf-8"?>
<ds:datastoreItem xmlns:ds="http://schemas.openxmlformats.org/officeDocument/2006/customXml" ds:itemID="{CC870244-0995-47FE-B140-1EAE29397331}">
  <ds:schemaRefs/>
</ds:datastoreItem>
</file>

<file path=customXml/itemProps17.xml><?xml version="1.0" encoding="utf-8"?>
<ds:datastoreItem xmlns:ds="http://schemas.openxmlformats.org/officeDocument/2006/customXml" ds:itemID="{54C04FD7-A142-4D12-85D4-50E2CF9A128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 Summary</vt:lpstr>
      <vt:lpstr>Projections</vt:lpstr>
      <vt:lpstr>Master</vt:lpstr>
      <vt:lpstr>Financials</vt:lpstr>
      <vt:lpstr>DCF</vt:lpstr>
      <vt:lpstr>Rev &amp; Exp</vt:lpstr>
      <vt:lpstr>NWC &amp; Capex</vt:lpstr>
      <vt:lpstr>WACC</vt:lpstr>
      <vt:lpstr>Terminal Value</vt:lpstr>
      <vt:lpstr>Trading Multiples</vt:lpstr>
      <vt:lpstr>EPV</vt:lpstr>
      <vt:lpstr>DDM</vt:lpstr>
      <vt:lpstr>Appendix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Rajas Koranne</dc:creator>
  <cp:keywords/>
  <dc:description/>
  <cp:lastModifiedBy>Rajas Koranne</cp:lastModifiedBy>
  <cp:revision/>
  <dcterms:created xsi:type="dcterms:W3CDTF">2021-07-02T22:46:51Z</dcterms:created>
  <dcterms:modified xsi:type="dcterms:W3CDTF">2026-01-26T02:13:14Z</dcterms:modified>
  <cp:category/>
  <cp:contentStatus/>
</cp:coreProperties>
</file>