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654d43c501d0a7b/Documents/"/>
    </mc:Choice>
  </mc:AlternateContent>
  <xr:revisionPtr revIDLastSave="1304" documentId="8_{21AD783C-44C7-4C2E-9FE8-1C73E9A7D10D}" xr6:coauthVersionLast="47" xr6:coauthVersionMax="47" xr10:uidLastSave="{5962C2E8-6C74-4033-BCCF-6A41128F95C7}"/>
  <bookViews>
    <workbookView xWindow="-108" yWindow="-108" windowWidth="23256" windowHeight="12456" xr2:uid="{00000000-000D-0000-FFFF-FFFF00000000}"/>
  </bookViews>
  <sheets>
    <sheet name="Master" sheetId="5" r:id="rId1"/>
    <sheet name="Executive Dashboard" sheetId="3" r:id="rId2"/>
    <sheet name="Pro-Forma" sheetId="1" r:id="rId3"/>
    <sheet name="Sensitivity Analysis" sheetId="2" r:id="rId4"/>
  </sheets>
  <definedNames>
    <definedName name="_xlchart.v1.0" hidden="1">('Pro-Forma'!$C$74,'Pro-Forma'!$C$77,'Pro-Forma'!$C$78,'Pro-Forma'!$C$79)</definedName>
    <definedName name="_xlchart.v1.1" hidden="1">('Pro-Forma'!$Q$74,'Pro-Forma'!$Q$77,'Pro-Forma'!$Q$78,'Pro-Forma'!$Q$79)</definedName>
    <definedName name="_xlchart.v2.2" hidden="1">('Pro-Forma'!$C$79,'Pro-Forma'!$C$81,'Pro-Forma'!$C$93,'Pro-Forma'!$C$99,'Pro-Forma'!$C$105)</definedName>
    <definedName name="_xlchart.v2.3" hidden="1">('Pro-Forma'!$Q$79,'Pro-Forma'!$Q$81,'Pro-Forma'!$Q$93,'Pro-Forma'!$Q$99,'Pro-Forma'!$Q$105)</definedName>
    <definedName name="_xlcn.WorksheetConnection_MultifamilyAcquisitionModel.xlsxTable21" hidden="1">Table2[]</definedName>
    <definedName name="Apt_Units">'Pro-Forma'!$E$11</definedName>
    <definedName name="Entry_Cap_Rate">'Pro-Forma'!$E$20</definedName>
    <definedName name="Entry_Fee_Pct">'Pro-Forma'!$E$24</definedName>
    <definedName name="Entry_Price">'Pro-Forma'!$E$19</definedName>
    <definedName name="Exit_Cap_Rate">'Pro-Forma'!$K$19</definedName>
    <definedName name="Exit_Fee_Pct">'Pro-Forma'!$K$24</definedName>
    <definedName name="Exit_Price">'Pro-Forma'!$K$20</definedName>
    <definedName name="Gross_SF">'Pro-Forma'!$K$12</definedName>
    <definedName name="Hotel_Rooms">'Pro-Forma'!$E$11</definedName>
    <definedName name="Loan_Amort_Period">'Pro-Forma'!$E$29</definedName>
    <definedName name="Loan_Fees">'Pro-Forma'!$E$25</definedName>
    <definedName name="Loan_Interest_Rate">'Pro-Forma'!$E$28</definedName>
    <definedName name="Loan_Term">'Pro-Forma'!$E$30</definedName>
    <definedName name="LTV">'Pro-Forma'!$E$27</definedName>
    <definedName name="Months">'Pro-Forma'!$E$9</definedName>
    <definedName name="Parking_Spots">'Pro-Forma'!$E$14</definedName>
    <definedName name="_xlnm.Print_Area" localSheetId="2">'Pro-Forma'!$A$1:$R$148</definedName>
    <definedName name="Prop_Mgmt_Fee">'Pro-Forma'!$K$8</definedName>
    <definedName name="Property_Name">'Pro-Forma'!$E$7</definedName>
    <definedName name="RE_Taxes_Pct_Property_Value">'Pro-Forma'!$K$7</definedName>
    <definedName name="Rentable_SF">'Pro-Forma'!$K$10</definedName>
    <definedName name="RSF_per_Unit">'Pro-Forma'!$E$12</definedName>
    <definedName name="Sale_Date">'Pro-Forma'!$K$18</definedName>
    <definedName name="Scenario_Selector">'Executive Dashboard'!$C$5</definedName>
    <definedName name="Start_Date">'Pro-Forma'!$E$18</definedName>
  </definedNames>
  <calcPr calcId="191029" iterate="1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Multifamily-Acquisition-Model.xlsx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" l="1"/>
  <c r="K19" i="1"/>
  <c r="E27" i="1"/>
  <c r="F57" i="1"/>
  <c r="E14" i="1"/>
  <c r="C15" i="5"/>
  <c r="Q68" i="1"/>
  <c r="O137" i="1" l="1"/>
  <c r="N137" i="1"/>
  <c r="M137" i="1"/>
  <c r="L137" i="1"/>
  <c r="K137" i="1"/>
  <c r="J137" i="1"/>
  <c r="I137" i="1"/>
  <c r="H137" i="1"/>
  <c r="O136" i="1"/>
  <c r="N136" i="1"/>
  <c r="M136" i="1"/>
  <c r="L136" i="1"/>
  <c r="K136" i="1"/>
  <c r="J136" i="1"/>
  <c r="I136" i="1"/>
  <c r="H136" i="1"/>
  <c r="O135" i="1"/>
  <c r="N135" i="1"/>
  <c r="M135" i="1"/>
  <c r="L135" i="1"/>
  <c r="K135" i="1"/>
  <c r="J135" i="1"/>
  <c r="I135" i="1"/>
  <c r="H135" i="1"/>
  <c r="P96" i="1" l="1"/>
  <c r="O96" i="1"/>
  <c r="N96" i="1"/>
  <c r="M96" i="1"/>
  <c r="L96" i="1"/>
  <c r="K96" i="1"/>
  <c r="J96" i="1"/>
  <c r="I96" i="1"/>
  <c r="H96" i="1"/>
  <c r="H56" i="1" l="1"/>
  <c r="I56" i="1" s="1"/>
  <c r="H52" i="1"/>
  <c r="I52" i="1" s="1"/>
  <c r="J56" i="1" l="1"/>
  <c r="J52" i="1"/>
  <c r="C12" i="5"/>
  <c r="C8" i="5"/>
  <c r="C14" i="5"/>
  <c r="K38" i="1"/>
  <c r="G137" i="1"/>
  <c r="G136" i="1"/>
  <c r="G135" i="1"/>
  <c r="K56" i="1" l="1"/>
  <c r="K52" i="1"/>
  <c r="Q96" i="1"/>
  <c r="G96" i="1"/>
  <c r="F96" i="1"/>
  <c r="F90" i="1"/>
  <c r="G59" i="1"/>
  <c r="F87" i="1"/>
  <c r="F78" i="1" s="1"/>
  <c r="G57" i="1"/>
  <c r="G56" i="1"/>
  <c r="G52" i="1"/>
  <c r="H59" i="1" l="1"/>
  <c r="G90" i="1"/>
  <c r="H57" i="1"/>
  <c r="G87" i="1"/>
  <c r="G78" i="1" s="1"/>
  <c r="H77" i="1"/>
  <c r="G77" i="1"/>
  <c r="I77" i="1"/>
  <c r="J77" i="1"/>
  <c r="L56" i="1"/>
  <c r="M56" i="1" s="1"/>
  <c r="N56" i="1" s="1"/>
  <c r="O56" i="1" s="1"/>
  <c r="P56" i="1" s="1"/>
  <c r="Q56" i="1" s="1"/>
  <c r="L52" i="1"/>
  <c r="K77" i="1"/>
  <c r="F97" i="1"/>
  <c r="F66" i="1" s="1"/>
  <c r="F77" i="1"/>
  <c r="I57" i="1" l="1"/>
  <c r="H87" i="1"/>
  <c r="H78" i="1" s="1"/>
  <c r="H90" i="1"/>
  <c r="I59" i="1"/>
  <c r="M52" i="1"/>
  <c r="L77" i="1"/>
  <c r="G97" i="1"/>
  <c r="G66" i="1" s="1"/>
  <c r="H97" i="1" l="1"/>
  <c r="H66" i="1" s="1"/>
  <c r="I90" i="1"/>
  <c r="J59" i="1"/>
  <c r="I87" i="1"/>
  <c r="I78" i="1" s="1"/>
  <c r="J57" i="1"/>
  <c r="N52" i="1"/>
  <c r="M77" i="1"/>
  <c r="I97" i="1" l="1"/>
  <c r="I66" i="1" s="1"/>
  <c r="J87" i="1"/>
  <c r="J78" i="1" s="1"/>
  <c r="K57" i="1"/>
  <c r="J90" i="1"/>
  <c r="K59" i="1"/>
  <c r="N77" i="1"/>
  <c r="O52" i="1"/>
  <c r="J97" i="1" l="1"/>
  <c r="J66" i="1" s="1"/>
  <c r="K90" i="1"/>
  <c r="L59" i="1"/>
  <c r="K87" i="1"/>
  <c r="K78" i="1" s="1"/>
  <c r="L57" i="1"/>
  <c r="P52" i="1"/>
  <c r="O77" i="1"/>
  <c r="K97" i="1" l="1"/>
  <c r="K66" i="1" s="1"/>
  <c r="M57" i="1"/>
  <c r="L87" i="1"/>
  <c r="L78" i="1" s="1"/>
  <c r="M59" i="1"/>
  <c r="L90" i="1"/>
  <c r="P77" i="1"/>
  <c r="Q52" i="1"/>
  <c r="Q77" i="1" s="1"/>
  <c r="N59" i="1" l="1"/>
  <c r="M90" i="1"/>
  <c r="N57" i="1"/>
  <c r="M87" i="1"/>
  <c r="M78" i="1" s="1"/>
  <c r="L97" i="1"/>
  <c r="L66" i="1" s="1"/>
  <c r="F48" i="1"/>
  <c r="G44" i="1"/>
  <c r="H44" i="1" s="1"/>
  <c r="I44" i="1" s="1"/>
  <c r="K10" i="1"/>
  <c r="O57" i="1" l="1"/>
  <c r="N87" i="1"/>
  <c r="N78" i="1" s="1"/>
  <c r="O59" i="1"/>
  <c r="N90" i="1"/>
  <c r="M97" i="1"/>
  <c r="M66" i="1" s="1"/>
  <c r="G74" i="1"/>
  <c r="I74" i="1"/>
  <c r="H74" i="1"/>
  <c r="F74" i="1"/>
  <c r="K12" i="1"/>
  <c r="J44" i="1"/>
  <c r="K44" i="1" s="1"/>
  <c r="K74" i="1" s="1"/>
  <c r="I45" i="1"/>
  <c r="I75" i="1" s="1"/>
  <c r="G45" i="1"/>
  <c r="G75" i="1" s="1"/>
  <c r="H45" i="1"/>
  <c r="H75" i="1" s="1"/>
  <c r="F75" i="1"/>
  <c r="J74" i="1" l="1"/>
  <c r="P59" i="1"/>
  <c r="O90" i="1"/>
  <c r="P57" i="1"/>
  <c r="O87" i="1"/>
  <c r="O78" i="1" s="1"/>
  <c r="N97" i="1"/>
  <c r="N66" i="1" s="1"/>
  <c r="N86" i="1"/>
  <c r="L86" i="1"/>
  <c r="K86" i="1"/>
  <c r="I86" i="1"/>
  <c r="H86" i="1"/>
  <c r="Q86" i="1"/>
  <c r="P86" i="1"/>
  <c r="O86" i="1"/>
  <c r="M86" i="1"/>
  <c r="J86" i="1"/>
  <c r="G86" i="1"/>
  <c r="I76" i="1"/>
  <c r="I79" i="1" s="1"/>
  <c r="I80" i="1" s="1"/>
  <c r="I81" i="1" s="1"/>
  <c r="H76" i="1"/>
  <c r="H79" i="1" s="1"/>
  <c r="H80" i="1" s="1"/>
  <c r="H81" i="1" s="1"/>
  <c r="G76" i="1"/>
  <c r="G79" i="1" s="1"/>
  <c r="G80" i="1" s="1"/>
  <c r="G81" i="1" s="1"/>
  <c r="Q44" i="1"/>
  <c r="L44" i="1"/>
  <c r="L74" i="1" s="1"/>
  <c r="F76" i="1"/>
  <c r="F79" i="1" s="1"/>
  <c r="F80" i="1" s="1"/>
  <c r="F86" i="1"/>
  <c r="K45" i="1"/>
  <c r="K75" i="1" s="1"/>
  <c r="K76" i="1" s="1"/>
  <c r="K79" i="1" s="1"/>
  <c r="J45" i="1"/>
  <c r="J75" i="1" s="1"/>
  <c r="J76" i="1" s="1"/>
  <c r="J79" i="1" s="1"/>
  <c r="Q45" i="1" l="1"/>
  <c r="Q75" i="1" s="1"/>
  <c r="Q74" i="1"/>
  <c r="Q57" i="1"/>
  <c r="P87" i="1"/>
  <c r="P78" i="1" s="1"/>
  <c r="Q59" i="1"/>
  <c r="Q90" i="1" s="1"/>
  <c r="Q97" i="1" s="1"/>
  <c r="P90" i="1"/>
  <c r="O97" i="1"/>
  <c r="O66" i="1" s="1"/>
  <c r="K80" i="1"/>
  <c r="K81" i="1" s="1"/>
  <c r="H88" i="1"/>
  <c r="H89" i="1"/>
  <c r="H82" i="1"/>
  <c r="G88" i="1"/>
  <c r="G89" i="1"/>
  <c r="I88" i="1"/>
  <c r="I89" i="1"/>
  <c r="I82" i="1"/>
  <c r="J80" i="1"/>
  <c r="J81" i="1" s="1"/>
  <c r="M44" i="1"/>
  <c r="M74" i="1" s="1"/>
  <c r="L45" i="1"/>
  <c r="L75" i="1" s="1"/>
  <c r="F81" i="1"/>
  <c r="Q76" i="1" l="1"/>
  <c r="L76" i="1"/>
  <c r="L79" i="1" s="1"/>
  <c r="L80" i="1" s="1"/>
  <c r="L81" i="1" s="1"/>
  <c r="L88" i="1" s="1"/>
  <c r="Q87" i="1"/>
  <c r="Q78" i="1" s="1"/>
  <c r="Q79" i="1" s="1"/>
  <c r="Q80" i="1" s="1"/>
  <c r="Q81" i="1" s="1"/>
  <c r="P97" i="1"/>
  <c r="P66" i="1" s="1"/>
  <c r="K88" i="1"/>
  <c r="K89" i="1"/>
  <c r="K82" i="1"/>
  <c r="J89" i="1"/>
  <c r="J88" i="1"/>
  <c r="J82" i="1"/>
  <c r="N44" i="1"/>
  <c r="N74" i="1" s="1"/>
  <c r="M45" i="1"/>
  <c r="M75" i="1" s="1"/>
  <c r="F89" i="1"/>
  <c r="F88" i="1"/>
  <c r="G82" i="1"/>
  <c r="L82" i="1" l="1"/>
  <c r="L89" i="1"/>
  <c r="M76" i="1"/>
  <c r="M79" i="1" s="1"/>
  <c r="M80" i="1" s="1"/>
  <c r="M81" i="1" s="1"/>
  <c r="Q88" i="1"/>
  <c r="Q89" i="1"/>
  <c r="Q66" i="1"/>
  <c r="P122" i="1"/>
  <c r="P136" i="1" s="1"/>
  <c r="O44" i="1"/>
  <c r="O74" i="1" s="1"/>
  <c r="N45" i="1"/>
  <c r="N75" i="1" s="1"/>
  <c r="N76" i="1" s="1"/>
  <c r="M88" i="1" l="1"/>
  <c r="M89" i="1"/>
  <c r="M82" i="1"/>
  <c r="N79" i="1"/>
  <c r="N80" i="1" s="1"/>
  <c r="N81" i="1" s="1"/>
  <c r="P44" i="1"/>
  <c r="O45" i="1"/>
  <c r="O75" i="1" s="1"/>
  <c r="O76" i="1" s="1"/>
  <c r="B2" i="1"/>
  <c r="P45" i="1" l="1"/>
  <c r="P75" i="1" s="1"/>
  <c r="P74" i="1"/>
  <c r="N89" i="1"/>
  <c r="N88" i="1"/>
  <c r="N82" i="1"/>
  <c r="O79" i="1"/>
  <c r="O80" i="1" s="1"/>
  <c r="O81" i="1" s="1"/>
  <c r="J16" i="1"/>
  <c r="P76" i="1" l="1"/>
  <c r="P79" i="1" s="1"/>
  <c r="P80" i="1" s="1"/>
  <c r="P81" i="1" s="1"/>
  <c r="O88" i="1"/>
  <c r="O89" i="1"/>
  <c r="O82" i="1"/>
  <c r="D118" i="1"/>
  <c r="G117" i="1"/>
  <c r="F117" i="1"/>
  <c r="Q70" i="1"/>
  <c r="Q71" i="1"/>
  <c r="D71" i="1"/>
  <c r="G70" i="1"/>
  <c r="F70" i="1"/>
  <c r="G35" i="1"/>
  <c r="F42" i="1"/>
  <c r="D42" i="1"/>
  <c r="D16" i="1"/>
  <c r="J5" i="1"/>
  <c r="P88" i="1" l="1"/>
  <c r="P89" i="1"/>
  <c r="P82" i="1"/>
  <c r="F71" i="1"/>
  <c r="F68" i="1" s="1"/>
  <c r="G42" i="1"/>
  <c r="G71" i="1" s="1"/>
  <c r="G68" i="1" s="1"/>
  <c r="F118" i="1"/>
  <c r="H42" i="1" l="1"/>
  <c r="H71" i="1" s="1"/>
  <c r="H68" i="1" s="1"/>
  <c r="G118" i="1"/>
  <c r="H118" i="1" l="1"/>
  <c r="I42" i="1"/>
  <c r="I71" i="1" s="1"/>
  <c r="I68" i="1" s="1"/>
  <c r="I118" i="1" l="1"/>
  <c r="J42" i="1"/>
  <c r="J71" i="1" s="1"/>
  <c r="J68" i="1" s="1"/>
  <c r="K42" i="1" l="1"/>
  <c r="J118" i="1"/>
  <c r="K71" i="1" l="1"/>
  <c r="K68" i="1" s="1"/>
  <c r="L42" i="1"/>
  <c r="K118" i="1"/>
  <c r="K18" i="1"/>
  <c r="M42" i="1" l="1"/>
  <c r="L118" i="1"/>
  <c r="L71" i="1"/>
  <c r="L68" i="1" s="1"/>
  <c r="N42" i="1" l="1"/>
  <c r="M118" i="1"/>
  <c r="M71" i="1"/>
  <c r="M68" i="1" s="1"/>
  <c r="O42" i="1" l="1"/>
  <c r="N118" i="1"/>
  <c r="N71" i="1"/>
  <c r="N68" i="1" s="1"/>
  <c r="P42" i="1" l="1"/>
  <c r="O118" i="1"/>
  <c r="O71" i="1"/>
  <c r="O68" i="1" s="1"/>
  <c r="P118" i="1" l="1"/>
  <c r="P71" i="1"/>
  <c r="P68" i="1" l="1"/>
  <c r="E21" i="1"/>
  <c r="E22" i="1"/>
  <c r="E35" i="1"/>
  <c r="K35" i="1"/>
  <c r="K36" i="1"/>
  <c r="K37" i="1"/>
  <c r="F85" i="1"/>
  <c r="F125" i="1"/>
  <c r="F126" i="1" s="1"/>
  <c r="F91" i="1" l="1"/>
  <c r="F93" i="1" s="1"/>
  <c r="F94" i="1" s="1"/>
  <c r="G85" i="1"/>
  <c r="F107" i="1"/>
  <c r="H103" i="1"/>
  <c r="H102" i="1"/>
  <c r="I103" i="1"/>
  <c r="I102" i="1"/>
  <c r="J102" i="1"/>
  <c r="J103" i="1"/>
  <c r="K103" i="1"/>
  <c r="K102" i="1"/>
  <c r="L103" i="1"/>
  <c r="L102" i="1"/>
  <c r="M103" i="1"/>
  <c r="M102" i="1"/>
  <c r="N103" i="1"/>
  <c r="N102" i="1"/>
  <c r="O102" i="1"/>
  <c r="O103" i="1"/>
  <c r="P103" i="1"/>
  <c r="P102" i="1"/>
  <c r="Q103" i="1"/>
  <c r="Q102" i="1"/>
  <c r="F131" i="1"/>
  <c r="G102" i="1"/>
  <c r="K39" i="1"/>
  <c r="E36" i="1" s="1"/>
  <c r="G103" i="1"/>
  <c r="F140" i="1" l="1"/>
  <c r="F146" i="1" s="1"/>
  <c r="C13" i="5"/>
  <c r="G107" i="1"/>
  <c r="H107" i="1" s="1"/>
  <c r="I107" i="1" s="1"/>
  <c r="J107" i="1" s="1"/>
  <c r="K107" i="1" s="1"/>
  <c r="L107" i="1" s="1"/>
  <c r="M107" i="1" s="1"/>
  <c r="N107" i="1" s="1"/>
  <c r="O107" i="1" s="1"/>
  <c r="P107" i="1" s="1"/>
  <c r="P139" i="1" s="1"/>
  <c r="F99" i="1"/>
  <c r="F100" i="1" s="1"/>
  <c r="H85" i="1"/>
  <c r="G91" i="1"/>
  <c r="G93" i="1" s="1"/>
  <c r="E37" i="1"/>
  <c r="F141" i="1" l="1"/>
  <c r="I85" i="1"/>
  <c r="H91" i="1"/>
  <c r="H93" i="1" s="1"/>
  <c r="H114" i="1" s="1"/>
  <c r="G109" i="1"/>
  <c r="G99" i="1"/>
  <c r="G115" i="1" s="1"/>
  <c r="E20" i="1"/>
  <c r="C7" i="5" s="1"/>
  <c r="G111" i="1"/>
  <c r="G114" i="1"/>
  <c r="G94" i="1"/>
  <c r="H111" i="1" l="1"/>
  <c r="H109" i="1"/>
  <c r="H94" i="1"/>
  <c r="H99" i="1"/>
  <c r="J85" i="1"/>
  <c r="I91" i="1"/>
  <c r="I93" i="1" s="1"/>
  <c r="I114" i="1" s="1"/>
  <c r="G112" i="1"/>
  <c r="G124" i="1"/>
  <c r="G126" i="1" s="1"/>
  <c r="G105" i="1"/>
  <c r="G138" i="1" s="1"/>
  <c r="G141" i="1" s="1"/>
  <c r="G100" i="1"/>
  <c r="H124" i="1" l="1"/>
  <c r="H126" i="1" s="1"/>
  <c r="H115" i="1"/>
  <c r="I111" i="1"/>
  <c r="I109" i="1"/>
  <c r="I94" i="1"/>
  <c r="I99" i="1"/>
  <c r="K85" i="1"/>
  <c r="J91" i="1"/>
  <c r="J93" i="1" s="1"/>
  <c r="J114" i="1" s="1"/>
  <c r="H100" i="1"/>
  <c r="H112" i="1"/>
  <c r="H105" i="1"/>
  <c r="H138" i="1" s="1"/>
  <c r="H141" i="1" s="1"/>
  <c r="I124" i="1" l="1"/>
  <c r="I126" i="1" s="1"/>
  <c r="I115" i="1"/>
  <c r="J94" i="1"/>
  <c r="J111" i="1"/>
  <c r="J109" i="1"/>
  <c r="J99" i="1"/>
  <c r="L85" i="1"/>
  <c r="K91" i="1"/>
  <c r="K93" i="1" s="1"/>
  <c r="K114" i="1" s="1"/>
  <c r="I100" i="1"/>
  <c r="I112" i="1"/>
  <c r="I105" i="1"/>
  <c r="I138" i="1" s="1"/>
  <c r="I141" i="1" s="1"/>
  <c r="J124" i="1" l="1"/>
  <c r="J126" i="1" s="1"/>
  <c r="J115" i="1"/>
  <c r="K94" i="1"/>
  <c r="K111" i="1"/>
  <c r="K109" i="1"/>
  <c r="K99" i="1"/>
  <c r="M85" i="1"/>
  <c r="L91" i="1"/>
  <c r="L93" i="1" s="1"/>
  <c r="L114" i="1" s="1"/>
  <c r="J100" i="1"/>
  <c r="J112" i="1"/>
  <c r="J105" i="1"/>
  <c r="J138" i="1" s="1"/>
  <c r="J141" i="1" s="1"/>
  <c r="K124" i="1" l="1"/>
  <c r="K126" i="1" s="1"/>
  <c r="K115" i="1"/>
  <c r="L94" i="1"/>
  <c r="L109" i="1"/>
  <c r="L111" i="1"/>
  <c r="L99" i="1"/>
  <c r="K100" i="1"/>
  <c r="K112" i="1"/>
  <c r="K105" i="1"/>
  <c r="K138" i="1" s="1"/>
  <c r="K141" i="1" s="1"/>
  <c r="N85" i="1"/>
  <c r="M91" i="1"/>
  <c r="M93" i="1" s="1"/>
  <c r="M114" i="1" s="1"/>
  <c r="L124" i="1" l="1"/>
  <c r="L126" i="1" s="1"/>
  <c r="L115" i="1"/>
  <c r="O85" i="1"/>
  <c r="N91" i="1"/>
  <c r="N93" i="1" s="1"/>
  <c r="N114" i="1" s="1"/>
  <c r="L100" i="1"/>
  <c r="L112" i="1"/>
  <c r="L105" i="1"/>
  <c r="L138" i="1" s="1"/>
  <c r="L141" i="1" s="1"/>
  <c r="M94" i="1"/>
  <c r="M109" i="1"/>
  <c r="M111" i="1"/>
  <c r="M99" i="1"/>
  <c r="M124" i="1" l="1"/>
  <c r="M126" i="1" s="1"/>
  <c r="M115" i="1"/>
  <c r="M100" i="1"/>
  <c r="M112" i="1"/>
  <c r="M105" i="1"/>
  <c r="M138" i="1" s="1"/>
  <c r="M141" i="1" s="1"/>
  <c r="N99" i="1"/>
  <c r="N109" i="1"/>
  <c r="N111" i="1"/>
  <c r="N94" i="1"/>
  <c r="P85" i="1"/>
  <c r="Q85" i="1" s="1"/>
  <c r="O91" i="1"/>
  <c r="O93" i="1" s="1"/>
  <c r="O114" i="1" s="1"/>
  <c r="F130" i="1"/>
  <c r="F132" i="1" s="1"/>
  <c r="N124" i="1" l="1"/>
  <c r="N126" i="1" s="1"/>
  <c r="N115" i="1"/>
  <c r="Q91" i="1"/>
  <c r="Q93" i="1" s="1"/>
  <c r="C16" i="5" s="1"/>
  <c r="P91" i="1"/>
  <c r="P93" i="1" s="1"/>
  <c r="P114" i="1" s="1"/>
  <c r="O99" i="1"/>
  <c r="O111" i="1"/>
  <c r="O109" i="1"/>
  <c r="O94" i="1"/>
  <c r="N100" i="1"/>
  <c r="N112" i="1"/>
  <c r="N105" i="1"/>
  <c r="N138" i="1" s="1"/>
  <c r="N141" i="1" s="1"/>
  <c r="O124" i="1" l="1"/>
  <c r="O126" i="1" s="1"/>
  <c r="O115" i="1"/>
  <c r="O100" i="1"/>
  <c r="O112" i="1"/>
  <c r="O105" i="1"/>
  <c r="O138" i="1" s="1"/>
  <c r="O141" i="1" s="1"/>
  <c r="P99" i="1"/>
  <c r="P109" i="1"/>
  <c r="P111" i="1"/>
  <c r="P94" i="1"/>
  <c r="Q99" i="1"/>
  <c r="K20" i="1"/>
  <c r="C17" i="5" s="1"/>
  <c r="Q94" i="1"/>
  <c r="P124" i="1" l="1"/>
  <c r="P115" i="1"/>
  <c r="K22" i="1"/>
  <c r="K21" i="1"/>
  <c r="P121" i="1"/>
  <c r="Q100" i="1"/>
  <c r="Q105" i="1"/>
  <c r="P100" i="1"/>
  <c r="P112" i="1"/>
  <c r="P105" i="1"/>
  <c r="P138" i="1" s="1"/>
  <c r="P135" i="1" l="1"/>
  <c r="P123" i="1"/>
  <c r="P137" i="1" s="1"/>
  <c r="P126" i="1" l="1"/>
  <c r="F128" i="1" s="1"/>
  <c r="P141" i="1"/>
  <c r="F145" i="1"/>
  <c r="F147" i="1" s="1"/>
  <c r="C32" i="3" s="1"/>
  <c r="C24" i="3" l="1"/>
  <c r="F143" i="1"/>
  <c r="C20" i="3" s="1"/>
  <c r="F149" i="1"/>
  <c r="C2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17A946-839E-46F2-BE6F-A2A8D132457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ACDEF9D-4CF3-4707-96A9-2C938CCB74D2}" name="WorksheetConnection_Multifamily-Acquisition-Model.xlsx!Table2" type="102" refreshedVersion="8" minRefreshableVersion="5">
    <extLst>
      <ext xmlns:x15="http://schemas.microsoft.com/office/spreadsheetml/2010/11/main" uri="{DE250136-89BD-433C-8126-D09CA5730AF9}">
        <x15:connection id="Table2">
          <x15:rangePr sourceName="_xlcn.WorksheetConnection_MultifamilyAcquisitionModel.xlsxTable21"/>
        </x15:connection>
      </ext>
    </extLst>
  </connection>
</connections>
</file>

<file path=xl/sharedStrings.xml><?xml version="1.0" encoding="utf-8"?>
<sst xmlns="http://schemas.openxmlformats.org/spreadsheetml/2006/main" count="257" uniqueCount="166">
  <si>
    <t>Operating Assumptions:</t>
  </si>
  <si>
    <t>Units:</t>
  </si>
  <si>
    <t>Building / Construction Name:</t>
  </si>
  <si>
    <t>Location:</t>
  </si>
  <si>
    <t>Date</t>
  </si>
  <si>
    <t>#</t>
  </si>
  <si>
    <t>Months in Year:</t>
  </si>
  <si>
    <t>%</t>
  </si>
  <si>
    <t>Rentable Square Footage (RSF):</t>
  </si>
  <si>
    <t>sq. ft.</t>
  </si>
  <si>
    <t>Acquisition and Exit Assumptions:</t>
  </si>
  <si>
    <t>Acquisition Date:</t>
  </si>
  <si>
    <t>Acquisition Price:</t>
  </si>
  <si>
    <t>$</t>
  </si>
  <si>
    <t>Acquisition Costs (% Gross Acquisition Price):</t>
  </si>
  <si>
    <t>Acquisition Loan-to-Value (LTV) Ratio:</t>
  </si>
  <si>
    <t>Loan Interest Rate:</t>
  </si>
  <si>
    <t># Years</t>
  </si>
  <si>
    <t>Exit Date:</t>
  </si>
  <si>
    <t>Exit Price:</t>
  </si>
  <si>
    <t>Selling Costs (% Gross Sale Price):</t>
  </si>
  <si>
    <t>Historical:</t>
  </si>
  <si>
    <t>Projected:</t>
  </si>
  <si>
    <t>Operating Expense Growth Rate:</t>
  </si>
  <si>
    <t>Sources of Funds:</t>
  </si>
  <si>
    <t>Uses of 
Funds:</t>
  </si>
  <si>
    <t>Investor Equity:</t>
  </si>
  <si>
    <t>Senior Debt:</t>
  </si>
  <si>
    <t>Total Sources:</t>
  </si>
  <si>
    <t xml:space="preserve">Fiscal Year: </t>
  </si>
  <si>
    <t>Property Pro-Forma:</t>
  </si>
  <si>
    <t>Revenue:</t>
  </si>
  <si>
    <t>Expenses:</t>
  </si>
  <si>
    <t>x</t>
  </si>
  <si>
    <t>Name</t>
  </si>
  <si>
    <t>Total Uses:</t>
  </si>
  <si>
    <t>Stabilized</t>
  </si>
  <si>
    <t>Year:</t>
  </si>
  <si>
    <t>IRR Calculations:</t>
  </si>
  <si>
    <t>Acquisition Price per Unit:</t>
  </si>
  <si>
    <t>$ / sq. ft.</t>
  </si>
  <si>
    <t>$ / Unit</t>
  </si>
  <si>
    <t>Implied Going-In Cap Rate:</t>
  </si>
  <si>
    <t>Exit Cap Rate:</t>
  </si>
  <si>
    <t>Exit Price per Unit:</t>
  </si>
  <si>
    <t>Year</t>
  </si>
  <si>
    <t>Loan Amortization Period:</t>
  </si>
  <si>
    <t>Loan Issuance Fees (% Senior Debt):</t>
  </si>
  <si>
    <t>Acquisition Costs:</t>
  </si>
  <si>
    <t>Loan Issuance Fees:</t>
  </si>
  <si>
    <t>Loan Maturity:</t>
  </si>
  <si>
    <t>($ USD in $ as Stated, Unless Otherwise Noted)</t>
  </si>
  <si>
    <t>Parking Spots:</t>
  </si>
  <si>
    <t>Arcadia Gardens</t>
  </si>
  <si>
    <t>In-Place Rent per RSF per Month:</t>
  </si>
  <si>
    <t>Average Rentable Square Feet per Unit:</t>
  </si>
  <si>
    <t>Rentable to Gross Square Feet Ratio:</t>
  </si>
  <si>
    <t>Gross Square Footage (GSF):</t>
  </si>
  <si>
    <t>Acquisition Price per RSF:</t>
  </si>
  <si>
    <t>In-Place Rent Discount to Market Rent:</t>
  </si>
  <si>
    <t>Bad Debt &amp; Concessions % Effective Rent:</t>
  </si>
  <si>
    <t>General Vacancy:</t>
  </si>
  <si>
    <t>Parking Spots per Unit:</t>
  </si>
  <si>
    <t>Parking Fees per Spot per Month:</t>
  </si>
  <si>
    <t>Property Taxes % Property Value:</t>
  </si>
  <si>
    <t>Property Tax Growth Rate:</t>
  </si>
  <si>
    <t>Utilities per Unit per Month:</t>
  </si>
  <si>
    <t>Sales, Marketing &amp; Administrative % EGI:</t>
  </si>
  <si>
    <t>$ / Unit / Mo.</t>
  </si>
  <si>
    <t>$ / Spot / Mo.</t>
  </si>
  <si>
    <t>$ / RSF / Mo.</t>
  </si>
  <si>
    <t>Insurance per Gross Square Foot per Year:</t>
  </si>
  <si>
    <t>$ / GSF / Yr.</t>
  </si>
  <si>
    <t>Utility Reimbursements % Utility Expense:</t>
  </si>
  <si>
    <t>$ / Unit / Yr.</t>
  </si>
  <si>
    <t>Property Management Fee % EGI:</t>
  </si>
  <si>
    <t>Capital Expenditures per Unit per Year:</t>
  </si>
  <si>
    <t>Exit Price per RSF:</t>
  </si>
  <si>
    <t>Replacement Reserves:</t>
  </si>
  <si>
    <t>Property Assumptions:</t>
  </si>
  <si>
    <t>Sources and Uses of Funds:</t>
  </si>
  <si>
    <t>N/A</t>
  </si>
  <si>
    <t>Replacement Reserves per Unit per Year:</t>
  </si>
  <si>
    <t>Rental &amp; Parking Income Growth Rate:</t>
  </si>
  <si>
    <t>Number of Resort Rooms:</t>
  </si>
  <si>
    <t>North Bethesda, MD</t>
  </si>
  <si>
    <t>Metric</t>
  </si>
  <si>
    <t>Stress Case</t>
  </si>
  <si>
    <t>Downside Case</t>
  </si>
  <si>
    <t>Base Case</t>
  </si>
  <si>
    <t>Upside Case</t>
  </si>
  <si>
    <t>Acquisition Price ($)</t>
  </si>
  <si>
    <t>Exit Cap Rate (%)</t>
  </si>
  <si>
    <t>Loan-to-Value (LTV %)</t>
  </si>
  <si>
    <t>Scenario:</t>
  </si>
  <si>
    <t>Utilities Per Unit Per Month ($)</t>
  </si>
  <si>
    <t>Replacement Reserves per Unit per Year</t>
  </si>
  <si>
    <t>Years</t>
  </si>
  <si>
    <t>NPV:</t>
  </si>
  <si>
    <t>Base Rental Income</t>
  </si>
  <si>
    <t>Loss to Lease</t>
  </si>
  <si>
    <t>Bad Debt &amp; Concessions</t>
  </si>
  <si>
    <t>Parking Income</t>
  </si>
  <si>
    <t>Utility Reimbursements</t>
  </si>
  <si>
    <t>Potential Gross Revenue</t>
  </si>
  <si>
    <t>General Vacancy</t>
  </si>
  <si>
    <t>Effective Gross Income (EGI)</t>
  </si>
  <si>
    <t>EGI Growth Rate</t>
  </si>
  <si>
    <t>Property Taxes</t>
  </si>
  <si>
    <t>Insurance</t>
  </si>
  <si>
    <t>Utilities</t>
  </si>
  <si>
    <t>Property Management Fee</t>
  </si>
  <si>
    <t>Sales, Marketing &amp; Administrative</t>
  </si>
  <si>
    <t>Replacement Reserves</t>
  </si>
  <si>
    <t>Total Expenses</t>
  </si>
  <si>
    <t>Net Operating Income (NOI)</t>
  </si>
  <si>
    <t>NOI Margin</t>
  </si>
  <si>
    <t>Capital Expenditures</t>
  </si>
  <si>
    <t>Capital Costs Paid from Reserves</t>
  </si>
  <si>
    <t>Adjusted Net Operating Income</t>
  </si>
  <si>
    <t>Adjusted NOI Margin</t>
  </si>
  <si>
    <t>Interest Expense on Debt</t>
  </si>
  <si>
    <t>Debt Principal Repayment</t>
  </si>
  <si>
    <t>Cash Flow to Equity Investors</t>
  </si>
  <si>
    <t>Ending Debt Balance</t>
  </si>
  <si>
    <t>Debt Yield</t>
  </si>
  <si>
    <t>Interest Coverage Ratio - NOI</t>
  </si>
  <si>
    <t>Interest Coverage Ratio - Adjusted NOI</t>
  </si>
  <si>
    <t>Debt Service Coverage Ratio (DSCR) - NOI</t>
  </si>
  <si>
    <t>Debt Service Coverage Ratio (DSCR) - Adj. NOI</t>
  </si>
  <si>
    <t>Project Cash Flows (Unleveraged IRR)</t>
  </si>
  <si>
    <t>Proceeds from Sale of Property</t>
  </si>
  <si>
    <t>Return of Replacement Reserve</t>
  </si>
  <si>
    <t>Selling Costs</t>
  </si>
  <si>
    <t>Adjusted NOI (Cash Flows to All Investors)</t>
  </si>
  <si>
    <t>Property Acquisition Price</t>
  </si>
  <si>
    <t>Total Project Cash Flows (Unleveraged IRR)</t>
  </si>
  <si>
    <t>Unleveraged Internal Rate of Return (IRR)</t>
  </si>
  <si>
    <t>Total Returns</t>
  </si>
  <si>
    <t>Total Initial Investment</t>
  </si>
  <si>
    <t>Cash-on-Cash Multiple</t>
  </si>
  <si>
    <t>Cash Flow to Equity Investors (Leveraged IRR)</t>
  </si>
  <si>
    <t>Cash Flows to Equity Investors</t>
  </si>
  <si>
    <t>Debt Principal Repayment Upon Exit</t>
  </si>
  <si>
    <t>Initial Equity Investment</t>
  </si>
  <si>
    <t>Total Cash Flows to Equity (Leveraged IRR)</t>
  </si>
  <si>
    <t>Leveraged Internal Rate of Return (IRR)</t>
  </si>
  <si>
    <t>Total Returns to Equity</t>
  </si>
  <si>
    <t>Invested Equity</t>
  </si>
  <si>
    <t>-</t>
  </si>
  <si>
    <t>Scenario Control &amp; Model Navigation</t>
  </si>
  <si>
    <t>MODEL CONTROLS</t>
  </si>
  <si>
    <t>Scenario</t>
  </si>
  <si>
    <t>Exit Cap Rate</t>
  </si>
  <si>
    <t>Acquisition Price</t>
  </si>
  <si>
    <t>Total Equity Invested</t>
  </si>
  <si>
    <t>Loan-to-Value</t>
  </si>
  <si>
    <t>Interest Rate</t>
  </si>
  <si>
    <t>Stabilized NOI</t>
  </si>
  <si>
    <t>Exit Value</t>
  </si>
  <si>
    <t>Going-in Cap Rate</t>
  </si>
  <si>
    <t>All figures in USD. Stabilized year used for valuation only.</t>
  </si>
  <si>
    <t>Arcadia Gardens — Investment Analysis Model</t>
  </si>
  <si>
    <r>
      <t xml:space="preserve">Holding Period </t>
    </r>
    <r>
      <rPr>
        <b/>
        <i/>
        <sz val="11"/>
        <rFont val="Calibri"/>
        <family val="2"/>
      </rPr>
      <t>(# Years)</t>
    </r>
  </si>
  <si>
    <t>KEY DEAL ASSUMPTIONS</t>
  </si>
  <si>
    <t>Implied Hotel Revenue per RSF per Month: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</si>
</sst>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\-_);@_)"/>
    <numFmt numFmtId="165" formatCode="yyyy\-mm\-dd"/>
    <numFmt numFmtId="166" formatCode="0.00%_);\(0.00%\);\-_);@_)"/>
    <numFmt numFmtId="167" formatCode="0.0%_);\(0.0%\);\-_);@_)"/>
    <numFmt numFmtId="168" formatCode="#,##0\ &quot;sq. ft.&quot;"/>
    <numFmt numFmtId="169" formatCode="&quot;FY&quot;yy"/>
    <numFmt numFmtId="170" formatCode="0.00\ \x_);\(0.00\ \x\);\-_);@_)"/>
    <numFmt numFmtId="171" formatCode="&quot;$&quot;#,##0"/>
    <numFmt numFmtId="172" formatCode="&quot;$&quot;#,##0.00"/>
    <numFmt numFmtId="173" formatCode="_(&quot;$&quot;* #,##0_);_(&quot;$&quot;* \(#,##0\);_(&quot;$&quot;* &quot;-&quot;??_);_(@_)"/>
  </numFmts>
  <fonts count="29" x14ac:knownFonts="1"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i/>
      <sz val="12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sz val="12"/>
      <color rgb="FF0000FF"/>
      <name val="Calibri"/>
      <family val="2"/>
    </font>
    <font>
      <sz val="12"/>
      <name val="Calibri"/>
      <family val="2"/>
    </font>
    <font>
      <i/>
      <sz val="12"/>
      <color rgb="FF0000F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2"/>
      <color theme="1"/>
      <name val="Calibri"/>
      <family val="2"/>
    </font>
    <font>
      <sz val="26"/>
      <color theme="1"/>
      <name val="Calibri"/>
      <family val="2"/>
    </font>
    <font>
      <sz val="16"/>
      <color theme="0"/>
      <name val="Calibri"/>
      <family val="2"/>
    </font>
    <font>
      <b/>
      <sz val="18"/>
      <color rgb="FFFFFFFF"/>
      <name val="Calibri"/>
      <family val="2"/>
    </font>
    <font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9"/>
      <color rgb="FF777777"/>
      <name val="Calibri"/>
      <family val="2"/>
    </font>
    <font>
      <b/>
      <i/>
      <sz val="11"/>
      <name val="Calibri"/>
      <family val="2"/>
    </font>
    <font>
      <sz val="11"/>
      <color theme="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/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</cellStyleXfs>
  <cellXfs count="145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3" fillId="2" borderId="2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8" fillId="3" borderId="1" xfId="0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 indent="1"/>
    </xf>
    <xf numFmtId="0" fontId="9" fillId="0" borderId="0" xfId="0" applyFont="1"/>
    <xf numFmtId="165" fontId="8" fillId="3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left"/>
    </xf>
    <xf numFmtId="1" fontId="8" fillId="3" borderId="1" xfId="0" applyNumberFormat="1" applyFont="1" applyFill="1" applyBorder="1" applyAlignment="1" applyProtection="1">
      <alignment horizontal="center"/>
      <protection locked="0"/>
    </xf>
    <xf numFmtId="164" fontId="8" fillId="3" borderId="1" xfId="0" applyNumberFormat="1" applyFont="1" applyFill="1" applyBorder="1" applyAlignment="1" applyProtection="1">
      <alignment horizontal="center"/>
      <protection locked="0"/>
    </xf>
    <xf numFmtId="167" fontId="8" fillId="3" borderId="1" xfId="0" applyNumberFormat="1" applyFont="1" applyFill="1" applyBorder="1" applyAlignment="1" applyProtection="1">
      <alignment horizontal="center"/>
      <protection locked="0"/>
    </xf>
    <xf numFmtId="168" fontId="9" fillId="0" borderId="0" xfId="0" applyNumberFormat="1" applyFont="1"/>
    <xf numFmtId="0" fontId="5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6" fillId="0" borderId="0" xfId="0" quotePrefix="1" applyFont="1" applyAlignment="1">
      <alignment horizontal="center"/>
    </xf>
    <xf numFmtId="166" fontId="5" fillId="0" borderId="0" xfId="0" quotePrefix="1" applyNumberFormat="1" applyFont="1" applyAlignment="1">
      <alignment horizontal="center"/>
    </xf>
    <xf numFmtId="42" fontId="9" fillId="0" borderId="0" xfId="0" applyNumberFormat="1" applyFont="1" applyProtection="1">
      <protection locked="0"/>
    </xf>
    <xf numFmtId="44" fontId="9" fillId="0" borderId="0" xfId="0" applyNumberFormat="1" applyFont="1" applyProtection="1">
      <protection locked="0"/>
    </xf>
    <xf numFmtId="0" fontId="4" fillId="5" borderId="2" xfId="0" applyFont="1" applyFill="1" applyBorder="1" applyAlignment="1">
      <alignment horizontal="centerContinuous"/>
    </xf>
    <xf numFmtId="0" fontId="6" fillId="0" borderId="0" xfId="0" quotePrefix="1" applyFont="1" applyAlignment="1">
      <alignment horizontal="left"/>
    </xf>
    <xf numFmtId="0" fontId="7" fillId="2" borderId="2" xfId="0" applyFont="1" applyFill="1" applyBorder="1" applyAlignment="1">
      <alignment horizontal="left"/>
    </xf>
    <xf numFmtId="164" fontId="5" fillId="0" borderId="0" xfId="0" applyNumberFormat="1" applyFont="1" applyAlignment="1">
      <alignment horizontal="left" indent="1"/>
    </xf>
    <xf numFmtId="42" fontId="5" fillId="0" borderId="0" xfId="0" applyNumberFormat="1" applyFont="1"/>
    <xf numFmtId="9" fontId="5" fillId="0" borderId="0" xfId="0" applyNumberFormat="1" applyFont="1"/>
    <xf numFmtId="164" fontId="5" fillId="0" borderId="0" xfId="0" applyNumberFormat="1" applyFont="1"/>
    <xf numFmtId="41" fontId="5" fillId="0" borderId="0" xfId="0" applyNumberFormat="1" applyFont="1"/>
    <xf numFmtId="164" fontId="4" fillId="0" borderId="7" xfId="0" applyNumberFormat="1" applyFont="1" applyBorder="1"/>
    <xf numFmtId="42" fontId="4" fillId="0" borderId="7" xfId="0" applyNumberFormat="1" applyFont="1" applyBorder="1"/>
    <xf numFmtId="0" fontId="3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Continuous"/>
    </xf>
    <xf numFmtId="0" fontId="3" fillId="2" borderId="5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169" fontId="3" fillId="2" borderId="2" xfId="0" applyNumberFormat="1" applyFont="1" applyFill="1" applyBorder="1" applyAlignment="1">
      <alignment horizontal="center"/>
    </xf>
    <xf numFmtId="169" fontId="3" fillId="2" borderId="6" xfId="0" applyNumberFormat="1" applyFont="1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3" fillId="2" borderId="2" xfId="0" applyFont="1" applyFill="1" applyBorder="1" applyAlignment="1">
      <alignment horizontal="center"/>
    </xf>
    <xf numFmtId="169" fontId="3" fillId="2" borderId="8" xfId="0" applyNumberFormat="1" applyFont="1" applyFill="1" applyBorder="1" applyAlignment="1">
      <alignment horizontal="center"/>
    </xf>
    <xf numFmtId="164" fontId="5" fillId="0" borderId="7" xfId="0" applyNumberFormat="1" applyFont="1" applyBorder="1"/>
    <xf numFmtId="0" fontId="6" fillId="0" borderId="2" xfId="0" applyFont="1" applyBorder="1" applyAlignment="1">
      <alignment horizontal="center"/>
    </xf>
    <xf numFmtId="0" fontId="4" fillId="0" borderId="7" xfId="0" applyFont="1" applyBorder="1"/>
    <xf numFmtId="164" fontId="4" fillId="0" borderId="0" xfId="0" applyNumberFormat="1" applyFont="1"/>
    <xf numFmtId="0" fontId="6" fillId="0" borderId="0" xfId="0" applyFont="1" applyAlignment="1">
      <alignment horizontal="left" indent="1"/>
    </xf>
    <xf numFmtId="167" fontId="6" fillId="0" borderId="0" xfId="0" applyNumberFormat="1" applyFont="1"/>
    <xf numFmtId="0" fontId="11" fillId="0" borderId="0" xfId="0" applyFont="1" applyAlignment="1">
      <alignment horizontal="left" indent="1"/>
    </xf>
    <xf numFmtId="0" fontId="12" fillId="0" borderId="0" xfId="0" applyFont="1"/>
    <xf numFmtId="164" fontId="12" fillId="0" borderId="0" xfId="0" applyNumberFormat="1" applyFont="1"/>
    <xf numFmtId="0" fontId="4" fillId="0" borderId="0" xfId="0" applyFont="1" applyAlignment="1">
      <alignment horizontal="left"/>
    </xf>
    <xf numFmtId="0" fontId="11" fillId="0" borderId="0" xfId="0" applyFont="1"/>
    <xf numFmtId="170" fontId="6" fillId="0" borderId="0" xfId="0" applyNumberFormat="1" applyFont="1"/>
    <xf numFmtId="41" fontId="8" fillId="0" borderId="2" xfId="0" applyNumberFormat="1" applyFont="1" applyBorder="1" applyProtection="1">
      <protection locked="0"/>
    </xf>
    <xf numFmtId="0" fontId="12" fillId="0" borderId="7" xfId="0" applyFont="1" applyBorder="1"/>
    <xf numFmtId="0" fontId="5" fillId="0" borderId="7" xfId="0" applyFont="1" applyBorder="1"/>
    <xf numFmtId="42" fontId="12" fillId="0" borderId="7" xfId="0" applyNumberFormat="1" applyFont="1" applyBorder="1"/>
    <xf numFmtId="0" fontId="12" fillId="4" borderId="9" xfId="0" applyFont="1" applyFill="1" applyBorder="1" applyAlignment="1">
      <alignment horizontal="left"/>
    </xf>
    <xf numFmtId="0" fontId="13" fillId="4" borderId="10" xfId="0" applyFont="1" applyFill="1" applyBorder="1" applyAlignment="1">
      <alignment horizontal="center"/>
    </xf>
    <xf numFmtId="0" fontId="12" fillId="4" borderId="10" xfId="0" applyFont="1" applyFill="1" applyBorder="1"/>
    <xf numFmtId="166" fontId="4" fillId="4" borderId="11" xfId="0" applyNumberFormat="1" applyFont="1" applyFill="1" applyBorder="1" applyAlignment="1">
      <alignment horizontal="center"/>
    </xf>
    <xf numFmtId="8" fontId="5" fillId="0" borderId="0" xfId="0" applyNumberFormat="1" applyFont="1"/>
    <xf numFmtId="170" fontId="6" fillId="0" borderId="0" xfId="0" applyNumberFormat="1" applyFont="1" applyAlignment="1">
      <alignment horizontal="center"/>
    </xf>
    <xf numFmtId="166" fontId="8" fillId="0" borderId="0" xfId="0" applyNumberFormat="1" applyFont="1" applyAlignment="1" applyProtection="1">
      <alignment horizontal="center"/>
      <protection locked="0"/>
    </xf>
    <xf numFmtId="0" fontId="12" fillId="0" borderId="7" xfId="0" applyFont="1" applyBorder="1" applyAlignment="1">
      <alignment horizontal="left"/>
    </xf>
    <xf numFmtId="164" fontId="5" fillId="0" borderId="2" xfId="0" applyNumberFormat="1" applyFont="1" applyBorder="1"/>
    <xf numFmtId="41" fontId="5" fillId="0" borderId="2" xfId="0" applyNumberFormat="1" applyFont="1" applyBorder="1"/>
    <xf numFmtId="44" fontId="5" fillId="0" borderId="0" xfId="0" applyNumberFormat="1" applyFont="1"/>
    <xf numFmtId="44" fontId="14" fillId="0" borderId="0" xfId="0" applyNumberFormat="1" applyFont="1"/>
    <xf numFmtId="43" fontId="14" fillId="0" borderId="0" xfId="0" applyNumberFormat="1" applyFont="1"/>
    <xf numFmtId="168" fontId="8" fillId="3" borderId="1" xfId="0" applyNumberFormat="1" applyFont="1" applyFill="1" applyBorder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44" fontId="15" fillId="0" borderId="0" xfId="0" applyNumberFormat="1" applyFont="1"/>
    <xf numFmtId="43" fontId="15" fillId="0" borderId="0" xfId="0" applyNumberFormat="1" applyFont="1"/>
    <xf numFmtId="167" fontId="5" fillId="0" borderId="0" xfId="0" quotePrefix="1" applyNumberFormat="1" applyFont="1" applyAlignment="1">
      <alignment horizontal="center"/>
    </xf>
    <xf numFmtId="164" fontId="9" fillId="3" borderId="1" xfId="0" applyNumberFormat="1" applyFont="1" applyFill="1" applyBorder="1" applyAlignment="1" applyProtection="1">
      <alignment horizontal="center"/>
      <protection locked="0"/>
    </xf>
    <xf numFmtId="41" fontId="12" fillId="0" borderId="0" xfId="0" applyNumberFormat="1" applyFont="1"/>
    <xf numFmtId="39" fontId="8" fillId="3" borderId="1" xfId="0" applyNumberFormat="1" applyFont="1" applyFill="1" applyBorder="1" applyAlignment="1" applyProtection="1">
      <alignment horizontal="center"/>
      <protection locked="0"/>
    </xf>
    <xf numFmtId="43" fontId="14" fillId="3" borderId="1" xfId="0" applyNumberFormat="1" applyFont="1" applyFill="1" applyBorder="1"/>
    <xf numFmtId="41" fontId="14" fillId="0" borderId="0" xfId="0" applyNumberFormat="1" applyFont="1"/>
    <xf numFmtId="164" fontId="14" fillId="0" borderId="0" xfId="0" applyNumberFormat="1" applyFont="1"/>
    <xf numFmtId="42" fontId="4" fillId="0" borderId="0" xfId="0" applyNumberFormat="1" applyFont="1"/>
    <xf numFmtId="167" fontId="16" fillId="0" borderId="0" xfId="0" applyNumberFormat="1" applyFont="1" applyAlignment="1">
      <alignment horizontal="right"/>
    </xf>
    <xf numFmtId="168" fontId="9" fillId="0" borderId="0" xfId="0" applyNumberFormat="1" applyFont="1" applyProtection="1">
      <protection locked="0"/>
    </xf>
    <xf numFmtId="165" fontId="9" fillId="0" borderId="0" xfId="0" applyNumberFormat="1" applyFont="1" applyAlignment="1" applyProtection="1">
      <alignment horizontal="center"/>
      <protection locked="0"/>
    </xf>
    <xf numFmtId="168" fontId="9" fillId="3" borderId="12" xfId="0" applyNumberFormat="1" applyFont="1" applyFill="1" applyBorder="1" applyProtection="1">
      <protection locked="0"/>
    </xf>
    <xf numFmtId="167" fontId="8" fillId="3" borderId="12" xfId="0" applyNumberFormat="1" applyFont="1" applyFill="1" applyBorder="1" applyAlignment="1" applyProtection="1">
      <alignment horizontal="center"/>
      <protection locked="0"/>
    </xf>
    <xf numFmtId="165" fontId="9" fillId="3" borderId="12" xfId="0" applyNumberFormat="1" applyFont="1" applyFill="1" applyBorder="1" applyAlignment="1" applyProtection="1">
      <alignment horizontal="center"/>
      <protection locked="0"/>
    </xf>
    <xf numFmtId="166" fontId="8" fillId="3" borderId="1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0" fontId="4" fillId="0" borderId="0" xfId="0" applyFont="1" applyAlignment="1">
      <alignment horizontal="centerContinuous"/>
    </xf>
    <xf numFmtId="0" fontId="18" fillId="0" borderId="0" xfId="0" applyFont="1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71" fontId="8" fillId="3" borderId="1" xfId="0" applyNumberFormat="1" applyFont="1" applyFill="1" applyBorder="1" applyAlignment="1">
      <alignment horizontal="center"/>
    </xf>
    <xf numFmtId="166" fontId="8" fillId="3" borderId="13" xfId="0" applyNumberFormat="1" applyFont="1" applyFill="1" applyBorder="1" applyAlignment="1">
      <alignment horizontal="center"/>
    </xf>
    <xf numFmtId="167" fontId="8" fillId="3" borderId="1" xfId="0" applyNumberFormat="1" applyFont="1" applyFill="1" applyBorder="1" applyAlignment="1">
      <alignment horizontal="center"/>
    </xf>
    <xf numFmtId="172" fontId="0" fillId="0" borderId="0" xfId="2" applyNumberFormat="1" applyFont="1" applyAlignment="1">
      <alignment vertical="center" wrapText="1"/>
    </xf>
    <xf numFmtId="2" fontId="0" fillId="0" borderId="0" xfId="0" applyNumberFormat="1" applyAlignment="1">
      <alignment vertical="center" wrapText="1"/>
    </xf>
    <xf numFmtId="0" fontId="0" fillId="6" borderId="0" xfId="0" applyFill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2" fillId="4" borderId="9" xfId="0" applyFont="1" applyFill="1" applyBorder="1"/>
    <xf numFmtId="0" fontId="19" fillId="4" borderId="10" xfId="0" applyFont="1" applyFill="1" applyBorder="1" applyAlignment="1">
      <alignment horizontal="center"/>
    </xf>
    <xf numFmtId="44" fontId="12" fillId="4" borderId="11" xfId="0" applyNumberFormat="1" applyFont="1" applyFill="1" applyBorder="1"/>
    <xf numFmtId="10" fontId="20" fillId="0" borderId="0" xfId="3" applyNumberFormat="1" applyFont="1" applyFill="1" applyAlignment="1"/>
    <xf numFmtId="0" fontId="0" fillId="0" borderId="16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7" borderId="0" xfId="0" applyFill="1"/>
    <xf numFmtId="167" fontId="6" fillId="0" borderId="0" xfId="0" applyNumberFormat="1" applyFont="1" applyAlignment="1">
      <alignment horizontal="right"/>
    </xf>
    <xf numFmtId="0" fontId="24" fillId="0" borderId="0" xfId="0" applyFont="1"/>
    <xf numFmtId="0" fontId="26" fillId="0" borderId="0" xfId="0" applyFont="1"/>
    <xf numFmtId="0" fontId="0" fillId="9" borderId="17" xfId="0" applyFill="1" applyBorder="1" applyAlignment="1">
      <alignment horizontal="center"/>
    </xf>
    <xf numFmtId="10" fontId="0" fillId="9" borderId="17" xfId="0" applyNumberFormat="1" applyFill="1" applyBorder="1" applyAlignment="1">
      <alignment horizontal="center"/>
    </xf>
    <xf numFmtId="173" fontId="5" fillId="0" borderId="0" xfId="2" applyNumberFormat="1" applyFont="1"/>
    <xf numFmtId="0" fontId="0" fillId="10" borderId="0" xfId="0" applyFill="1"/>
    <xf numFmtId="171" fontId="0" fillId="11" borderId="22" xfId="0" applyNumberFormat="1" applyFill="1" applyBorder="1" applyAlignment="1">
      <alignment horizontal="center"/>
    </xf>
    <xf numFmtId="10" fontId="0" fillId="11" borderId="22" xfId="0" applyNumberFormat="1" applyFill="1" applyBorder="1" applyAlignment="1">
      <alignment horizontal="center"/>
    </xf>
    <xf numFmtId="43" fontId="0" fillId="11" borderId="22" xfId="4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10" borderId="0" xfId="0" applyFill="1" applyAlignment="1">
      <alignment vertical="top"/>
    </xf>
    <xf numFmtId="0" fontId="18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22" fillId="8" borderId="0" xfId="0" applyFont="1" applyFill="1" applyAlignment="1">
      <alignment vertical="center"/>
    </xf>
    <xf numFmtId="0" fontId="0" fillId="0" borderId="0" xfId="0"/>
    <xf numFmtId="0" fontId="23" fillId="8" borderId="0" xfId="0" applyFont="1" applyFill="1"/>
    <xf numFmtId="0" fontId="25" fillId="10" borderId="19" xfId="0" applyFont="1" applyFill="1" applyBorder="1"/>
    <xf numFmtId="0" fontId="25" fillId="10" borderId="20" xfId="0" applyFont="1" applyFill="1" applyBorder="1"/>
    <xf numFmtId="0" fontId="25" fillId="10" borderId="21" xfId="0" applyFont="1" applyFill="1" applyBorder="1"/>
    <xf numFmtId="10" fontId="21" fillId="10" borderId="0" xfId="3" applyNumberFormat="1" applyFont="1" applyFill="1" applyAlignment="1">
      <alignment horizontal="center"/>
    </xf>
    <xf numFmtId="171" fontId="21" fillId="10" borderId="0" xfId="0" applyNumberFormat="1" applyFont="1" applyFill="1" applyAlignment="1">
      <alignment horizontal="center"/>
    </xf>
    <xf numFmtId="0" fontId="28" fillId="10" borderId="23" xfId="0" applyFont="1" applyFill="1" applyBorder="1" applyAlignment="1">
      <alignment horizontal="center"/>
    </xf>
    <xf numFmtId="0" fontId="28" fillId="10" borderId="2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170" fontId="21" fillId="10" borderId="0" xfId="0" applyNumberFormat="1" applyFont="1" applyFill="1" applyAlignment="1">
      <alignment horizontal="center"/>
    </xf>
  </cellXfs>
  <cellStyles count="5">
    <cellStyle name="Comma" xfId="4" builtinId="3"/>
    <cellStyle name="Currency" xfId="2" builtinId="4"/>
    <cellStyle name="Normal" xfId="0" builtinId="0"/>
    <cellStyle name="Normal 2" xfId="1" xr:uid="{00000000-0005-0000-0000-000001000000}"/>
    <cellStyle name="Percent" xfId="3" builtinId="5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numFmt numFmtId="14" formatCode="0.00%"/>
      <alignment horizontal="general" vertical="center" textRotation="0" wrapText="1" indent="0" justifyLastLine="0" shrinkToFit="0" readingOrder="0"/>
    </dxf>
    <dxf>
      <numFmt numFmtId="14" formatCode="0.00%"/>
      <alignment horizontal="general" vertical="center" textRotation="0" wrapText="1" indent="0" justifyLastLine="0" shrinkToFit="0" readingOrder="0"/>
    </dxf>
    <dxf>
      <numFmt numFmtId="14" formatCode="0.00%"/>
      <alignment horizontal="general" vertical="center" textRotation="0" wrapText="1" indent="0" justifyLastLine="0" shrinkToFit="0" readingOrder="0"/>
    </dxf>
    <dxf>
      <numFmt numFmtId="14" formatCode="0.00%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00FF"/>
      <color rgb="FFB2B2B2"/>
      <color rgb="FFFFFF99"/>
      <color rgb="FFBDD7EE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microsoft.com/office/2017/10/relationships/person" Target="persons/person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'Pro-Forma'!$C$94</c:f>
              <c:strCache>
                <c:ptCount val="1"/>
                <c:pt idx="0">
                  <c:v>NOI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'Pro-Forma'!$F$68:$P$68</c15:sqref>
                  </c15:fullRef>
                </c:ext>
              </c:extLst>
              <c:f>'Pro-Forma'!$G$68:$P$68</c:f>
              <c:numCache>
                <c:formatCode>General</c:formatCode>
                <c:ptCount val="10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'Pro-Forma'!$G$94:$P$94</c15:sqref>
                  </c15:fullRef>
                </c:ext>
              </c:extLst>
              <c:f>'Pro-Forma'!$H$94:$P$94</c:f>
              <c:numCache>
                <c:formatCode>0.0%_);\(0.0%\);\-_);@_)</c:formatCode>
                <c:ptCount val="9"/>
                <c:pt idx="0">
                  <c:v>0.72698450725906216</c:v>
                </c:pt>
                <c:pt idx="1">
                  <c:v>0.72570036395310433</c:v>
                </c:pt>
                <c:pt idx="2">
                  <c:v>0.72444405758861807</c:v>
                </c:pt>
                <c:pt idx="3">
                  <c:v>0.72253786138788023</c:v>
                </c:pt>
                <c:pt idx="4">
                  <c:v>0.72154167455889717</c:v>
                </c:pt>
                <c:pt idx="5">
                  <c:v>0.72145635210794157</c:v>
                </c:pt>
                <c:pt idx="6">
                  <c:v>0.70167152606827465</c:v>
                </c:pt>
                <c:pt idx="7">
                  <c:v>0.70074175265846694</c:v>
                </c:pt>
                <c:pt idx="8">
                  <c:v>0.70074175265846694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534-4C4C-B464-BC3780A7F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41951"/>
        <c:axId val="40631391"/>
      </c:lineChart>
      <c:lineChart>
        <c:grouping val="standard"/>
        <c:varyColors val="0"/>
        <c:ser>
          <c:idx val="1"/>
          <c:order val="1"/>
          <c:tx>
            <c:strRef>
              <c:f>'Pro-Forma'!$C$82</c:f>
              <c:strCache>
                <c:ptCount val="1"/>
                <c:pt idx="0">
                  <c:v>EGI Growth Rate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'Pro-Forma'!$F$68:$P$68</c15:sqref>
                  </c15:fullRef>
                </c:ext>
              </c:extLst>
              <c:f>'Pro-Forma'!$G$68:$P$68</c:f>
              <c:numCache>
                <c:formatCode>General</c:formatCode>
                <c:ptCount val="10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'Pro-Forma'!$G$82:$P$82</c15:sqref>
                  </c15:fullRef>
                </c:ext>
              </c:extLst>
              <c:f>'Pro-Forma'!$H$82:$P$82</c:f>
              <c:numCache>
                <c:formatCode>0.0%_);\(0.0%\);\-_);@_)</c:formatCode>
                <c:ptCount val="9"/>
                <c:pt idx="0">
                  <c:v>3.834528365318679E-2</c:v>
                </c:pt>
                <c:pt idx="1">
                  <c:v>3.5379028877222662E-2</c:v>
                </c:pt>
                <c:pt idx="2">
                  <c:v>3.5782227732672478E-2</c:v>
                </c:pt>
                <c:pt idx="3">
                  <c:v>2.8165899556206409E-2</c:v>
                </c:pt>
                <c:pt idx="4">
                  <c:v>1.6952128755764795E-2</c:v>
                </c:pt>
                <c:pt idx="5">
                  <c:v>2.7545488501807824E-2</c:v>
                </c:pt>
                <c:pt idx="6">
                  <c:v>3.1043668347051856E-2</c:v>
                </c:pt>
                <c:pt idx="7">
                  <c:v>1.9270833333332904E-2</c:v>
                </c:pt>
                <c:pt idx="8">
                  <c:v>3.0000000000000249E-2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534-4C4C-B464-BC3780A7F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048448"/>
        <c:axId val="817047968"/>
      </c:lineChart>
      <c:catAx>
        <c:axId val="40641951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1391"/>
        <c:crosses val="max"/>
        <c:auto val="1"/>
        <c:lblAlgn val="ctr"/>
        <c:lblOffset val="100"/>
        <c:noMultiLvlLbl val="0"/>
      </c:catAx>
      <c:valAx>
        <c:axId val="40631391"/>
        <c:scaling>
          <c:orientation val="minMax"/>
          <c:max val="0.73000000000000009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%_);\(0.0%\);\-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41951"/>
        <c:crosses val="autoZero"/>
        <c:crossBetween val="between"/>
      </c:valAx>
      <c:valAx>
        <c:axId val="817047968"/>
        <c:scaling>
          <c:orientation val="minMax"/>
          <c:max val="5.000000000000001E-2"/>
        </c:scaling>
        <c:delete val="0"/>
        <c:axPos val="r"/>
        <c:numFmt formatCode="0.0%_);\(0.0%\);\-_);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048448"/>
        <c:crosses val="max"/>
        <c:crossBetween val="between"/>
      </c:valAx>
      <c:catAx>
        <c:axId val="8170484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81704796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'Pro-Forma'!$C$105</c:f>
              <c:strCache>
                <c:ptCount val="1"/>
                <c:pt idx="0">
                  <c:v>Cash Flow to Equity Investors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'Pro-Forma'!$F$68:$P$68</c:f>
              <c:numCache>
                <c:formatCode>General</c:formatCode>
                <c:ptCount val="1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</c:numCache>
            </c:numRef>
          </c:cat>
          <c:val>
            <c:numRef>
              <c:f>'Pro-Forma'!$G$105:$P$105</c:f>
              <c:numCache>
                <c:formatCode>#,##0_);\(#,##0\);\-_);@_)</c:formatCode>
                <c:ptCount val="10"/>
                <c:pt idx="0">
                  <c:v>14516720.312574305</c:v>
                </c:pt>
                <c:pt idx="1">
                  <c:v>15303781.477784049</c:v>
                </c:pt>
                <c:pt idx="2">
                  <c:v>16050954.036777388</c:v>
                </c:pt>
                <c:pt idx="3">
                  <c:v>16833298.569984909</c:v>
                </c:pt>
                <c:pt idx="4">
                  <c:v>17439255.316621721</c:v>
                </c:pt>
                <c:pt idx="5">
                  <c:v>17818766.089848921</c:v>
                </c:pt>
                <c:pt idx="6">
                  <c:v>18498478.01051084</c:v>
                </c:pt>
                <c:pt idx="7">
                  <c:v>18568987.818566319</c:v>
                </c:pt>
                <c:pt idx="8">
                  <c:v>19026590.051575225</c:v>
                </c:pt>
                <c:pt idx="9">
                  <c:v>19806384.124273632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6-4425-998C-AA40E644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-27"/>
        <c:axId val="307518111"/>
        <c:axId val="307521471"/>
      </c:barChart>
      <c:catAx>
        <c:axId val="30751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521471"/>
        <c:crosses val="autoZero"/>
        <c:auto val="1"/>
        <c:lblAlgn val="ctr"/>
        <c:lblOffset val="100"/>
        <c:noMultiLvlLbl val="0"/>
      </c:catAx>
      <c:valAx>
        <c:axId val="30752147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Cash Flow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;\-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518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09FEF1FC-10B9-457D-A5A5-CBB467B4C4A0}">
          <cx:tx>
            <cx:txData>
              <cx:f/>
              <cx:v>Series1</cx:v>
            </cx:txData>
          </cx:tx>
          <cx:dataLabels pos="outEnd">
            <cx:visibility seriesName="0" categoryName="0" value="1"/>
          </cx:dataLabels>
          <cx:dataId val="0"/>
          <cx:layoutPr>
            <cx:subtotals>
              <cx:idx val="3"/>
            </cx:subtotals>
          </cx:layoutPr>
        </cx:series>
      </cx:plotAreaRegion>
      <cx:axis id="0">
        <cx:catScaling gapWidth="0.5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/>
            </a:pPr>
            <a:endParaRPr lang="en-US" sz="8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tickLabels/>
      </cx:axis>
    </cx:plotArea>
  </cx:chart>
  <cx:spPr>
    <a:noFill/>
    <a:ln>
      <a:noFill/>
    </a:ln>
    <a:effectLst>
      <a:softEdge rad="0"/>
    </a:effectLst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funnel" uniqueId="{00000006-D1FB-4C10-8C3C-6564AA806565}" formatIdx="0">
          <cx:tx>
            <cx:txData>
              <cx:f/>
              <cx:v>Value</cx:v>
            </cx:txData>
          </cx:tx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kern="1200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799999982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900"/>
            </a:pPr>
            <a:endParaRPr lang="en-US" sz="9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5" Type="http://schemas.openxmlformats.org/officeDocument/2006/relationships/image" Target="../media/image2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529200</xdr:colOff>
      <xdr:row>0</xdr:row>
      <xdr:rowOff>0</xdr:rowOff>
    </xdr:from>
    <xdr:to>
      <xdr:col>10</xdr:col>
      <xdr:colOff>0</xdr:colOff>
      <xdr:row>2</xdr:row>
      <xdr:rowOff>175260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8FB7641-1995-80F0-9950-A9E06A191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420" y="0"/>
          <a:ext cx="690000" cy="54102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152400</xdr:rowOff>
    </xdr:from>
    <xdr:to>
      <xdr:col>24</xdr:col>
      <xdr:colOff>13138</xdr:colOff>
      <xdr:row>3</xdr:row>
      <xdr:rowOff>68580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6457BA-E684-B013-635C-F7A36F70DC09}"/>
            </a:ext>
          </a:extLst>
        </xdr:cNvPr>
        <xdr:cNvSpPr/>
      </xdr:nvSpPr>
      <xdr:spPr>
        <a:xfrm>
          <a:off x="1787076" y="1072055"/>
          <a:ext cx="13781372" cy="467973"/>
        </a:xfrm>
        <a:prstGeom prst="roundRect">
          <a:avLst>
            <a:gd name="adj" fmla="val 5192"/>
          </a:avLst>
        </a:prstGeom>
        <a:solidFill>
          <a:schemeClr val="accent1">
            <a:lumMod val="50000"/>
          </a:schemeClr>
        </a:solidFill>
        <a:ln w="6350">
          <a:solidFill>
            <a:sysClr val="windowText" lastClr="00000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</a:rPr>
            <a:t>INVESTMENT SUMMARY DASHBOARD</a:t>
          </a:r>
        </a:p>
      </xdr:txBody>
    </xdr:sp>
    <xdr:clientData/>
  </xdr:twoCellAnchor>
  <xdr:twoCellAnchor>
    <xdr:from>
      <xdr:col>1</xdr:col>
      <xdr:colOff>370574</xdr:colOff>
      <xdr:row>17</xdr:row>
      <xdr:rowOff>103909</xdr:rowOff>
    </xdr:from>
    <xdr:to>
      <xdr:col>4</xdr:col>
      <xdr:colOff>235174</xdr:colOff>
      <xdr:row>20</xdr:row>
      <xdr:rowOff>72535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69FD7B-2970-AD80-61B2-4CDB85733257}"/>
            </a:ext>
          </a:extLst>
        </xdr:cNvPr>
        <xdr:cNvSpPr/>
      </xdr:nvSpPr>
      <xdr:spPr>
        <a:xfrm>
          <a:off x="2215416" y="4181277"/>
          <a:ext cx="1762916" cy="677153"/>
        </a:xfrm>
        <a:prstGeom prst="roundRect">
          <a:avLst>
            <a:gd name="adj" fmla="val 6831"/>
          </a:avLst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bg1"/>
              </a:solidFill>
            </a:rPr>
            <a:t>IRR</a:t>
          </a:r>
        </a:p>
      </xdr:txBody>
    </xdr:sp>
    <xdr:clientData/>
  </xdr:twoCellAnchor>
  <xdr:twoCellAnchor>
    <xdr:from>
      <xdr:col>1</xdr:col>
      <xdr:colOff>315854</xdr:colOff>
      <xdr:row>29</xdr:row>
      <xdr:rowOff>57728</xdr:rowOff>
    </xdr:from>
    <xdr:to>
      <xdr:col>4</xdr:col>
      <xdr:colOff>257299</xdr:colOff>
      <xdr:row>32</xdr:row>
      <xdr:rowOff>77513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484A72A-AB46-C1DF-6CA9-B0DE4E6B6156}"/>
            </a:ext>
          </a:extLst>
        </xdr:cNvPr>
        <xdr:cNvSpPr/>
      </xdr:nvSpPr>
      <xdr:spPr>
        <a:xfrm>
          <a:off x="2151581" y="6800273"/>
          <a:ext cx="1823354" cy="654785"/>
        </a:xfrm>
        <a:prstGeom prst="roundRect">
          <a:avLst>
            <a:gd name="adj" fmla="val 6831"/>
          </a:avLst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CoC Multiple</a:t>
          </a:r>
        </a:p>
      </xdr:txBody>
    </xdr:sp>
    <xdr:clientData/>
  </xdr:twoCellAnchor>
  <xdr:twoCellAnchor>
    <xdr:from>
      <xdr:col>1</xdr:col>
      <xdr:colOff>359832</xdr:colOff>
      <xdr:row>21</xdr:row>
      <xdr:rowOff>23092</xdr:rowOff>
    </xdr:from>
    <xdr:to>
      <xdr:col>4</xdr:col>
      <xdr:colOff>254000</xdr:colOff>
      <xdr:row>24</xdr:row>
      <xdr:rowOff>56394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68A2CA5-1761-E0F7-BCFD-72E987653CA3}"/>
            </a:ext>
          </a:extLst>
        </xdr:cNvPr>
        <xdr:cNvSpPr/>
      </xdr:nvSpPr>
      <xdr:spPr>
        <a:xfrm>
          <a:off x="2204674" y="4996145"/>
          <a:ext cx="1792484" cy="674986"/>
        </a:xfrm>
        <a:prstGeom prst="roundRect">
          <a:avLst>
            <a:gd name="adj" fmla="val 6831"/>
          </a:avLst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bg1"/>
              </a:solidFill>
            </a:rPr>
            <a:t>Equity</a:t>
          </a:r>
          <a:r>
            <a:rPr lang="en-US" sz="1800" b="1" baseline="0">
              <a:solidFill>
                <a:schemeClr val="bg1"/>
              </a:solidFill>
            </a:rPr>
            <a:t> Multiple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338191</xdr:colOff>
      <xdr:row>25</xdr:row>
      <xdr:rowOff>34637</xdr:rowOff>
    </xdr:from>
    <xdr:to>
      <xdr:col>4</xdr:col>
      <xdr:colOff>252573</xdr:colOff>
      <xdr:row>28</xdr:row>
      <xdr:rowOff>72787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45EF2E1-0D34-A9C3-A76B-6C98828C1384}"/>
            </a:ext>
          </a:extLst>
        </xdr:cNvPr>
        <xdr:cNvSpPr/>
      </xdr:nvSpPr>
      <xdr:spPr>
        <a:xfrm>
          <a:off x="2163149" y="5791259"/>
          <a:ext cx="1796970" cy="678486"/>
        </a:xfrm>
        <a:prstGeom prst="roundRect">
          <a:avLst>
            <a:gd name="adj" fmla="val 6831"/>
          </a:avLst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bg1"/>
              </a:solidFill>
            </a:rPr>
            <a:t>NPV</a:t>
          </a:r>
        </a:p>
      </xdr:txBody>
    </xdr:sp>
    <xdr:clientData/>
  </xdr:twoCellAnchor>
  <xdr:twoCellAnchor>
    <xdr:from>
      <xdr:col>15</xdr:col>
      <xdr:colOff>39414</xdr:colOff>
      <xdr:row>7</xdr:row>
      <xdr:rowOff>13607</xdr:rowOff>
    </xdr:from>
    <xdr:to>
      <xdr:col>24</xdr:col>
      <xdr:colOff>13138</xdr:colOff>
      <xdr:row>17</xdr:row>
      <xdr:rowOff>35169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2D6EDE4-EA7E-42D7-8123-2FFE0D078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95734" y="1293767"/>
              <a:ext cx="5460124" cy="18122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26276</xdr:colOff>
      <xdr:row>3</xdr:row>
      <xdr:rowOff>158921</xdr:rowOff>
    </xdr:from>
    <xdr:to>
      <xdr:col>24</xdr:col>
      <xdr:colOff>13139</xdr:colOff>
      <xdr:row>17</xdr:row>
      <xdr:rowOff>46892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F721DC6-496C-B98D-8402-B702D4D38A24}"/>
            </a:ext>
          </a:extLst>
        </xdr:cNvPr>
        <xdr:cNvSpPr/>
      </xdr:nvSpPr>
      <xdr:spPr>
        <a:xfrm>
          <a:off x="10142483" y="1630369"/>
          <a:ext cx="5425966" cy="2844006"/>
        </a:xfrm>
        <a:prstGeom prst="roundRect">
          <a:avLst>
            <a:gd name="adj" fmla="val 3785"/>
          </a:avLst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REVENUE COMPOSITION</a:t>
          </a:r>
        </a:p>
      </xdr:txBody>
    </xdr:sp>
    <xdr:clientData/>
  </xdr:twoCellAnchor>
  <xdr:twoCellAnchor>
    <xdr:from>
      <xdr:col>5</xdr:col>
      <xdr:colOff>91440</xdr:colOff>
      <xdr:row>6</xdr:row>
      <xdr:rowOff>165492</xdr:rowOff>
    </xdr:from>
    <xdr:to>
      <xdr:col>14</xdr:col>
      <xdr:colOff>525517</xdr:colOff>
      <xdr:row>17</xdr:row>
      <xdr:rowOff>47437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D663C93B-CC50-4489-9369-D3E6ECB80F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72740" y="1262772"/>
              <a:ext cx="5699497" cy="1855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140369</xdr:colOff>
      <xdr:row>20</xdr:row>
      <xdr:rowOff>82378</xdr:rowOff>
    </xdr:from>
    <xdr:to>
      <xdr:col>11</xdr:col>
      <xdr:colOff>394138</xdr:colOff>
      <xdr:row>32</xdr:row>
      <xdr:rowOff>180472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F509DA9-40E5-4626-B17E-030649A41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505047</xdr:colOff>
      <xdr:row>20</xdr:row>
      <xdr:rowOff>82378</xdr:rowOff>
    </xdr:from>
    <xdr:to>
      <xdr:col>24</xdr:col>
      <xdr:colOff>36286</xdr:colOff>
      <xdr:row>33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D533984-E82C-423B-BCE9-06C7CCFF9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504568</xdr:colOff>
      <xdr:row>18</xdr:row>
      <xdr:rowOff>10297</xdr:rowOff>
    </xdr:from>
    <xdr:to>
      <xdr:col>24</xdr:col>
      <xdr:colOff>9071</xdr:colOff>
      <xdr:row>32</xdr:row>
      <xdr:rowOff>175054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39845080-BFA1-1CFC-BF0E-CE477ACB6492}"/>
            </a:ext>
          </a:extLst>
        </xdr:cNvPr>
        <xdr:cNvSpPr/>
      </xdr:nvSpPr>
      <xdr:spPr>
        <a:xfrm>
          <a:off x="8242497" y="4192226"/>
          <a:ext cx="7405717" cy="3103899"/>
        </a:xfrm>
        <a:prstGeom prst="roundRect">
          <a:avLst>
            <a:gd name="adj" fmla="val 248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ANNUAL CASH FLOW TO EQUITY</a:t>
          </a:r>
        </a:p>
      </xdr:txBody>
    </xdr:sp>
    <xdr:clientData/>
  </xdr:twoCellAnchor>
  <xdr:twoCellAnchor>
    <xdr:from>
      <xdr:col>5</xdr:col>
      <xdr:colOff>142165</xdr:colOff>
      <xdr:row>18</xdr:row>
      <xdr:rowOff>974</xdr:rowOff>
    </xdr:from>
    <xdr:to>
      <xdr:col>11</xdr:col>
      <xdr:colOff>381000</xdr:colOff>
      <xdr:row>32</xdr:row>
      <xdr:rowOff>172064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12E20A9-788C-95FF-62D4-697D7B51C4D2}"/>
            </a:ext>
          </a:extLst>
        </xdr:cNvPr>
        <xdr:cNvSpPr/>
      </xdr:nvSpPr>
      <xdr:spPr>
        <a:xfrm>
          <a:off x="4443778" y="4556587"/>
          <a:ext cx="3655545" cy="2858574"/>
        </a:xfrm>
        <a:prstGeom prst="roundRect">
          <a:avLst>
            <a:gd name="adj" fmla="val 2695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GROWTH VS. OPERATIONAL EFFICIENCY</a:t>
          </a:r>
        </a:p>
      </xdr:txBody>
    </xdr:sp>
    <xdr:clientData/>
  </xdr:twoCellAnchor>
  <xdr:twoCellAnchor>
    <xdr:from>
      <xdr:col>5</xdr:col>
      <xdr:colOff>97070</xdr:colOff>
      <xdr:row>3</xdr:row>
      <xdr:rowOff>155312</xdr:rowOff>
    </xdr:from>
    <xdr:to>
      <xdr:col>14</xdr:col>
      <xdr:colOff>510862</xdr:colOff>
      <xdr:row>17</xdr:row>
      <xdr:rowOff>48535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3E20A46B-6DC1-E642-3939-48224D5421E3}"/>
            </a:ext>
          </a:extLst>
        </xdr:cNvPr>
        <xdr:cNvSpPr/>
      </xdr:nvSpPr>
      <xdr:spPr>
        <a:xfrm>
          <a:off x="4431248" y="1630777"/>
          <a:ext cx="5694404" cy="2868420"/>
        </a:xfrm>
        <a:prstGeom prst="roundRect">
          <a:avLst>
            <a:gd name="adj" fmla="val 4315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VALUE BRIDGE: REVENUE TO EQUITY CASH FLOW</a:t>
          </a:r>
        </a:p>
      </xdr:txBody>
    </xdr:sp>
    <xdr:clientData/>
  </xdr:twoCellAnchor>
  <xdr:twoCellAnchor editAs="oneCell">
    <xdr:from>
      <xdr:col>2</xdr:col>
      <xdr:colOff>5291</xdr:colOff>
      <xdr:row>4</xdr:row>
      <xdr:rowOff>1888</xdr:rowOff>
    </xdr:from>
    <xdr:to>
      <xdr:col>4</xdr:col>
      <xdr:colOff>8329</xdr:colOff>
      <xdr:row>9</xdr:row>
      <xdr:rowOff>26459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82EBD1A-1DBC-3E8D-570E-92AE2FAF8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7029" y="1650806"/>
          <a:ext cx="1273037" cy="915653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2</xdr:col>
      <xdr:colOff>12290</xdr:colOff>
      <xdr:row>9</xdr:row>
      <xdr:rowOff>73742</xdr:rowOff>
    </xdr:from>
    <xdr:to>
      <xdr:col>3</xdr:col>
      <xdr:colOff>657532</xdr:colOff>
      <xdr:row>10</xdr:row>
      <xdr:rowOff>107462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23ECE790-1B9F-0EC5-1ECF-352E3ADC4338}"/>
            </a:ext>
          </a:extLst>
        </xdr:cNvPr>
        <xdr:cNvSpPr txBox="1"/>
      </xdr:nvSpPr>
      <xdr:spPr>
        <a:xfrm>
          <a:off x="2445774" y="2630129"/>
          <a:ext cx="1253613" cy="218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SCENARIO:</a:t>
          </a:r>
        </a:p>
      </xdr:txBody>
    </xdr:sp>
    <xdr:clientData/>
  </xdr:twoCellAnchor>
  <xdr:twoCellAnchor>
    <xdr:from>
      <xdr:col>1</xdr:col>
      <xdr:colOff>117060</xdr:colOff>
      <xdr:row>15</xdr:row>
      <xdr:rowOff>143564</xdr:rowOff>
    </xdr:from>
    <xdr:to>
      <xdr:col>4</xdr:col>
      <xdr:colOff>541130</xdr:colOff>
      <xdr:row>17</xdr:row>
      <xdr:rowOff>15459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11DF981-C139-CF78-D4FF-C5ED52725FB3}"/>
            </a:ext>
          </a:extLst>
        </xdr:cNvPr>
        <xdr:cNvSpPr txBox="1"/>
      </xdr:nvSpPr>
      <xdr:spPr>
        <a:xfrm>
          <a:off x="1939234" y="3887303"/>
          <a:ext cx="2301461" cy="247373"/>
        </a:xfrm>
        <a:prstGeom prst="rect">
          <a:avLst/>
        </a:prstGeom>
        <a:noFill/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INVESTMENT RETURNS SNAPSHOT: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FC56B1-0E2D-4FFB-8FBC-4BB0BD5A982B}" name="Table1" displayName="Table1" ref="B2:F7" totalsRowShown="0" headerRowDxfId="9" dataDxfId="8">
  <autoFilter ref="B2:F7" xr:uid="{F6FC56B1-0E2D-4FFB-8FBC-4BB0BD5A982B}"/>
  <tableColumns count="5">
    <tableColumn id="1" xr3:uid="{CBFEAFC3-A650-42DE-9AEA-616518D21429}" name="Metric" dataDxfId="7"/>
    <tableColumn id="2" xr3:uid="{721881EA-1730-49F1-8A55-50A569A664F1}" name="Stress Case" dataDxfId="6"/>
    <tableColumn id="3" xr3:uid="{242CA939-876F-4C5B-A180-A72630A859EA}" name="Downside Case" dataDxfId="5"/>
    <tableColumn id="4" xr3:uid="{52089A1C-9E80-4DDE-8562-B04DA1B5FBEE}" name="Base Case" dataDxfId="4"/>
    <tableColumn id="5" xr3:uid="{3DA7364F-89E0-4170-85A2-6106F5DD84CF}" name="Upside Cas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616ABF-ED44-4663-B20E-1B908D6EEBF5}" name="Table2" displayName="Table2" ref="B10:B21" totalsRowShown="0" headerRowDxfId="2" dataDxfId="1">
  <autoFilter ref="B10:B21" xr:uid="{9A616ABF-ED44-4663-B20E-1B908D6EEBF5}"/>
  <tableColumns count="1">
    <tableColumn id="1" xr3:uid="{EB591F99-2C09-4A45-9257-9DEE1575378B}" name="Year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CF2FE-C899-41D7-B906-179200BCFE4D}">
  <sheetPr codeName="Sheet4"/>
  <dimension ref="A1:J20"/>
  <sheetViews>
    <sheetView showGridLines="0" tabSelected="1" workbookViewId="0">
      <selection activeCell="H17" sqref="H17"/>
    </sheetView>
  </sheetViews>
  <sheetFormatPr defaultRowHeight="14.4" x14ac:dyDescent="0.3"/>
  <cols>
    <col min="1" max="1" width="40.77734375" bestFit="1" customWidth="1"/>
    <col min="3" max="3" width="13.5546875" bestFit="1" customWidth="1"/>
    <col min="6" max="6" width="21.33203125" bestFit="1" customWidth="1"/>
  </cols>
  <sheetData>
    <row r="1" spans="1:10" x14ac:dyDescent="0.3">
      <c r="A1" s="133" t="s">
        <v>162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3" spans="1:10" x14ac:dyDescent="0.3">
      <c r="A3" s="135" t="s">
        <v>150</v>
      </c>
      <c r="B3" s="134"/>
      <c r="C3" s="134"/>
      <c r="D3" s="134"/>
      <c r="E3" s="134"/>
      <c r="F3" s="134"/>
      <c r="G3" s="134"/>
      <c r="H3" s="134"/>
      <c r="I3" s="134"/>
      <c r="J3" s="134"/>
    </row>
    <row r="4" spans="1:10" ht="15" thickBot="1" x14ac:dyDescent="0.35"/>
    <row r="5" spans="1:10" ht="15.6" thickTop="1" thickBot="1" x14ac:dyDescent="0.35">
      <c r="A5" s="136" t="s">
        <v>151</v>
      </c>
      <c r="B5" s="137"/>
      <c r="C5" s="138"/>
    </row>
    <row r="6" spans="1:10" ht="15.6" thickTop="1" thickBot="1" x14ac:dyDescent="0.35">
      <c r="A6" s="119" t="s">
        <v>152</v>
      </c>
      <c r="C6" s="129" t="s">
        <v>90</v>
      </c>
    </row>
    <row r="7" spans="1:10" ht="15.6" thickTop="1" thickBot="1" x14ac:dyDescent="0.35">
      <c r="A7" s="119" t="s">
        <v>160</v>
      </c>
      <c r="C7" s="122">
        <f>Entry_Cap_Rate</f>
        <v>9.5481182300499998E-2</v>
      </c>
    </row>
    <row r="8" spans="1:10" ht="15.6" thickTop="1" thickBot="1" x14ac:dyDescent="0.35">
      <c r="A8" s="119" t="s">
        <v>153</v>
      </c>
      <c r="C8" s="122">
        <f>Exit_Cap_Rate</f>
        <v>7.2499999999999995E-2</v>
      </c>
    </row>
    <row r="9" spans="1:10" ht="15.6" thickTop="1" thickBot="1" x14ac:dyDescent="0.35">
      <c r="A9" s="119" t="s">
        <v>163</v>
      </c>
      <c r="C9" s="121">
        <v>10</v>
      </c>
    </row>
    <row r="10" spans="1:10" ht="15.6" thickTop="1" thickBot="1" x14ac:dyDescent="0.35"/>
    <row r="11" spans="1:10" ht="15.6" thickTop="1" thickBot="1" x14ac:dyDescent="0.35">
      <c r="A11" s="136" t="s">
        <v>164</v>
      </c>
      <c r="B11" s="137"/>
      <c r="C11" s="138"/>
    </row>
    <row r="12" spans="1:10" ht="15.6" thickTop="1" thickBot="1" x14ac:dyDescent="0.35">
      <c r="A12" s="119" t="s">
        <v>154</v>
      </c>
      <c r="C12" s="125">
        <f>Entry_Price</f>
        <v>225000000</v>
      </c>
    </row>
    <row r="13" spans="1:10" ht="15.6" thickTop="1" thickBot="1" x14ac:dyDescent="0.35">
      <c r="A13" s="119" t="s">
        <v>155</v>
      </c>
      <c r="C13" s="125">
        <f>'Pro-Forma'!E36</f>
        <v>128715625</v>
      </c>
    </row>
    <row r="14" spans="1:10" ht="15.6" thickTop="1" thickBot="1" x14ac:dyDescent="0.35">
      <c r="A14" s="119" t="s">
        <v>156</v>
      </c>
      <c r="C14" s="126">
        <f>LTV</f>
        <v>0.45</v>
      </c>
    </row>
    <row r="15" spans="1:10" ht="15.6" thickTop="1" thickBot="1" x14ac:dyDescent="0.35">
      <c r="A15" s="119" t="s">
        <v>157</v>
      </c>
      <c r="C15" s="126">
        <f>Loan_Interest_Rate</f>
        <v>5.5E-2</v>
      </c>
    </row>
    <row r="16" spans="1:10" ht="15.6" thickTop="1" thickBot="1" x14ac:dyDescent="0.35">
      <c r="A16" s="119" t="s">
        <v>158</v>
      </c>
      <c r="C16" s="127">
        <f>'Pro-Forma'!Q93</f>
        <v>23462801.119034626</v>
      </c>
    </row>
    <row r="17" spans="1:3" ht="15.6" thickTop="1" thickBot="1" x14ac:dyDescent="0.35">
      <c r="A17" s="119" t="s">
        <v>159</v>
      </c>
      <c r="C17" s="128">
        <f>Exit_Price</f>
        <v>323624843.02116728</v>
      </c>
    </row>
    <row r="18" spans="1:3" ht="15" thickTop="1" x14ac:dyDescent="0.3"/>
    <row r="20" spans="1:3" x14ac:dyDescent="0.3">
      <c r="A20" s="120" t="s">
        <v>161</v>
      </c>
    </row>
  </sheetData>
  <mergeCells count="4">
    <mergeCell ref="A1:J2"/>
    <mergeCell ref="A3:J3"/>
    <mergeCell ref="A5:C5"/>
    <mergeCell ref="A11:C1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7A49C3-4AD3-4D68-97B6-5DB88B739705}">
          <x14:formula1>
            <xm:f>'Sensitivity Analysis'!$C$2:$F$2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0D1D0-56DB-4A35-9431-CD41E198720B}">
  <sheetPr codeName="Sheet1"/>
  <dimension ref="B2:X33"/>
  <sheetViews>
    <sheetView showGridLines="0" zoomScale="76" zoomScaleNormal="57" workbookViewId="0">
      <selection activeCell="Z15" sqref="Z15"/>
    </sheetView>
  </sheetViews>
  <sheetFormatPr defaultRowHeight="14.4" x14ac:dyDescent="0.3"/>
  <cols>
    <col min="1" max="1" width="4.21875" customWidth="1"/>
    <col min="4" max="4" width="9.6640625" customWidth="1"/>
    <col min="6" max="6" width="5.6640625" customWidth="1"/>
    <col min="7" max="7" width="8.88671875" customWidth="1"/>
    <col min="16" max="17" width="8.88671875" customWidth="1"/>
    <col min="31" max="31" width="14.21875" bestFit="1" customWidth="1"/>
  </cols>
  <sheetData>
    <row r="2" spans="2:24" x14ac:dyDescent="0.3">
      <c r="B2" s="124"/>
      <c r="C2" s="124"/>
      <c r="D2" s="124"/>
      <c r="E2" s="124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X2" s="117"/>
    </row>
    <row r="3" spans="2:24" x14ac:dyDescent="0.3">
      <c r="B3" s="124"/>
      <c r="C3" s="124"/>
      <c r="D3" s="124"/>
      <c r="E3" s="124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</row>
    <row r="4" spans="2:24" x14ac:dyDescent="0.3">
      <c r="B4" s="124"/>
      <c r="C4" s="124"/>
      <c r="D4" s="124"/>
      <c r="E4" s="124"/>
    </row>
    <row r="5" spans="2:24" x14ac:dyDescent="0.3">
      <c r="B5" s="124"/>
      <c r="C5" s="124"/>
      <c r="D5" s="124"/>
      <c r="E5" s="124"/>
    </row>
    <row r="6" spans="2:24" x14ac:dyDescent="0.3">
      <c r="B6" s="124"/>
      <c r="C6" s="124"/>
      <c r="D6" s="124"/>
      <c r="E6" s="124"/>
    </row>
    <row r="7" spans="2:24" x14ac:dyDescent="0.3">
      <c r="B7" s="124"/>
      <c r="C7" s="124"/>
      <c r="D7" s="124"/>
      <c r="E7" s="124"/>
    </row>
    <row r="8" spans="2:24" ht="12.6" customHeight="1" x14ac:dyDescent="0.65">
      <c r="B8" s="124"/>
      <c r="C8" s="124"/>
      <c r="D8" s="124"/>
      <c r="E8" s="124"/>
      <c r="G8" s="114"/>
      <c r="H8" s="114"/>
      <c r="J8" s="114"/>
      <c r="K8" s="114"/>
      <c r="M8" s="114"/>
      <c r="N8" s="114"/>
      <c r="P8" s="114"/>
      <c r="Q8" s="114"/>
      <c r="R8" s="114"/>
    </row>
    <row r="9" spans="2:24" x14ac:dyDescent="0.3">
      <c r="B9" s="124"/>
      <c r="C9" s="124"/>
      <c r="D9" s="124"/>
      <c r="E9" s="124"/>
    </row>
    <row r="10" spans="2:24" x14ac:dyDescent="0.3">
      <c r="B10" s="124"/>
      <c r="C10" s="124"/>
      <c r="D10" s="124"/>
      <c r="E10" s="124"/>
    </row>
    <row r="11" spans="2:24" ht="13.2" customHeight="1" x14ac:dyDescent="0.3">
      <c r="B11" s="124"/>
      <c r="C11" s="124"/>
      <c r="D11" s="124"/>
      <c r="E11" s="124"/>
    </row>
    <row r="12" spans="2:24" x14ac:dyDescent="0.3">
      <c r="B12" s="124"/>
      <c r="C12" s="141" t="s">
        <v>90</v>
      </c>
      <c r="D12" s="142"/>
      <c r="E12" s="124"/>
    </row>
    <row r="13" spans="2:24" x14ac:dyDescent="0.3">
      <c r="B13" s="124"/>
      <c r="C13" s="124"/>
      <c r="D13" s="124"/>
      <c r="E13" s="124"/>
    </row>
    <row r="14" spans="2:24" x14ac:dyDescent="0.3">
      <c r="B14" s="124"/>
      <c r="C14" s="124"/>
      <c r="D14" s="124"/>
      <c r="E14" s="124"/>
    </row>
    <row r="15" spans="2:24" x14ac:dyDescent="0.3">
      <c r="B15" s="124"/>
      <c r="C15" s="124"/>
      <c r="D15" s="124"/>
      <c r="E15" s="124"/>
    </row>
    <row r="16" spans="2:24" x14ac:dyDescent="0.3">
      <c r="B16" s="124"/>
      <c r="C16" s="124"/>
      <c r="D16" s="124"/>
      <c r="E16" s="124"/>
    </row>
    <row r="17" spans="2:5" x14ac:dyDescent="0.3">
      <c r="B17" s="124"/>
      <c r="C17" s="124"/>
      <c r="D17" s="124"/>
      <c r="E17" s="124"/>
    </row>
    <row r="18" spans="2:5" x14ac:dyDescent="0.3">
      <c r="B18" s="124"/>
      <c r="C18" s="124"/>
      <c r="D18" s="124"/>
      <c r="E18" s="124"/>
    </row>
    <row r="19" spans="2:5" ht="19.8" customHeight="1" x14ac:dyDescent="0.3">
      <c r="B19" s="124"/>
      <c r="C19" s="124"/>
      <c r="D19" s="124"/>
      <c r="E19" s="124"/>
    </row>
    <row r="20" spans="2:5" ht="21" x14ac:dyDescent="0.4">
      <c r="B20" s="124"/>
      <c r="C20" s="139">
        <f>'Pro-Forma'!F143</f>
        <v>0.16731441777272171</v>
      </c>
      <c r="D20" s="139"/>
      <c r="E20" s="124"/>
    </row>
    <row r="21" spans="2:5" x14ac:dyDescent="0.3">
      <c r="B21" s="124"/>
      <c r="C21" s="130"/>
      <c r="D21" s="130"/>
      <c r="E21" s="124"/>
    </row>
    <row r="22" spans="2:5" x14ac:dyDescent="0.3">
      <c r="B22" s="124"/>
      <c r="C22" s="124"/>
      <c r="D22" s="124"/>
      <c r="E22" s="124"/>
    </row>
    <row r="23" spans="2:5" x14ac:dyDescent="0.3">
      <c r="B23" s="124"/>
      <c r="C23" s="124"/>
      <c r="D23" s="124"/>
      <c r="E23" s="124"/>
    </row>
    <row r="24" spans="2:5" ht="21" x14ac:dyDescent="0.4">
      <c r="B24" s="124"/>
      <c r="C24" s="144">
        <f>SUM('Pro-Forma'!G141:P141)/'Pro-Forma'!F131</f>
        <v>1.7915322472467636</v>
      </c>
      <c r="D24" s="144"/>
      <c r="E24" s="124"/>
    </row>
    <row r="25" spans="2:5" x14ac:dyDescent="0.3">
      <c r="B25" s="124"/>
      <c r="C25" s="124"/>
      <c r="D25" s="124"/>
      <c r="E25" s="124"/>
    </row>
    <row r="26" spans="2:5" x14ac:dyDescent="0.3">
      <c r="B26" s="124"/>
      <c r="C26" s="124"/>
      <c r="D26" s="124"/>
      <c r="E26" s="124"/>
    </row>
    <row r="27" spans="2:5" x14ac:dyDescent="0.3">
      <c r="B27" s="124"/>
      <c r="C27" s="124"/>
      <c r="D27" s="124"/>
      <c r="E27" s="124"/>
    </row>
    <row r="28" spans="2:5" ht="21" x14ac:dyDescent="0.4">
      <c r="B28" s="124"/>
      <c r="C28" s="140">
        <f>'Pro-Forma'!F149</f>
        <v>42537928.561898082</v>
      </c>
      <c r="D28" s="140"/>
      <c r="E28" s="124"/>
    </row>
    <row r="29" spans="2:5" x14ac:dyDescent="0.3">
      <c r="B29" s="124"/>
      <c r="C29" s="124"/>
      <c r="D29" s="124"/>
      <c r="E29" s="124"/>
    </row>
    <row r="30" spans="2:5" x14ac:dyDescent="0.3">
      <c r="B30" s="124"/>
      <c r="C30" s="124"/>
      <c r="D30" s="124"/>
      <c r="E30" s="124"/>
    </row>
    <row r="31" spans="2:5" x14ac:dyDescent="0.3">
      <c r="B31" s="124"/>
      <c r="C31" s="124"/>
      <c r="D31" s="124"/>
      <c r="E31" s="124"/>
    </row>
    <row r="32" spans="2:5" ht="21" x14ac:dyDescent="0.4">
      <c r="B32" s="124"/>
      <c r="C32" s="144">
        <f>'Pro-Forma'!F147</f>
        <v>3.1831677385347339</v>
      </c>
      <c r="D32" s="144"/>
      <c r="E32" s="124"/>
    </row>
    <row r="33" spans="2:5" x14ac:dyDescent="0.3">
      <c r="B33" s="124"/>
      <c r="C33" s="124"/>
      <c r="D33" s="124"/>
      <c r="E33" s="124"/>
    </row>
  </sheetData>
  <mergeCells count="5">
    <mergeCell ref="C32:D32"/>
    <mergeCell ref="C20:D20"/>
    <mergeCell ref="C24:D24"/>
    <mergeCell ref="C28:D28"/>
    <mergeCell ref="C12:D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E35FD9B-FDFC-4670-AE69-F5232C84DF2D}">
          <x14:formula1>
            <xm:f>'Sensitivity Analysis'!$C$2:$F$2</xm:f>
          </x14:formula1>
          <xm:sqref>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B2:T149"/>
  <sheetViews>
    <sheetView showGridLines="0" zoomScale="73" zoomScaleNormal="76" zoomScaleSheetLayoutView="40" workbookViewId="0">
      <selection activeCell="M20" sqref="M20"/>
    </sheetView>
  </sheetViews>
  <sheetFormatPr defaultColWidth="9.109375" defaultRowHeight="15.6" outlineLevelRow="1" x14ac:dyDescent="0.3"/>
  <cols>
    <col min="1" max="2" width="2.6640625" style="3" customWidth="1"/>
    <col min="3" max="3" width="45.6640625" style="3" customWidth="1"/>
    <col min="4" max="4" width="14.44140625" style="3" customWidth="1"/>
    <col min="5" max="5" width="20.21875" style="3" bestFit="1" customWidth="1"/>
    <col min="6" max="6" width="17" style="3" bestFit="1" customWidth="1"/>
    <col min="7" max="10" width="14.44140625" style="3" customWidth="1"/>
    <col min="11" max="11" width="15.109375" style="3" bestFit="1" customWidth="1"/>
    <col min="12" max="16" width="15.109375" style="3" customWidth="1"/>
    <col min="17" max="17" width="14.44140625" style="3" customWidth="1"/>
    <col min="18" max="18" width="2.6640625" style="3" customWidth="1"/>
    <col min="19" max="16384" width="9.109375" style="3"/>
  </cols>
  <sheetData>
    <row r="2" spans="2:17" ht="18" x14ac:dyDescent="0.35">
      <c r="B2" s="1" t="str">
        <f>Property_Name&amp;" - Investment Analysis Model"</f>
        <v>Arcadia Gardens - Investment Analysis Model</v>
      </c>
      <c r="D2" s="4"/>
      <c r="E2" s="116" t="s">
        <v>94</v>
      </c>
      <c r="F2" s="115" t="s">
        <v>90</v>
      </c>
    </row>
    <row r="3" spans="2:17" x14ac:dyDescent="0.3">
      <c r="B3" s="3" t="s">
        <v>51</v>
      </c>
      <c r="D3" s="4"/>
    </row>
    <row r="4" spans="2:17" x14ac:dyDescent="0.3">
      <c r="D4" s="4"/>
    </row>
    <row r="5" spans="2:17" x14ac:dyDescent="0.3">
      <c r="B5" s="5" t="s">
        <v>79</v>
      </c>
      <c r="C5" s="6"/>
      <c r="D5" s="6" t="s">
        <v>1</v>
      </c>
      <c r="E5" s="5"/>
      <c r="F5" s="5"/>
      <c r="G5" s="5"/>
      <c r="H5" s="5"/>
      <c r="I5" s="5"/>
      <c r="J5" s="6" t="str">
        <f>+$D$5</f>
        <v>Units:</v>
      </c>
      <c r="K5" s="33"/>
      <c r="L5" s="96"/>
      <c r="M5" s="96"/>
      <c r="N5" s="96"/>
      <c r="O5" s="96"/>
      <c r="P5" s="96"/>
      <c r="Q5" s="96"/>
    </row>
    <row r="6" spans="2:17" outlineLevel="1" x14ac:dyDescent="0.3">
      <c r="D6" s="4"/>
      <c r="J6" s="62"/>
      <c r="K6" s="98"/>
    </row>
    <row r="7" spans="2:17" outlineLevel="1" x14ac:dyDescent="0.3">
      <c r="C7" s="3" t="s">
        <v>2</v>
      </c>
      <c r="D7" s="7" t="s">
        <v>34</v>
      </c>
      <c r="E7" s="8" t="s">
        <v>53</v>
      </c>
      <c r="G7" s="17" t="s">
        <v>64</v>
      </c>
      <c r="J7" s="7" t="s">
        <v>7</v>
      </c>
      <c r="K7" s="95">
        <v>6.7999999999999996E-3</v>
      </c>
      <c r="L7" s="97"/>
      <c r="M7" s="70"/>
      <c r="N7" s="70"/>
      <c r="O7" s="70"/>
      <c r="P7" s="70"/>
    </row>
    <row r="8" spans="2:17" outlineLevel="1" x14ac:dyDescent="0.3">
      <c r="C8" s="3" t="s">
        <v>3</v>
      </c>
      <c r="D8" s="7" t="s">
        <v>34</v>
      </c>
      <c r="E8" s="8" t="s">
        <v>85</v>
      </c>
      <c r="G8" s="17" t="s">
        <v>75</v>
      </c>
      <c r="J8" s="7" t="s">
        <v>7</v>
      </c>
      <c r="K8" s="95">
        <v>3.0000000000000006E-2</v>
      </c>
      <c r="L8" s="97"/>
      <c r="M8" s="70"/>
      <c r="N8" s="70"/>
      <c r="O8" s="70"/>
      <c r="P8" s="70"/>
    </row>
    <row r="9" spans="2:17" outlineLevel="1" x14ac:dyDescent="0.3">
      <c r="B9" s="10"/>
      <c r="C9" s="3" t="s">
        <v>6</v>
      </c>
      <c r="D9" s="7" t="s">
        <v>5</v>
      </c>
      <c r="E9" s="13">
        <v>12</v>
      </c>
      <c r="F9" s="10"/>
      <c r="G9" s="17"/>
      <c r="J9" s="7"/>
      <c r="K9" s="70"/>
      <c r="L9" s="70"/>
      <c r="M9" s="70"/>
      <c r="N9" s="70"/>
      <c r="O9" s="70"/>
      <c r="P9" s="70"/>
    </row>
    <row r="10" spans="2:17" outlineLevel="1" x14ac:dyDescent="0.3">
      <c r="B10" s="10"/>
      <c r="F10" s="10"/>
      <c r="G10" s="17" t="s">
        <v>8</v>
      </c>
      <c r="J10" s="7" t="s">
        <v>9</v>
      </c>
      <c r="K10" s="92">
        <f>+Apt_Units*RSF_per_Unit</f>
        <v>225000</v>
      </c>
      <c r="L10" s="97"/>
      <c r="M10" s="90"/>
      <c r="N10" s="90"/>
      <c r="O10" s="90"/>
      <c r="P10" s="90"/>
    </row>
    <row r="11" spans="2:17" outlineLevel="1" x14ac:dyDescent="0.3">
      <c r="C11" s="3" t="s">
        <v>84</v>
      </c>
      <c r="D11" s="7" t="s">
        <v>5</v>
      </c>
      <c r="E11" s="14">
        <v>500</v>
      </c>
      <c r="G11" s="17" t="s">
        <v>56</v>
      </c>
      <c r="J11" s="19" t="s">
        <v>7</v>
      </c>
      <c r="K11" s="93">
        <v>0.75</v>
      </c>
      <c r="L11" s="97"/>
      <c r="M11" s="78"/>
      <c r="N11" s="78"/>
      <c r="O11" s="78"/>
      <c r="P11" s="78"/>
    </row>
    <row r="12" spans="2:17" outlineLevel="1" x14ac:dyDescent="0.3">
      <c r="C12" s="3" t="s">
        <v>55</v>
      </c>
      <c r="D12" s="7" t="s">
        <v>9</v>
      </c>
      <c r="E12" s="77">
        <v>450</v>
      </c>
      <c r="G12" s="17" t="s">
        <v>57</v>
      </c>
      <c r="J12" s="7" t="s">
        <v>9</v>
      </c>
      <c r="K12" s="16">
        <f>+Rentable_SF/K11</f>
        <v>300000</v>
      </c>
      <c r="L12" s="16"/>
      <c r="M12" s="16"/>
      <c r="N12" s="16"/>
      <c r="O12" s="16"/>
      <c r="P12" s="16"/>
    </row>
    <row r="13" spans="2:17" outlineLevel="1" x14ac:dyDescent="0.3">
      <c r="B13" s="10"/>
      <c r="C13" s="3" t="s">
        <v>62</v>
      </c>
      <c r="D13" s="7" t="s">
        <v>5</v>
      </c>
      <c r="E13" s="84">
        <v>2</v>
      </c>
      <c r="F13" s="10"/>
    </row>
    <row r="14" spans="2:17" outlineLevel="1" x14ac:dyDescent="0.3">
      <c r="C14" s="3" t="s">
        <v>52</v>
      </c>
      <c r="D14" s="7" t="s">
        <v>5</v>
      </c>
      <c r="E14" s="82">
        <f>+Apt_Units*E13</f>
        <v>1000</v>
      </c>
    </row>
    <row r="15" spans="2:17" x14ac:dyDescent="0.3">
      <c r="B15" s="10"/>
      <c r="C15" s="10"/>
      <c r="D15" s="12"/>
      <c r="E15" s="10"/>
      <c r="F15" s="10"/>
      <c r="G15" s="10"/>
      <c r="H15" s="10"/>
      <c r="I15" s="10"/>
      <c r="J15" s="10"/>
      <c r="K15" s="18"/>
      <c r="L15" s="18"/>
      <c r="M15" s="18"/>
      <c r="N15" s="18"/>
      <c r="O15" s="18"/>
      <c r="P15" s="18"/>
    </row>
    <row r="16" spans="2:17" x14ac:dyDescent="0.3">
      <c r="B16" s="5" t="s">
        <v>10</v>
      </c>
      <c r="C16" s="5"/>
      <c r="D16" s="6" t="str">
        <f>+$D$5</f>
        <v>Units:</v>
      </c>
      <c r="E16" s="5"/>
      <c r="F16" s="5"/>
      <c r="G16" s="5"/>
      <c r="H16" s="5"/>
      <c r="I16" s="5"/>
      <c r="J16" s="6" t="str">
        <f>+$D$5</f>
        <v>Units:</v>
      </c>
      <c r="K16" s="5"/>
      <c r="L16" s="96"/>
      <c r="M16" s="96"/>
      <c r="N16" s="96"/>
      <c r="O16" s="96"/>
      <c r="P16" s="96"/>
      <c r="Q16" s="96"/>
    </row>
    <row r="17" spans="2:17" outlineLevel="1" x14ac:dyDescent="0.3">
      <c r="D17" s="4"/>
    </row>
    <row r="18" spans="2:17" outlineLevel="1" x14ac:dyDescent="0.3">
      <c r="C18" s="3" t="s">
        <v>11</v>
      </c>
      <c r="D18" s="7" t="s">
        <v>4</v>
      </c>
      <c r="E18" s="11">
        <v>46023</v>
      </c>
      <c r="G18" s="17" t="s">
        <v>18</v>
      </c>
      <c r="J18" s="7" t="s">
        <v>4</v>
      </c>
      <c r="K18" s="94">
        <f>K71</f>
        <v>47879</v>
      </c>
      <c r="L18" s="97"/>
      <c r="M18" s="91"/>
      <c r="N18" s="91"/>
      <c r="O18" s="91"/>
      <c r="P18" s="91"/>
    </row>
    <row r="19" spans="2:17" outlineLevel="1" x14ac:dyDescent="0.3">
      <c r="C19" s="3" t="s">
        <v>12</v>
      </c>
      <c r="D19" s="19" t="s">
        <v>13</v>
      </c>
      <c r="E19" s="103">
        <f>INDEX('Sensitivity Analysis'!$C$3:$F$7,
       MATCH('Sensitivity Analysis'!B3,'Sensitivity Analysis'!$B$3:$B$7,0),
       MATCH('Pro-Forma'!$F$2,'Sensitivity Analysis'!$C$2:$F$2,0))</f>
        <v>225000000</v>
      </c>
      <c r="G19" s="17" t="s">
        <v>43</v>
      </c>
      <c r="J19" s="19" t="s">
        <v>7</v>
      </c>
      <c r="K19" s="104">
        <f>INDEX('Sensitivity Analysis'!C3:F7,MATCH('Sensitivity Analysis'!B4,Table1[Metric],0),MATCH('Pro-Forma'!F2,Table1[[#Headers],[Stress Case]:[Upside Case]],0))</f>
        <v>7.2499999999999995E-2</v>
      </c>
      <c r="L19" s="97"/>
      <c r="M19" s="70"/>
      <c r="N19" s="70"/>
      <c r="O19" s="70"/>
      <c r="P19" s="70"/>
    </row>
    <row r="20" spans="2:17" outlineLevel="1" x14ac:dyDescent="0.3">
      <c r="C20" s="3" t="s">
        <v>42</v>
      </c>
      <c r="D20" s="19" t="s">
        <v>7</v>
      </c>
      <c r="E20" s="20">
        <f>+G93/Entry_Price</f>
        <v>9.5481182300499998E-2</v>
      </c>
      <c r="G20" s="17" t="s">
        <v>19</v>
      </c>
      <c r="J20" s="19" t="s">
        <v>13</v>
      </c>
      <c r="K20" s="21">
        <f>+Q93/Exit_Cap_Rate</f>
        <v>323624843.02116728</v>
      </c>
      <c r="L20" s="21"/>
      <c r="M20" s="21"/>
      <c r="N20" s="21"/>
      <c r="O20" s="21"/>
      <c r="P20" s="21"/>
    </row>
    <row r="21" spans="2:17" outlineLevel="1" x14ac:dyDescent="0.3">
      <c r="C21" s="3" t="s">
        <v>39</v>
      </c>
      <c r="D21" s="7" t="s">
        <v>41</v>
      </c>
      <c r="E21" s="21">
        <f>+Entry_Price/Apt_Units</f>
        <v>450000</v>
      </c>
      <c r="G21" s="3" t="s">
        <v>44</v>
      </c>
      <c r="J21" s="7" t="s">
        <v>41</v>
      </c>
      <c r="K21" s="21">
        <f>+Exit_Price/Apt_Units</f>
        <v>647249.68604233454</v>
      </c>
      <c r="L21" s="21"/>
      <c r="M21" s="21"/>
      <c r="N21" s="21"/>
      <c r="O21" s="21"/>
      <c r="P21" s="21"/>
    </row>
    <row r="22" spans="2:17" outlineLevel="1" x14ac:dyDescent="0.3">
      <c r="C22" s="3" t="s">
        <v>58</v>
      </c>
      <c r="D22" s="7" t="s">
        <v>40</v>
      </c>
      <c r="E22" s="22">
        <f>+Entry_Price/Rentable_SF</f>
        <v>1000</v>
      </c>
      <c r="G22" s="3" t="s">
        <v>77</v>
      </c>
      <c r="J22" s="7" t="s">
        <v>40</v>
      </c>
      <c r="K22" s="22">
        <f>+Exit_Price/Rentable_SF</f>
        <v>1438.3326356496323</v>
      </c>
      <c r="L22" s="22"/>
      <c r="M22" s="22"/>
      <c r="N22" s="22"/>
      <c r="O22" s="22"/>
      <c r="P22" s="22"/>
    </row>
    <row r="23" spans="2:17" outlineLevel="1" x14ac:dyDescent="0.3"/>
    <row r="24" spans="2:17" outlineLevel="1" x14ac:dyDescent="0.3">
      <c r="C24" s="3" t="s">
        <v>14</v>
      </c>
      <c r="D24" s="7" t="s">
        <v>7</v>
      </c>
      <c r="E24" s="15">
        <v>1.4999999999999999E-2</v>
      </c>
      <c r="G24" s="3" t="s">
        <v>20</v>
      </c>
      <c r="J24" s="7" t="s">
        <v>7</v>
      </c>
      <c r="K24" s="93">
        <v>0.02</v>
      </c>
      <c r="L24" s="97"/>
      <c r="M24" s="78"/>
      <c r="N24" s="78"/>
      <c r="O24" s="78"/>
      <c r="P24" s="78"/>
    </row>
    <row r="25" spans="2:17" outlineLevel="1" x14ac:dyDescent="0.3">
      <c r="C25" s="3" t="s">
        <v>47</v>
      </c>
      <c r="D25" s="7" t="s">
        <v>7</v>
      </c>
      <c r="E25" s="15">
        <v>1.2500000000000001E-2</v>
      </c>
      <c r="G25" s="9"/>
      <c r="J25" s="19"/>
      <c r="K25" s="70"/>
      <c r="L25" s="70"/>
      <c r="M25" s="70"/>
      <c r="N25" s="70"/>
      <c r="O25" s="70"/>
      <c r="P25" s="70"/>
    </row>
    <row r="26" spans="2:17" outlineLevel="1" x14ac:dyDescent="0.3">
      <c r="G26" s="9"/>
      <c r="J26" s="19"/>
      <c r="K26" s="70"/>
      <c r="L26" s="70"/>
      <c r="M26" s="70"/>
      <c r="N26" s="70"/>
      <c r="O26" s="70"/>
      <c r="P26" s="70"/>
    </row>
    <row r="27" spans="2:17" outlineLevel="1" x14ac:dyDescent="0.3">
      <c r="C27" s="3" t="s">
        <v>15</v>
      </c>
      <c r="D27" s="19" t="s">
        <v>7</v>
      </c>
      <c r="E27" s="105">
        <f>INDEX('Sensitivity Analysis'!C3:F7,MATCH('Sensitivity Analysis'!B7,Table1[Metric],0),MATCH(F2,Table1[[#Headers],[Stress Case]:[Upside Case]],))</f>
        <v>0.45</v>
      </c>
      <c r="G27" s="9"/>
      <c r="J27" s="19"/>
      <c r="K27" s="70"/>
      <c r="L27" s="70"/>
      <c r="M27" s="70"/>
      <c r="N27" s="70"/>
      <c r="O27" s="70"/>
      <c r="P27" s="70"/>
    </row>
    <row r="28" spans="2:17" outlineLevel="1" x14ac:dyDescent="0.3">
      <c r="C28" s="3" t="s">
        <v>16</v>
      </c>
      <c r="D28" s="19" t="s">
        <v>7</v>
      </c>
      <c r="E28" s="15">
        <v>5.5E-2</v>
      </c>
    </row>
    <row r="29" spans="2:17" outlineLevel="1" x14ac:dyDescent="0.3">
      <c r="C29" s="3" t="s">
        <v>46</v>
      </c>
      <c r="D29" s="19" t="s">
        <v>17</v>
      </c>
      <c r="E29" s="14">
        <v>30</v>
      </c>
    </row>
    <row r="30" spans="2:17" outlineLevel="1" x14ac:dyDescent="0.3">
      <c r="C30" s="3" t="s">
        <v>50</v>
      </c>
      <c r="D30" s="19" t="s">
        <v>17</v>
      </c>
      <c r="E30" s="14">
        <v>10</v>
      </c>
    </row>
    <row r="31" spans="2:17" x14ac:dyDescent="0.3">
      <c r="D31" s="24"/>
      <c r="E31" s="24"/>
      <c r="G31" s="9"/>
    </row>
    <row r="32" spans="2:17" x14ac:dyDescent="0.3">
      <c r="B32" s="5" t="s">
        <v>80</v>
      </c>
      <c r="C32" s="25"/>
      <c r="D32" s="6"/>
      <c r="E32" s="5"/>
      <c r="F32" s="5"/>
      <c r="G32" s="5"/>
      <c r="H32" s="5"/>
      <c r="I32" s="5"/>
      <c r="J32" s="6"/>
      <c r="K32" s="5"/>
      <c r="L32" s="96"/>
      <c r="M32" s="96"/>
      <c r="N32" s="96"/>
      <c r="O32" s="96"/>
      <c r="P32" s="96"/>
      <c r="Q32" s="96"/>
    </row>
    <row r="33" spans="2:20" outlineLevel="1" x14ac:dyDescent="0.3">
      <c r="C33" s="9"/>
      <c r="D33" s="4"/>
    </row>
    <row r="34" spans="2:20" outlineLevel="1" x14ac:dyDescent="0.3">
      <c r="C34" s="23" t="s">
        <v>24</v>
      </c>
      <c r="D34" s="23"/>
      <c r="E34" s="23"/>
      <c r="G34" s="143" t="s">
        <v>25</v>
      </c>
      <c r="H34" s="143"/>
      <c r="I34" s="143"/>
      <c r="J34" s="143"/>
      <c r="K34" s="143"/>
      <c r="L34" s="99"/>
      <c r="M34" s="99"/>
      <c r="N34" s="99"/>
      <c r="O34" s="99"/>
      <c r="P34" s="99"/>
    </row>
    <row r="35" spans="2:20" outlineLevel="1" x14ac:dyDescent="0.3">
      <c r="C35" s="26" t="s">
        <v>27</v>
      </c>
      <c r="D35" s="7"/>
      <c r="E35" s="27">
        <f>+Entry_Price*LTV</f>
        <v>101250000</v>
      </c>
      <c r="F35" s="28"/>
      <c r="G35" s="26" t="str">
        <f>C19</f>
        <v>Acquisition Price:</v>
      </c>
      <c r="H35" s="29"/>
      <c r="I35" s="29"/>
      <c r="J35" s="7"/>
      <c r="K35" s="27">
        <f>+Entry_Price</f>
        <v>225000000</v>
      </c>
      <c r="L35" s="27"/>
      <c r="M35" s="27"/>
      <c r="N35" s="27"/>
      <c r="O35" s="27"/>
      <c r="P35" s="27"/>
    </row>
    <row r="36" spans="2:20" outlineLevel="1" x14ac:dyDescent="0.3">
      <c r="C36" s="26" t="s">
        <v>26</v>
      </c>
      <c r="D36" s="49"/>
      <c r="E36" s="123">
        <f>+K39-E35</f>
        <v>128715625</v>
      </c>
      <c r="G36" s="26" t="s">
        <v>48</v>
      </c>
      <c r="H36" s="29"/>
      <c r="I36" s="29"/>
      <c r="J36" s="7"/>
      <c r="K36" s="29">
        <f>+Entry_Price*Entry_Fee_Pct</f>
        <v>3375000</v>
      </c>
      <c r="L36" s="29"/>
      <c r="M36" s="29"/>
      <c r="N36" s="29"/>
      <c r="O36" s="29"/>
      <c r="P36" s="29"/>
      <c r="T36" s="28"/>
    </row>
    <row r="37" spans="2:20" outlineLevel="1" x14ac:dyDescent="0.3">
      <c r="C37" s="31" t="s">
        <v>28</v>
      </c>
      <c r="D37" s="7"/>
      <c r="E37" s="32">
        <f>SUM(E35:E36)</f>
        <v>229965625</v>
      </c>
      <c r="G37" s="26" t="s">
        <v>49</v>
      </c>
      <c r="J37" s="7"/>
      <c r="K37" s="29">
        <f>+Entry_Price*LTV*Loan_Fees</f>
        <v>1265625</v>
      </c>
      <c r="L37" s="29"/>
      <c r="M37" s="29"/>
      <c r="N37" s="29"/>
      <c r="O37" s="29"/>
      <c r="P37" s="29"/>
    </row>
    <row r="38" spans="2:20" outlineLevel="1" x14ac:dyDescent="0.3">
      <c r="C38" s="51"/>
      <c r="D38" s="51"/>
      <c r="E38" s="88"/>
      <c r="G38" s="26" t="s">
        <v>78</v>
      </c>
      <c r="J38" s="49"/>
      <c r="K38" s="29">
        <f>+F59*Apt_Units</f>
        <v>325000</v>
      </c>
      <c r="L38" s="29"/>
      <c r="M38" s="29"/>
      <c r="N38" s="29"/>
      <c r="O38" s="29"/>
      <c r="P38" s="29"/>
    </row>
    <row r="39" spans="2:20" outlineLevel="1" x14ac:dyDescent="0.3">
      <c r="C39" s="26"/>
      <c r="E39" s="27"/>
      <c r="G39" s="31" t="s">
        <v>35</v>
      </c>
      <c r="H39" s="31"/>
      <c r="I39" s="31"/>
      <c r="J39" s="7"/>
      <c r="K39" s="32">
        <f>SUM(K35:K38)</f>
        <v>229965625</v>
      </c>
      <c r="L39" s="88"/>
      <c r="M39" s="88"/>
      <c r="N39" s="88"/>
      <c r="O39" s="88"/>
      <c r="P39" s="88"/>
    </row>
    <row r="40" spans="2:20" x14ac:dyDescent="0.3">
      <c r="D40" s="24"/>
      <c r="E40" s="24"/>
      <c r="G40" s="9"/>
    </row>
    <row r="41" spans="2:20" x14ac:dyDescent="0.3">
      <c r="B41" s="33"/>
      <c r="C41" s="33"/>
      <c r="D41" s="34"/>
      <c r="E41" s="33"/>
      <c r="F41" s="35" t="s">
        <v>21</v>
      </c>
      <c r="G41" s="36" t="s">
        <v>22</v>
      </c>
      <c r="H41" s="37"/>
      <c r="I41" s="37"/>
      <c r="J41" s="37"/>
      <c r="K41" s="37"/>
      <c r="L41" s="37"/>
      <c r="M41" s="37"/>
      <c r="N41" s="37"/>
      <c r="O41" s="37"/>
      <c r="P41" s="37"/>
      <c r="Q41" s="38" t="s">
        <v>36</v>
      </c>
    </row>
    <row r="42" spans="2:20" x14ac:dyDescent="0.3">
      <c r="B42" s="5" t="s">
        <v>0</v>
      </c>
      <c r="C42" s="5"/>
      <c r="D42" s="6" t="str">
        <f>+$D$5</f>
        <v>Units:</v>
      </c>
      <c r="E42" s="5"/>
      <c r="F42" s="39">
        <f>Start_Date</f>
        <v>46023</v>
      </c>
      <c r="G42" s="40">
        <f t="shared" ref="G42:K42" si="0">EOMONTH(F42,Months)</f>
        <v>46418</v>
      </c>
      <c r="H42" s="39">
        <f t="shared" si="0"/>
        <v>46783</v>
      </c>
      <c r="I42" s="39">
        <f t="shared" si="0"/>
        <v>47149</v>
      </c>
      <c r="J42" s="39">
        <f t="shared" si="0"/>
        <v>47514</v>
      </c>
      <c r="K42" s="39">
        <f t="shared" si="0"/>
        <v>47879</v>
      </c>
      <c r="L42" s="39">
        <f t="shared" ref="L42" si="1">EOMONTH(K42,Months)</f>
        <v>48244</v>
      </c>
      <c r="M42" s="39">
        <f t="shared" ref="M42" si="2">EOMONTH(L42,Months)</f>
        <v>48610</v>
      </c>
      <c r="N42" s="39">
        <f t="shared" ref="N42" si="3">EOMONTH(M42,Months)</f>
        <v>48975</v>
      </c>
      <c r="O42" s="39">
        <f t="shared" ref="O42" si="4">EOMONTH(N42,Months)</f>
        <v>49340</v>
      </c>
      <c r="P42" s="39">
        <f t="shared" ref="P42" si="5">EOMONTH(O42,Months)</f>
        <v>49705</v>
      </c>
      <c r="Q42" s="39" t="s">
        <v>37</v>
      </c>
    </row>
    <row r="43" spans="2:20" outlineLevel="1" x14ac:dyDescent="0.3">
      <c r="D43" s="4"/>
    </row>
    <row r="44" spans="2:20" outlineLevel="1" x14ac:dyDescent="0.3">
      <c r="C44" s="9" t="s">
        <v>165</v>
      </c>
      <c r="D44" s="7" t="s">
        <v>70</v>
      </c>
      <c r="F44" s="75">
        <v>11</v>
      </c>
      <c r="G44" s="79">
        <f>+F44*(1+G$47)</f>
        <v>11.33</v>
      </c>
      <c r="H44" s="79">
        <f t="shared" ref="H44:K44" si="6">+G44*(1+H$47)</f>
        <v>11.6699</v>
      </c>
      <c r="I44" s="79">
        <f t="shared" si="6"/>
        <v>12.019997</v>
      </c>
      <c r="J44" s="79">
        <f t="shared" si="6"/>
        <v>12.320496924999999</v>
      </c>
      <c r="K44" s="79">
        <f t="shared" si="6"/>
        <v>12.659310590437499</v>
      </c>
      <c r="L44" s="79">
        <f t="shared" ref="L44" si="7">+K44*(1+L$47)</f>
        <v>13.007441631674531</v>
      </c>
      <c r="M44" s="79">
        <f t="shared" ref="M44" si="8">+L44*(1+M$47)</f>
        <v>13.365146276545582</v>
      </c>
      <c r="N44" s="79">
        <f t="shared" ref="N44" si="9">+M44*(1+N$47)</f>
        <v>13.76610066484195</v>
      </c>
      <c r="O44" s="79">
        <f t="shared" ref="O44" si="10">+N44*(1+O$47)</f>
        <v>14.179083684787209</v>
      </c>
      <c r="P44" s="79">
        <f t="shared" ref="P44" si="11">+O44*(1+P$47)</f>
        <v>14.604456195330826</v>
      </c>
      <c r="Q44" s="79">
        <f>+K44*(1+Q$47)</f>
        <v>13.007441631674531</v>
      </c>
    </row>
    <row r="45" spans="2:20" outlineLevel="1" x14ac:dyDescent="0.3">
      <c r="C45" s="9" t="s">
        <v>54</v>
      </c>
      <c r="D45" s="7" t="s">
        <v>70</v>
      </c>
      <c r="F45" s="76">
        <v>10.5</v>
      </c>
      <c r="G45" s="80">
        <f>+G44*(1-G48)</f>
        <v>10.763499999999999</v>
      </c>
      <c r="H45" s="80">
        <f t="shared" ref="H45:Q45" si="12">+H44*(1-H48)</f>
        <v>11.2614535</v>
      </c>
      <c r="I45" s="80">
        <f t="shared" si="12"/>
        <v>11.77959706</v>
      </c>
      <c r="J45" s="80">
        <f t="shared" si="12"/>
        <v>12.197291955749998</v>
      </c>
      <c r="K45" s="80">
        <f t="shared" si="12"/>
        <v>12.532717484533125</v>
      </c>
      <c r="L45" s="80">
        <f t="shared" si="12"/>
        <v>12.877367215357786</v>
      </c>
      <c r="M45" s="80">
        <f t="shared" si="12"/>
        <v>13.231494813780126</v>
      </c>
      <c r="N45" s="80">
        <f t="shared" si="12"/>
        <v>13.62843965819353</v>
      </c>
      <c r="O45" s="80">
        <f t="shared" si="12"/>
        <v>14.037292847939336</v>
      </c>
      <c r="P45" s="80">
        <f t="shared" si="12"/>
        <v>14.458411633377517</v>
      </c>
      <c r="Q45" s="80">
        <f t="shared" si="12"/>
        <v>12.877367215357786</v>
      </c>
    </row>
    <row r="46" spans="2:20" outlineLevel="1" x14ac:dyDescent="0.3">
      <c r="D46" s="4"/>
      <c r="F46" s="74"/>
    </row>
    <row r="47" spans="2:20" outlineLevel="1" x14ac:dyDescent="0.3">
      <c r="C47" s="9" t="s">
        <v>83</v>
      </c>
      <c r="D47" s="7" t="s">
        <v>7</v>
      </c>
      <c r="G47" s="15">
        <v>0.03</v>
      </c>
      <c r="H47" s="15">
        <v>0.03</v>
      </c>
      <c r="I47" s="15">
        <v>0.03</v>
      </c>
      <c r="J47" s="15">
        <v>2.5000000000000001E-2</v>
      </c>
      <c r="K47" s="15">
        <v>2.75E-2</v>
      </c>
      <c r="L47" s="15">
        <v>2.75E-2</v>
      </c>
      <c r="M47" s="15">
        <v>2.75E-2</v>
      </c>
      <c r="N47" s="15">
        <v>0.03</v>
      </c>
      <c r="O47" s="15">
        <v>0.03</v>
      </c>
      <c r="P47" s="15">
        <v>0.03</v>
      </c>
      <c r="Q47" s="15">
        <v>2.75E-2</v>
      </c>
    </row>
    <row r="48" spans="2:20" outlineLevel="1" x14ac:dyDescent="0.3">
      <c r="C48" s="9" t="s">
        <v>59</v>
      </c>
      <c r="D48" s="7" t="s">
        <v>7</v>
      </c>
      <c r="F48" s="81">
        <f>1-F45/F44</f>
        <v>4.5454545454545414E-2</v>
      </c>
      <c r="G48" s="15">
        <v>0.05</v>
      </c>
      <c r="H48" s="15">
        <v>3.5000000000000003E-2</v>
      </c>
      <c r="I48" s="15">
        <v>0.02</v>
      </c>
      <c r="J48" s="15">
        <v>0.01</v>
      </c>
      <c r="K48" s="15">
        <v>0.01</v>
      </c>
      <c r="L48" s="15">
        <v>0.01</v>
      </c>
      <c r="M48" s="15">
        <v>0.01</v>
      </c>
      <c r="N48" s="15">
        <v>0.01</v>
      </c>
      <c r="O48" s="15">
        <v>0.01</v>
      </c>
      <c r="P48" s="15">
        <v>0.01</v>
      </c>
      <c r="Q48" s="15">
        <v>0.01</v>
      </c>
    </row>
    <row r="49" spans="3:17" outlineLevel="1" x14ac:dyDescent="0.3">
      <c r="C49" s="9"/>
      <c r="D49" s="7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</row>
    <row r="50" spans="3:17" outlineLevel="1" x14ac:dyDescent="0.3">
      <c r="C50" s="9" t="s">
        <v>60</v>
      </c>
      <c r="D50" s="7" t="s">
        <v>7</v>
      </c>
      <c r="F50" s="15">
        <v>-1.4999999999999999E-2</v>
      </c>
      <c r="G50" s="15">
        <v>-1.2500000000000001E-2</v>
      </c>
      <c r="H50" s="15">
        <v>-0.01</v>
      </c>
      <c r="I50" s="15">
        <v>-0.01</v>
      </c>
      <c r="J50" s="15">
        <v>-0.01</v>
      </c>
      <c r="K50" s="15">
        <v>-0.01</v>
      </c>
      <c r="L50" s="15">
        <v>-0.01</v>
      </c>
      <c r="M50" s="15">
        <v>-0.01</v>
      </c>
      <c r="N50" s="15">
        <v>-0.01</v>
      </c>
      <c r="O50" s="15">
        <v>-0.01</v>
      </c>
      <c r="P50" s="15">
        <v>-0.01</v>
      </c>
      <c r="Q50" s="15">
        <v>-0.01</v>
      </c>
    </row>
    <row r="51" spans="3:17" outlineLevel="1" x14ac:dyDescent="0.3">
      <c r="C51" s="9"/>
      <c r="D51" s="7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</row>
    <row r="52" spans="3:17" outlineLevel="1" x14ac:dyDescent="0.3">
      <c r="C52" s="9" t="s">
        <v>63</v>
      </c>
      <c r="D52" s="7" t="s">
        <v>69</v>
      </c>
      <c r="F52" s="76">
        <v>50</v>
      </c>
      <c r="G52" s="80">
        <f>+F52*(1+G$47)</f>
        <v>51.5</v>
      </c>
      <c r="H52" s="80">
        <f t="shared" ref="H52:Q52" si="13">+G52*(1+H$47)</f>
        <v>53.045000000000002</v>
      </c>
      <c r="I52" s="80">
        <f t="shared" si="13"/>
        <v>54.63635</v>
      </c>
      <c r="J52" s="80">
        <f t="shared" si="13"/>
        <v>56.002258749999996</v>
      </c>
      <c r="K52" s="80">
        <f t="shared" si="13"/>
        <v>57.542320865625001</v>
      </c>
      <c r="L52" s="80">
        <f t="shared" si="13"/>
        <v>59.124734689429694</v>
      </c>
      <c r="M52" s="80">
        <f t="shared" si="13"/>
        <v>60.750664893389015</v>
      </c>
      <c r="N52" s="80">
        <f t="shared" si="13"/>
        <v>62.573184840190684</v>
      </c>
      <c r="O52" s="80">
        <f t="shared" si="13"/>
        <v>64.4503803853964</v>
      </c>
      <c r="P52" s="80">
        <f t="shared" si="13"/>
        <v>66.383891796958295</v>
      </c>
      <c r="Q52" s="80">
        <f t="shared" si="13"/>
        <v>68.20944882137465</v>
      </c>
    </row>
    <row r="53" spans="3:17" outlineLevel="1" x14ac:dyDescent="0.3">
      <c r="C53" s="9" t="s">
        <v>73</v>
      </c>
      <c r="D53" s="7" t="s">
        <v>7</v>
      </c>
      <c r="F53" s="15">
        <v>0.75</v>
      </c>
      <c r="G53" s="15">
        <v>0.78</v>
      </c>
      <c r="H53" s="15">
        <v>0.81</v>
      </c>
      <c r="I53" s="15">
        <v>0.84</v>
      </c>
      <c r="J53" s="15">
        <v>0.87</v>
      </c>
      <c r="K53" s="15">
        <v>0.9</v>
      </c>
      <c r="L53" s="15">
        <v>0.9</v>
      </c>
      <c r="M53" s="15">
        <v>0.9</v>
      </c>
      <c r="N53" s="15">
        <v>0.95</v>
      </c>
      <c r="O53" s="15">
        <v>0.95</v>
      </c>
      <c r="P53" s="15">
        <v>0.95</v>
      </c>
      <c r="Q53" s="15">
        <v>0.95</v>
      </c>
    </row>
    <row r="54" spans="3:17" outlineLevel="1" x14ac:dyDescent="0.3">
      <c r="C54" s="9" t="s">
        <v>61</v>
      </c>
      <c r="D54" s="7" t="s">
        <v>7</v>
      </c>
      <c r="F54" s="15">
        <v>-0.05</v>
      </c>
      <c r="G54" s="15">
        <v>-0.01</v>
      </c>
      <c r="H54" s="15">
        <v>-0.02</v>
      </c>
      <c r="I54" s="15">
        <v>-0.03</v>
      </c>
      <c r="J54" s="15">
        <v>-0.03</v>
      </c>
      <c r="K54" s="15">
        <v>-0.03</v>
      </c>
      <c r="L54" s="15">
        <v>-0.04</v>
      </c>
      <c r="M54" s="15">
        <v>-0.04</v>
      </c>
      <c r="N54" s="15">
        <v>-0.04</v>
      </c>
      <c r="O54" s="15">
        <v>-0.05</v>
      </c>
      <c r="P54" s="15">
        <v>-0.05</v>
      </c>
      <c r="Q54" s="15">
        <v>-0.03</v>
      </c>
    </row>
    <row r="55" spans="3:17" outlineLevel="1" x14ac:dyDescent="0.3">
      <c r="C55" s="9"/>
      <c r="D55" s="7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</row>
    <row r="56" spans="3:17" outlineLevel="1" x14ac:dyDescent="0.3">
      <c r="C56" s="9" t="s">
        <v>71</v>
      </c>
      <c r="D56" s="7" t="s">
        <v>72</v>
      </c>
      <c r="F56" s="76">
        <v>0.4</v>
      </c>
      <c r="G56" s="80">
        <f t="shared" ref="G56:G57" si="14">+F56*(1+G$62)</f>
        <v>0.41399999999999998</v>
      </c>
      <c r="H56" s="80">
        <f t="shared" ref="H56:H57" si="15">+G56*(1+H$62)</f>
        <v>0.42848999999999993</v>
      </c>
      <c r="I56" s="80">
        <f t="shared" ref="I56:I57" si="16">+H56*(1+I$62)</f>
        <v>0.44134469999999992</v>
      </c>
      <c r="J56" s="80">
        <f t="shared" ref="J56:J57" si="17">+I56*(1+J$62)</f>
        <v>0.45458504099999991</v>
      </c>
      <c r="K56" s="80">
        <f t="shared" ref="K56:K57" si="18">+J56*(1+K$62)</f>
        <v>0.4682225922299999</v>
      </c>
      <c r="L56" s="80">
        <f t="shared" ref="L56:L57" si="19">+K56*(1+L$62)</f>
        <v>0.4822692699968999</v>
      </c>
      <c r="M56" s="80">
        <f t="shared" ref="M56:M57" si="20">+L56*(1+M$62)</f>
        <v>0.49673734809680692</v>
      </c>
      <c r="N56" s="80">
        <f t="shared" ref="N56:N57" si="21">+M56*(1+N$62)</f>
        <v>0.5116394685397111</v>
      </c>
      <c r="O56" s="80">
        <f t="shared" ref="O56:O57" si="22">+N56*(1+O$62)</f>
        <v>0.52698865259590244</v>
      </c>
      <c r="P56" s="80">
        <f t="shared" ref="P56:P57" si="23">+O56*(1+P$62)</f>
        <v>0.5427983121737795</v>
      </c>
      <c r="Q56" s="80">
        <f t="shared" ref="Q56:Q57" si="24">+P56*(1+Q$62)</f>
        <v>0.55908226153899288</v>
      </c>
    </row>
    <row r="57" spans="3:17" outlineLevel="1" x14ac:dyDescent="0.3">
      <c r="C57" s="9" t="s">
        <v>66</v>
      </c>
      <c r="D57" s="7" t="s">
        <v>68</v>
      </c>
      <c r="F57" s="76">
        <f>INDEX('Sensitivity Analysis'!C3:F7,MATCH('Sensitivity Analysis'!B5,Table1[Metric],0),MATCH('Pro-Forma'!F2,Table1[[#Headers],[Stress Case]:[Upside Case]],0))</f>
        <v>100</v>
      </c>
      <c r="G57" s="80">
        <f t="shared" si="14"/>
        <v>103.49999999999999</v>
      </c>
      <c r="H57" s="80">
        <f t="shared" si="15"/>
        <v>107.12249999999997</v>
      </c>
      <c r="I57" s="80">
        <f t="shared" si="16"/>
        <v>110.33617499999998</v>
      </c>
      <c r="J57" s="80">
        <f t="shared" si="17"/>
        <v>113.64626024999998</v>
      </c>
      <c r="K57" s="80">
        <f t="shared" si="18"/>
        <v>117.05564805749998</v>
      </c>
      <c r="L57" s="80">
        <f t="shared" si="19"/>
        <v>120.56731749922498</v>
      </c>
      <c r="M57" s="80">
        <f t="shared" si="20"/>
        <v>124.18433702420174</v>
      </c>
      <c r="N57" s="80">
        <f t="shared" si="21"/>
        <v>127.90986713492779</v>
      </c>
      <c r="O57" s="80">
        <f t="shared" si="22"/>
        <v>131.74716314897563</v>
      </c>
      <c r="P57" s="80">
        <f t="shared" si="23"/>
        <v>135.69957804344492</v>
      </c>
      <c r="Q57" s="80">
        <f t="shared" si="24"/>
        <v>139.77056538474827</v>
      </c>
    </row>
    <row r="58" spans="3:17" outlineLevel="1" x14ac:dyDescent="0.3">
      <c r="C58" s="9" t="s">
        <v>67</v>
      </c>
      <c r="D58" s="7" t="s">
        <v>7</v>
      </c>
      <c r="F58" s="15">
        <v>0.15</v>
      </c>
      <c r="G58" s="15">
        <v>0.152</v>
      </c>
      <c r="H58" s="15">
        <v>0.154</v>
      </c>
      <c r="I58" s="15">
        <v>0.156</v>
      </c>
      <c r="J58" s="15">
        <v>0.158</v>
      </c>
      <c r="K58" s="15">
        <v>0.16</v>
      </c>
      <c r="L58" s="15">
        <v>0.16</v>
      </c>
      <c r="M58" s="15">
        <v>0.16</v>
      </c>
      <c r="N58" s="15">
        <v>0.18</v>
      </c>
      <c r="O58" s="15">
        <v>0.18</v>
      </c>
      <c r="P58" s="15">
        <v>0.18</v>
      </c>
      <c r="Q58" s="15">
        <v>0.2</v>
      </c>
    </row>
    <row r="59" spans="3:17" outlineLevel="1" x14ac:dyDescent="0.3">
      <c r="C59" s="9" t="s">
        <v>82</v>
      </c>
      <c r="D59" s="7" t="s">
        <v>74</v>
      </c>
      <c r="F59" s="76">
        <v>650</v>
      </c>
      <c r="G59" s="80">
        <f t="shared" ref="G59" si="25">+F59*(1+G$62)</f>
        <v>672.75</v>
      </c>
      <c r="H59" s="80">
        <f t="shared" ref="H59" si="26">+G59*(1+H$62)</f>
        <v>696.29624999999999</v>
      </c>
      <c r="I59" s="80">
        <f t="shared" ref="I59" si="27">+H59*(1+I$62)</f>
        <v>717.1851375</v>
      </c>
      <c r="J59" s="80">
        <f t="shared" ref="J59" si="28">+I59*(1+J$62)</f>
        <v>738.70069162499999</v>
      </c>
      <c r="K59" s="80">
        <f t="shared" ref="K59" si="29">+J59*(1+K$62)</f>
        <v>760.86171237375004</v>
      </c>
      <c r="L59" s="80">
        <f t="shared" ref="L59" si="30">+K59*(1+L$62)</f>
        <v>783.68756374496252</v>
      </c>
      <c r="M59" s="80">
        <f t="shared" ref="M59" si="31">+L59*(1+M$62)</f>
        <v>807.19819065731144</v>
      </c>
      <c r="N59" s="80">
        <f t="shared" ref="N59" si="32">+M59*(1+N$62)</f>
        <v>831.41413637703079</v>
      </c>
      <c r="O59" s="80">
        <f t="shared" ref="O59" si="33">+N59*(1+O$62)</f>
        <v>856.35656046834174</v>
      </c>
      <c r="P59" s="80">
        <f t="shared" ref="P59" si="34">+O59*(1+P$62)</f>
        <v>882.04725728239202</v>
      </c>
      <c r="Q59" s="80">
        <f t="shared" ref="Q59" si="35">+P59*(1+Q$62)</f>
        <v>908.50867500086383</v>
      </c>
    </row>
    <row r="60" spans="3:17" outlineLevel="1" x14ac:dyDescent="0.3">
      <c r="C60" s="9"/>
      <c r="D60" s="7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</row>
    <row r="61" spans="3:17" outlineLevel="1" x14ac:dyDescent="0.3">
      <c r="C61" s="9" t="s">
        <v>65</v>
      </c>
      <c r="D61" s="7" t="s">
        <v>7</v>
      </c>
      <c r="G61" s="15">
        <v>2.5000000000000001E-2</v>
      </c>
      <c r="H61" s="15">
        <v>2.5000000000000001E-2</v>
      </c>
      <c r="I61" s="15">
        <v>2.5000000000000001E-2</v>
      </c>
      <c r="J61" s="15">
        <v>2.5000000000000001E-2</v>
      </c>
      <c r="K61" s="15">
        <v>2.5000000000000001E-2</v>
      </c>
      <c r="L61" s="15">
        <v>2.75E-2</v>
      </c>
      <c r="M61" s="15">
        <v>2.75E-2</v>
      </c>
      <c r="N61" s="15">
        <v>2.75E-2</v>
      </c>
      <c r="O61" s="15">
        <v>0.03</v>
      </c>
      <c r="P61" s="15">
        <v>0.03</v>
      </c>
      <c r="Q61" s="15">
        <v>0.03</v>
      </c>
    </row>
    <row r="62" spans="3:17" outlineLevel="1" x14ac:dyDescent="0.3">
      <c r="C62" s="9" t="s">
        <v>23</v>
      </c>
      <c r="D62" s="7" t="s">
        <v>7</v>
      </c>
      <c r="G62" s="15">
        <v>3.5000000000000003E-2</v>
      </c>
      <c r="H62" s="15">
        <v>3.5000000000000003E-2</v>
      </c>
      <c r="I62" s="15">
        <v>0.03</v>
      </c>
      <c r="J62" s="15">
        <v>0.03</v>
      </c>
      <c r="K62" s="15">
        <v>0.03</v>
      </c>
      <c r="L62" s="15">
        <v>0.03</v>
      </c>
      <c r="M62" s="15">
        <v>0.03</v>
      </c>
      <c r="N62" s="15">
        <v>0.03</v>
      </c>
      <c r="O62" s="15">
        <v>0.03</v>
      </c>
      <c r="P62" s="15">
        <v>0.03</v>
      </c>
      <c r="Q62" s="15">
        <v>0.03</v>
      </c>
    </row>
    <row r="63" spans="3:17" outlineLevel="1" x14ac:dyDescent="0.3">
      <c r="C63" s="9"/>
      <c r="D63" s="7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</row>
    <row r="64" spans="3:17" outlineLevel="1" x14ac:dyDescent="0.3">
      <c r="C64" s="9" t="s">
        <v>76</v>
      </c>
      <c r="D64" s="7" t="s">
        <v>74</v>
      </c>
      <c r="F64" s="85">
        <v>600</v>
      </c>
      <c r="G64" s="85">
        <v>900</v>
      </c>
      <c r="H64" s="85">
        <v>900</v>
      </c>
      <c r="I64" s="85">
        <v>900</v>
      </c>
      <c r="J64" s="85">
        <v>300</v>
      </c>
      <c r="K64" s="85">
        <v>300</v>
      </c>
      <c r="L64" s="85">
        <v>225</v>
      </c>
      <c r="M64" s="85">
        <v>225</v>
      </c>
      <c r="N64" s="85">
        <v>250</v>
      </c>
      <c r="O64" s="85">
        <v>250</v>
      </c>
      <c r="P64" s="85">
        <v>275</v>
      </c>
      <c r="Q64" s="85">
        <v>280</v>
      </c>
    </row>
    <row r="65" spans="2:17" outlineLevel="1" x14ac:dyDescent="0.3">
      <c r="C65" s="9"/>
      <c r="D65" s="7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</row>
    <row r="66" spans="2:17" outlineLevel="1" x14ac:dyDescent="0.3">
      <c r="C66" s="9" t="s">
        <v>78</v>
      </c>
      <c r="D66" s="7" t="s">
        <v>13</v>
      </c>
      <c r="E66" s="86">
        <v>0</v>
      </c>
      <c r="F66" s="30">
        <f>+E66-F90-F97+K38</f>
        <v>350000</v>
      </c>
      <c r="G66" s="30">
        <f t="shared" ref="G66" si="36">+F66-G90-G97</f>
        <v>236375</v>
      </c>
      <c r="H66" s="30">
        <f t="shared" ref="H66" si="37">+G66-H90-H97</f>
        <v>134523.125</v>
      </c>
      <c r="I66" s="30">
        <f t="shared" ref="I66" si="38">+H66-I90-I97</f>
        <v>43115.693749999977</v>
      </c>
      <c r="J66" s="30">
        <f t="shared" ref="J66" si="39">+I66-J90-J97</f>
        <v>262466.03956249997</v>
      </c>
      <c r="K66" s="30">
        <f t="shared" ref="K66" si="40">+J66-K90-K97</f>
        <v>492896.89574937499</v>
      </c>
      <c r="L66" s="30">
        <f t="shared" ref="L66" si="41">+K66-L90-L97</f>
        <v>772240.67762185633</v>
      </c>
      <c r="M66" s="30">
        <f t="shared" ref="M66" si="42">+L66-M90-M97</f>
        <v>1063339.7729505121</v>
      </c>
      <c r="N66" s="30">
        <f t="shared" ref="N66" si="43">+M66-N90-N97</f>
        <v>1354046.8411390274</v>
      </c>
      <c r="O66" s="30">
        <f t="shared" ref="O66" si="44">+N66-O90-O97</f>
        <v>1657225.1213731982</v>
      </c>
      <c r="P66" s="30">
        <f t="shared" ref="P66" si="45">+O66-P90-P97</f>
        <v>1960748.7500143941</v>
      </c>
      <c r="Q66" s="30">
        <f t="shared" ref="Q66" si="46">+P66-Q90-Q97</f>
        <v>2275003.0875148261</v>
      </c>
    </row>
    <row r="67" spans="2:17" outlineLevel="1" x14ac:dyDescent="0.3">
      <c r="D67" s="4"/>
    </row>
    <row r="68" spans="2:17" outlineLevel="1" x14ac:dyDescent="0.3">
      <c r="B68" s="2"/>
      <c r="C68" s="41" t="s">
        <v>29</v>
      </c>
      <c r="D68" s="42" t="s">
        <v>45</v>
      </c>
      <c r="E68" s="2"/>
      <c r="F68" s="43">
        <f>YEAR(F71)</f>
        <v>2026</v>
      </c>
      <c r="G68" s="43">
        <f t="shared" ref="G68:P68" si="47">YEAR(G71)</f>
        <v>2027</v>
      </c>
      <c r="H68" s="43">
        <f t="shared" si="47"/>
        <v>2028</v>
      </c>
      <c r="I68" s="43">
        <f t="shared" si="47"/>
        <v>2029</v>
      </c>
      <c r="J68" s="43">
        <f t="shared" si="47"/>
        <v>2030</v>
      </c>
      <c r="K68" s="43">
        <f t="shared" si="47"/>
        <v>2031</v>
      </c>
      <c r="L68" s="43">
        <f t="shared" si="47"/>
        <v>2032</v>
      </c>
      <c r="M68" s="43">
        <f t="shared" si="47"/>
        <v>2033</v>
      </c>
      <c r="N68" s="43">
        <f t="shared" si="47"/>
        <v>2034</v>
      </c>
      <c r="O68" s="43">
        <f t="shared" si="47"/>
        <v>2035</v>
      </c>
      <c r="P68" s="43">
        <f t="shared" si="47"/>
        <v>2036</v>
      </c>
      <c r="Q68" s="43">
        <f>YEAR(EOMONTH(P71,Months))</f>
        <v>2037</v>
      </c>
    </row>
    <row r="69" spans="2:17" x14ac:dyDescent="0.3">
      <c r="D69" s="4"/>
    </row>
    <row r="70" spans="2:17" x14ac:dyDescent="0.3">
      <c r="B70" s="33"/>
      <c r="C70" s="33"/>
      <c r="D70" s="34"/>
      <c r="E70" s="44"/>
      <c r="F70" s="35" t="str">
        <f>+$F$41</f>
        <v>Historical:</v>
      </c>
      <c r="G70" s="36" t="str">
        <f>+$G$41</f>
        <v>Projected:</v>
      </c>
      <c r="H70" s="37"/>
      <c r="I70" s="37"/>
      <c r="J70" s="37"/>
      <c r="K70" s="37"/>
      <c r="L70" s="37"/>
      <c r="M70" s="37"/>
      <c r="N70" s="37"/>
      <c r="O70" s="37"/>
      <c r="P70" s="37"/>
      <c r="Q70" s="45" t="str">
        <f>+$Q$41</f>
        <v>Stabilized</v>
      </c>
    </row>
    <row r="71" spans="2:17" x14ac:dyDescent="0.3">
      <c r="B71" s="5" t="s">
        <v>30</v>
      </c>
      <c r="C71" s="5"/>
      <c r="D71" s="6" t="str">
        <f>+$D$5</f>
        <v>Units:</v>
      </c>
      <c r="E71" s="46"/>
      <c r="F71" s="47">
        <f>+$F$42</f>
        <v>46023</v>
      </c>
      <c r="G71" s="40">
        <f>+$G$42</f>
        <v>46418</v>
      </c>
      <c r="H71" s="39">
        <f>+$H$42</f>
        <v>46783</v>
      </c>
      <c r="I71" s="39">
        <f>+$I$42</f>
        <v>47149</v>
      </c>
      <c r="J71" s="39">
        <f>+$J$42</f>
        <v>47514</v>
      </c>
      <c r="K71" s="39">
        <f>+$K$42</f>
        <v>47879</v>
      </c>
      <c r="L71" s="39">
        <f>+$L$42</f>
        <v>48244</v>
      </c>
      <c r="M71" s="39">
        <f>+$M$42</f>
        <v>48610</v>
      </c>
      <c r="N71" s="39">
        <f>+$N$42</f>
        <v>48975</v>
      </c>
      <c r="O71" s="39">
        <f>+$O$42</f>
        <v>49340</v>
      </c>
      <c r="P71" s="39">
        <f>+$P$42</f>
        <v>49705</v>
      </c>
      <c r="Q71" s="39" t="str">
        <f>+$Q$42</f>
        <v>Year:</v>
      </c>
    </row>
    <row r="72" spans="2:17" outlineLevel="1" x14ac:dyDescent="0.3">
      <c r="D72" s="4"/>
      <c r="E72" s="48"/>
      <c r="F72" s="48"/>
      <c r="G72" s="48"/>
      <c r="H72" s="29"/>
      <c r="I72" s="29"/>
      <c r="J72" s="29"/>
      <c r="K72" s="29"/>
      <c r="L72" s="29"/>
      <c r="M72" s="29"/>
      <c r="N72" s="29"/>
      <c r="O72" s="29"/>
      <c r="P72" s="29"/>
    </row>
    <row r="73" spans="2:17" outlineLevel="1" x14ac:dyDescent="0.3">
      <c r="C73" s="2" t="s">
        <v>31</v>
      </c>
      <c r="D73" s="4"/>
      <c r="E73" s="29"/>
      <c r="F73" s="27"/>
      <c r="G73" s="29"/>
      <c r="H73" s="29"/>
      <c r="I73" s="29"/>
      <c r="J73" s="29"/>
      <c r="K73" s="29"/>
      <c r="L73" s="29"/>
      <c r="M73" s="29"/>
      <c r="N73" s="29"/>
      <c r="O73" s="29"/>
      <c r="P73" s="29"/>
    </row>
    <row r="74" spans="2:17" outlineLevel="1" x14ac:dyDescent="0.3">
      <c r="C74" s="9" t="s">
        <v>99</v>
      </c>
      <c r="D74" s="7" t="s">
        <v>13</v>
      </c>
      <c r="E74" s="29"/>
      <c r="F74" s="27">
        <f t="shared" ref="F74:Q74" si="48">+F44*Rentable_SF*Months</f>
        <v>29700000</v>
      </c>
      <c r="G74" s="27">
        <f t="shared" si="48"/>
        <v>30591000</v>
      </c>
      <c r="H74" s="27">
        <f t="shared" si="48"/>
        <v>31508730</v>
      </c>
      <c r="I74" s="27">
        <f t="shared" si="48"/>
        <v>32453991.900000002</v>
      </c>
      <c r="J74" s="27">
        <f t="shared" si="48"/>
        <v>33265341.697499994</v>
      </c>
      <c r="K74" s="27">
        <f t="shared" si="48"/>
        <v>34180138.594181247</v>
      </c>
      <c r="L74" s="27">
        <f t="shared" si="48"/>
        <v>35120092.405521229</v>
      </c>
      <c r="M74" s="27">
        <f t="shared" si="48"/>
        <v>36085894.946673073</v>
      </c>
      <c r="N74" s="27">
        <f t="shared" si="48"/>
        <v>37168471.795073271</v>
      </c>
      <c r="O74" s="27">
        <f t="shared" si="48"/>
        <v>38283525.948925465</v>
      </c>
      <c r="P74" s="27">
        <f t="shared" si="48"/>
        <v>39432031.727393232</v>
      </c>
      <c r="Q74" s="27">
        <f t="shared" si="48"/>
        <v>35120092.405521229</v>
      </c>
    </row>
    <row r="75" spans="2:17" outlineLevel="1" x14ac:dyDescent="0.3">
      <c r="C75" s="9" t="s">
        <v>100</v>
      </c>
      <c r="D75" s="7" t="s">
        <v>13</v>
      </c>
      <c r="E75" s="29"/>
      <c r="F75" s="30">
        <f t="shared" ref="F75" si="49">(F45-F44)*Rentable_SF*Months</f>
        <v>-1350000</v>
      </c>
      <c r="G75" s="30">
        <f t="shared" ref="G75:Q75" si="50">(G45-G44)*Rentable_SF*Months</f>
        <v>-1529550.0000000037</v>
      </c>
      <c r="H75" s="30">
        <f t="shared" si="50"/>
        <v>-1102805.5500000005</v>
      </c>
      <c r="I75" s="30">
        <f t="shared" si="50"/>
        <v>-649079.83799999906</v>
      </c>
      <c r="J75" s="30">
        <f t="shared" si="50"/>
        <v>-332653.41697500157</v>
      </c>
      <c r="K75" s="30">
        <f t="shared" si="50"/>
        <v>-341801.3859418119</v>
      </c>
      <c r="L75" s="30">
        <f t="shared" si="50"/>
        <v>-351200.92405521177</v>
      </c>
      <c r="M75" s="30">
        <f t="shared" si="50"/>
        <v>-360858.9494667328</v>
      </c>
      <c r="N75" s="30">
        <f t="shared" si="50"/>
        <v>-371684.71795073419</v>
      </c>
      <c r="O75" s="30">
        <f t="shared" si="50"/>
        <v>-382835.2594892573</v>
      </c>
      <c r="P75" s="30">
        <f t="shared" si="50"/>
        <v>-394320.31727393327</v>
      </c>
      <c r="Q75" s="30">
        <f t="shared" si="50"/>
        <v>-351200.92405521177</v>
      </c>
    </row>
    <row r="76" spans="2:17" outlineLevel="1" x14ac:dyDescent="0.3">
      <c r="C76" s="9" t="s">
        <v>101</v>
      </c>
      <c r="D76" s="7" t="s">
        <v>13</v>
      </c>
      <c r="E76" s="29"/>
      <c r="F76" s="30">
        <f t="shared" ref="F76" si="51">SUM(F74:F75)*F50</f>
        <v>-425250</v>
      </c>
      <c r="G76" s="30">
        <f t="shared" ref="G76:Q76" si="52">SUM(G74:G75)*G50</f>
        <v>-363268.125</v>
      </c>
      <c r="H76" s="30">
        <f t="shared" si="52"/>
        <v>-304059.24449999997</v>
      </c>
      <c r="I76" s="30">
        <f t="shared" si="52"/>
        <v>-318049.12062000006</v>
      </c>
      <c r="J76" s="30">
        <f t="shared" si="52"/>
        <v>-329326.88280524994</v>
      </c>
      <c r="K76" s="30">
        <f t="shared" si="52"/>
        <v>-338383.37208239437</v>
      </c>
      <c r="L76" s="30">
        <f t="shared" si="52"/>
        <v>-347688.91481466021</v>
      </c>
      <c r="M76" s="30">
        <f t="shared" si="52"/>
        <v>-357250.35997206339</v>
      </c>
      <c r="N76" s="30">
        <f t="shared" si="52"/>
        <v>-367967.87077122543</v>
      </c>
      <c r="O76" s="30">
        <f t="shared" si="52"/>
        <v>-379006.90689436207</v>
      </c>
      <c r="P76" s="30">
        <f t="shared" si="52"/>
        <v>-390377.11410119303</v>
      </c>
      <c r="Q76" s="30">
        <f t="shared" si="52"/>
        <v>-347688.91481466021</v>
      </c>
    </row>
    <row r="77" spans="2:17" outlineLevel="1" x14ac:dyDescent="0.3">
      <c r="C77" s="9" t="s">
        <v>102</v>
      </c>
      <c r="D77" s="7" t="s">
        <v>13</v>
      </c>
      <c r="E77" s="29"/>
      <c r="F77" s="30">
        <f t="shared" ref="F77" si="53">+F52*Parking_Spots*Months</f>
        <v>600000</v>
      </c>
      <c r="G77" s="30">
        <f t="shared" ref="G77:Q77" si="54">+G52*Parking_Spots*Months</f>
        <v>618000</v>
      </c>
      <c r="H77" s="30">
        <f t="shared" si="54"/>
        <v>636540</v>
      </c>
      <c r="I77" s="30">
        <f t="shared" si="54"/>
        <v>655636.19999999995</v>
      </c>
      <c r="J77" s="30">
        <f t="shared" si="54"/>
        <v>672027.10499999998</v>
      </c>
      <c r="K77" s="30">
        <f t="shared" si="54"/>
        <v>690507.85038750002</v>
      </c>
      <c r="L77" s="30">
        <f t="shared" si="54"/>
        <v>709496.81627315632</v>
      </c>
      <c r="M77" s="30">
        <f t="shared" si="54"/>
        <v>729007.97872066824</v>
      </c>
      <c r="N77" s="30">
        <f t="shared" si="54"/>
        <v>750878.21808228816</v>
      </c>
      <c r="O77" s="30">
        <f t="shared" si="54"/>
        <v>773404.56462475681</v>
      </c>
      <c r="P77" s="30">
        <f t="shared" si="54"/>
        <v>796606.70156349964</v>
      </c>
      <c r="Q77" s="30">
        <f t="shared" si="54"/>
        <v>818513.38585649582</v>
      </c>
    </row>
    <row r="78" spans="2:17" outlineLevel="1" x14ac:dyDescent="0.3">
      <c r="C78" s="9" t="s">
        <v>103</v>
      </c>
      <c r="D78" s="49" t="s">
        <v>13</v>
      </c>
      <c r="E78" s="72"/>
      <c r="F78" s="73">
        <f t="shared" ref="F78" si="55">-F87*F53</f>
        <v>450000</v>
      </c>
      <c r="G78" s="73">
        <f t="shared" ref="G78:Q78" si="56">-G87*G53</f>
        <v>484379.99999999994</v>
      </c>
      <c r="H78" s="73">
        <f t="shared" si="56"/>
        <v>520615.34999999986</v>
      </c>
      <c r="I78" s="73">
        <f t="shared" si="56"/>
        <v>556094.32199999993</v>
      </c>
      <c r="J78" s="73">
        <f t="shared" si="56"/>
        <v>593233.47850499989</v>
      </c>
      <c r="K78" s="73">
        <f t="shared" si="56"/>
        <v>632100.49951049988</v>
      </c>
      <c r="L78" s="73">
        <f t="shared" si="56"/>
        <v>651063.51449581492</v>
      </c>
      <c r="M78" s="73">
        <f t="shared" si="56"/>
        <v>670595.41993068939</v>
      </c>
      <c r="N78" s="73">
        <f t="shared" si="56"/>
        <v>729086.24266908842</v>
      </c>
      <c r="O78" s="73">
        <f t="shared" si="56"/>
        <v>750958.82994916115</v>
      </c>
      <c r="P78" s="73">
        <f t="shared" si="56"/>
        <v>773487.59484763606</v>
      </c>
      <c r="Q78" s="73">
        <f t="shared" si="56"/>
        <v>796692.22269306518</v>
      </c>
    </row>
    <row r="79" spans="2:17" outlineLevel="1" x14ac:dyDescent="0.3">
      <c r="C79" s="71" t="s">
        <v>104</v>
      </c>
      <c r="D79" s="7" t="s">
        <v>13</v>
      </c>
      <c r="E79" s="29"/>
      <c r="F79" s="83">
        <f>SUM(F74:F78)</f>
        <v>28974750</v>
      </c>
      <c r="G79" s="83">
        <f t="shared" ref="G79:Q79" si="57">SUM(G74:G78)</f>
        <v>29800561.874999996</v>
      </c>
      <c r="H79" s="83">
        <f t="shared" si="57"/>
        <v>31259020.555500001</v>
      </c>
      <c r="I79" s="83">
        <f t="shared" si="57"/>
        <v>32698593.463380001</v>
      </c>
      <c r="J79" s="83">
        <f t="shared" si="57"/>
        <v>33868621.981224738</v>
      </c>
      <c r="K79" s="83">
        <f t="shared" si="57"/>
        <v>34822562.186055042</v>
      </c>
      <c r="L79" s="83">
        <f t="shared" si="57"/>
        <v>35781762.897420324</v>
      </c>
      <c r="M79" s="83">
        <f t="shared" si="57"/>
        <v>36767389.035885632</v>
      </c>
      <c r="N79" s="83">
        <f t="shared" si="57"/>
        <v>37908783.667102695</v>
      </c>
      <c r="O79" s="83">
        <f t="shared" si="57"/>
        <v>39046047.177115761</v>
      </c>
      <c r="P79" s="83">
        <f t="shared" si="57"/>
        <v>40217428.592429243</v>
      </c>
      <c r="Q79" s="83">
        <f t="shared" si="57"/>
        <v>36036408.175200917</v>
      </c>
    </row>
    <row r="80" spans="2:17" outlineLevel="1" x14ac:dyDescent="0.3">
      <c r="C80" s="9" t="s">
        <v>105</v>
      </c>
      <c r="D80" s="49" t="s">
        <v>13</v>
      </c>
      <c r="E80" s="29"/>
      <c r="F80" s="29">
        <f>F79*F54</f>
        <v>-1448737.5</v>
      </c>
      <c r="G80" s="29">
        <f t="shared" ref="G80:Q80" si="58">G79*G54</f>
        <v>-298005.61874999997</v>
      </c>
      <c r="H80" s="29">
        <f t="shared" si="58"/>
        <v>-625180.41110999999</v>
      </c>
      <c r="I80" s="29">
        <f t="shared" si="58"/>
        <v>-980957.80390139995</v>
      </c>
      <c r="J80" s="29">
        <f t="shared" si="58"/>
        <v>-1016058.6594367421</v>
      </c>
      <c r="K80" s="29">
        <f t="shared" si="58"/>
        <v>-1044676.8655816512</v>
      </c>
      <c r="L80" s="29">
        <f t="shared" si="58"/>
        <v>-1431270.515896813</v>
      </c>
      <c r="M80" s="29">
        <f t="shared" si="58"/>
        <v>-1470695.5614354254</v>
      </c>
      <c r="N80" s="29">
        <f t="shared" si="58"/>
        <v>-1516351.3466841078</v>
      </c>
      <c r="O80" s="29">
        <f t="shared" si="58"/>
        <v>-1952302.3588557881</v>
      </c>
      <c r="P80" s="29">
        <f t="shared" si="58"/>
        <v>-2010871.4296214622</v>
      </c>
      <c r="Q80" s="29">
        <f t="shared" si="58"/>
        <v>-1081092.2452560274</v>
      </c>
    </row>
    <row r="81" spans="3:17" outlineLevel="1" x14ac:dyDescent="0.3">
      <c r="C81" s="50" t="s">
        <v>106</v>
      </c>
      <c r="D81" s="7" t="s">
        <v>13</v>
      </c>
      <c r="E81" s="48"/>
      <c r="F81" s="31">
        <f>SUM(F79:F80)</f>
        <v>27526012.5</v>
      </c>
      <c r="G81" s="31">
        <f t="shared" ref="G81:Q81" si="59">SUM(G79:G80)</f>
        <v>29502556.256249998</v>
      </c>
      <c r="H81" s="31">
        <f t="shared" si="59"/>
        <v>30633840.144390002</v>
      </c>
      <c r="I81" s="31">
        <f t="shared" si="59"/>
        <v>31717635.659478601</v>
      </c>
      <c r="J81" s="31">
        <f t="shared" si="59"/>
        <v>32852563.321787994</v>
      </c>
      <c r="K81" s="31">
        <f t="shared" si="59"/>
        <v>33777885.320473388</v>
      </c>
      <c r="L81" s="31">
        <f t="shared" si="59"/>
        <v>34350492.381523512</v>
      </c>
      <c r="M81" s="31">
        <f t="shared" si="59"/>
        <v>35296693.474450208</v>
      </c>
      <c r="N81" s="31">
        <f t="shared" si="59"/>
        <v>36392432.320418589</v>
      </c>
      <c r="O81" s="31">
        <f t="shared" si="59"/>
        <v>37093744.818259969</v>
      </c>
      <c r="P81" s="31">
        <f t="shared" si="59"/>
        <v>38206557.162807778</v>
      </c>
      <c r="Q81" s="31">
        <f t="shared" si="59"/>
        <v>34955315.929944888</v>
      </c>
    </row>
    <row r="82" spans="3:17" outlineLevel="1" x14ac:dyDescent="0.3">
      <c r="C82" s="54" t="s">
        <v>107</v>
      </c>
      <c r="D82" s="7" t="s">
        <v>7</v>
      </c>
      <c r="E82" s="29"/>
      <c r="F82" s="89" t="s">
        <v>81</v>
      </c>
      <c r="G82" s="53">
        <f>+G81/F81-1</f>
        <v>7.1806396086247393E-2</v>
      </c>
      <c r="H82" s="53">
        <f t="shared" ref="H82:P82" si="60">+H81/G81-1</f>
        <v>3.834528365318679E-2</v>
      </c>
      <c r="I82" s="53">
        <f t="shared" si="60"/>
        <v>3.5379028877222662E-2</v>
      </c>
      <c r="J82" s="53">
        <f t="shared" si="60"/>
        <v>3.5782227732672478E-2</v>
      </c>
      <c r="K82" s="53">
        <f t="shared" si="60"/>
        <v>2.8165899556206409E-2</v>
      </c>
      <c r="L82" s="53">
        <f t="shared" si="60"/>
        <v>1.6952128755764795E-2</v>
      </c>
      <c r="M82" s="53">
        <f t="shared" si="60"/>
        <v>2.7545488501807824E-2</v>
      </c>
      <c r="N82" s="53">
        <f t="shared" si="60"/>
        <v>3.1043668347051856E-2</v>
      </c>
      <c r="O82" s="53">
        <f t="shared" si="60"/>
        <v>1.9270833333332904E-2</v>
      </c>
      <c r="P82" s="53">
        <f t="shared" si="60"/>
        <v>3.0000000000000249E-2</v>
      </c>
      <c r="Q82" s="118" t="s">
        <v>149</v>
      </c>
    </row>
    <row r="83" spans="3:17" outlineLevel="1" x14ac:dyDescent="0.3">
      <c r="D83" s="4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</row>
    <row r="84" spans="3:17" outlineLevel="1" x14ac:dyDescent="0.3">
      <c r="C84" s="2" t="s">
        <v>32</v>
      </c>
      <c r="D84" s="4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</row>
    <row r="85" spans="3:17" outlineLevel="1" x14ac:dyDescent="0.3">
      <c r="C85" s="9" t="s">
        <v>108</v>
      </c>
      <c r="D85" s="7" t="s">
        <v>13</v>
      </c>
      <c r="E85" s="29"/>
      <c r="F85" s="29">
        <f>-RE_Taxes_Pct_Property_Value*Entry_Price</f>
        <v>-1530000</v>
      </c>
      <c r="G85" s="29">
        <f t="shared" ref="G85" si="61">+F85*(1+G61)</f>
        <v>-1568249.9999999998</v>
      </c>
      <c r="H85" s="29">
        <f t="shared" ref="H85" si="62">+G85*(1+H61)</f>
        <v>-1607456.2499999995</v>
      </c>
      <c r="I85" s="29">
        <f t="shared" ref="I85" si="63">+H85*(1+I61)</f>
        <v>-1647642.6562499993</v>
      </c>
      <c r="J85" s="29">
        <f t="shared" ref="J85" si="64">+I85*(1+J61)</f>
        <v>-1688833.7226562491</v>
      </c>
      <c r="K85" s="29">
        <f t="shared" ref="K85" si="65">+J85*(1+K61)</f>
        <v>-1731054.565722655</v>
      </c>
      <c r="L85" s="29">
        <f t="shared" ref="L85" si="66">+K85*(1+L61)</f>
        <v>-1778658.5662800281</v>
      </c>
      <c r="M85" s="29">
        <f t="shared" ref="M85" si="67">+L85*(1+M61)</f>
        <v>-1827571.6768527289</v>
      </c>
      <c r="N85" s="29">
        <f t="shared" ref="N85" si="68">+M85*(1+N61)</f>
        <v>-1877829.8979661791</v>
      </c>
      <c r="O85" s="29">
        <f t="shared" ref="O85" si="69">+N85*(1+O61)</f>
        <v>-1934164.7949051645</v>
      </c>
      <c r="P85" s="29">
        <f t="shared" ref="P85" si="70">+O85*(1+P61)</f>
        <v>-1992189.7387523195</v>
      </c>
      <c r="Q85" s="29">
        <f>P85</f>
        <v>-1992189.7387523195</v>
      </c>
    </row>
    <row r="86" spans="3:17" outlineLevel="1" x14ac:dyDescent="0.3">
      <c r="C86" s="9" t="s">
        <v>109</v>
      </c>
      <c r="D86" s="7" t="s">
        <v>13</v>
      </c>
      <c r="E86" s="29"/>
      <c r="F86" s="29">
        <f t="shared" ref="F86:G86" si="71">-F56*Gross_SF</f>
        <v>-120000</v>
      </c>
      <c r="G86" s="29">
        <f t="shared" si="71"/>
        <v>-124200</v>
      </c>
      <c r="H86" s="29">
        <f t="shared" ref="H86:Q86" si="72">-H56*Gross_SF</f>
        <v>-128546.99999999997</v>
      </c>
      <c r="I86" s="29">
        <f t="shared" si="72"/>
        <v>-132403.40999999997</v>
      </c>
      <c r="J86" s="29">
        <f t="shared" si="72"/>
        <v>-136375.51229999997</v>
      </c>
      <c r="K86" s="29">
        <f t="shared" si="72"/>
        <v>-140466.77766899997</v>
      </c>
      <c r="L86" s="29">
        <f t="shared" si="72"/>
        <v>-144680.78099906998</v>
      </c>
      <c r="M86" s="29">
        <f t="shared" si="72"/>
        <v>-149021.20442904209</v>
      </c>
      <c r="N86" s="29">
        <f t="shared" si="72"/>
        <v>-153491.84056191333</v>
      </c>
      <c r="O86" s="29">
        <f t="shared" si="72"/>
        <v>-158096.59577877074</v>
      </c>
      <c r="P86" s="29">
        <f t="shared" si="72"/>
        <v>-162839.49365213385</v>
      </c>
      <c r="Q86" s="29">
        <f t="shared" si="72"/>
        <v>-167724.67846169785</v>
      </c>
    </row>
    <row r="87" spans="3:17" outlineLevel="1" x14ac:dyDescent="0.3">
      <c r="C87" s="9" t="s">
        <v>110</v>
      </c>
      <c r="D87" s="7" t="s">
        <v>13</v>
      </c>
      <c r="E87" s="29"/>
      <c r="F87" s="29">
        <f t="shared" ref="F87:G87" si="73">-F57*Apt_Units*Months</f>
        <v>-600000</v>
      </c>
      <c r="G87" s="29">
        <f t="shared" si="73"/>
        <v>-620999.99999999988</v>
      </c>
      <c r="H87" s="29">
        <f t="shared" ref="H87:Q87" si="74">-H57*Apt_Units*Months</f>
        <v>-642734.99999999977</v>
      </c>
      <c r="I87" s="29">
        <f t="shared" si="74"/>
        <v>-662017.04999999993</v>
      </c>
      <c r="J87" s="29">
        <f t="shared" si="74"/>
        <v>-681877.56149999984</v>
      </c>
      <c r="K87" s="29">
        <f t="shared" si="74"/>
        <v>-702333.88834499987</v>
      </c>
      <c r="L87" s="29">
        <f t="shared" si="74"/>
        <v>-723403.90499534993</v>
      </c>
      <c r="M87" s="29">
        <f t="shared" si="74"/>
        <v>-745106.02214521042</v>
      </c>
      <c r="N87" s="29">
        <f t="shared" si="74"/>
        <v>-767459.20280956675</v>
      </c>
      <c r="O87" s="29">
        <f t="shared" si="74"/>
        <v>-790482.97889385384</v>
      </c>
      <c r="P87" s="29">
        <f t="shared" si="74"/>
        <v>-814197.46826066962</v>
      </c>
      <c r="Q87" s="29">
        <f t="shared" si="74"/>
        <v>-838623.39230848965</v>
      </c>
    </row>
    <row r="88" spans="3:17" outlineLevel="1" x14ac:dyDescent="0.3">
      <c r="C88" s="9" t="s">
        <v>111</v>
      </c>
      <c r="D88" s="7" t="s">
        <v>13</v>
      </c>
      <c r="E88" s="29"/>
      <c r="F88" s="29">
        <f t="shared" ref="F88:G88" si="75">-F81*Prop_Mgmt_Fee</f>
        <v>-825780.37500000012</v>
      </c>
      <c r="G88" s="29">
        <f t="shared" si="75"/>
        <v>-885076.68768750015</v>
      </c>
      <c r="H88" s="29">
        <f t="shared" ref="H88:Q88" si="76">-H81*Prop_Mgmt_Fee</f>
        <v>-919015.20433170022</v>
      </c>
      <c r="I88" s="29">
        <f t="shared" si="76"/>
        <v>-951529.06978435826</v>
      </c>
      <c r="J88" s="29">
        <f t="shared" si="76"/>
        <v>-985576.89965363999</v>
      </c>
      <c r="K88" s="29">
        <f t="shared" si="76"/>
        <v>-1013336.5596142018</v>
      </c>
      <c r="L88" s="29">
        <f t="shared" si="76"/>
        <v>-1030514.7714457056</v>
      </c>
      <c r="M88" s="29">
        <f t="shared" si="76"/>
        <v>-1058900.8042335066</v>
      </c>
      <c r="N88" s="29">
        <f t="shared" si="76"/>
        <v>-1091772.9696125579</v>
      </c>
      <c r="O88" s="29">
        <f t="shared" si="76"/>
        <v>-1112812.3445477993</v>
      </c>
      <c r="P88" s="29">
        <f t="shared" si="76"/>
        <v>-1146196.7148842337</v>
      </c>
      <c r="Q88" s="29">
        <f t="shared" si="76"/>
        <v>-1048659.4778983467</v>
      </c>
    </row>
    <row r="89" spans="3:17" outlineLevel="1" x14ac:dyDescent="0.3">
      <c r="C89" s="9" t="s">
        <v>112</v>
      </c>
      <c r="D89" s="7" t="s">
        <v>13</v>
      </c>
      <c r="E89" s="29"/>
      <c r="F89" s="29">
        <f t="shared" ref="F89:G89" si="77">-F81*F58</f>
        <v>-4128901.875</v>
      </c>
      <c r="G89" s="29">
        <f t="shared" si="77"/>
        <v>-4484388.5509499991</v>
      </c>
      <c r="H89" s="29">
        <f t="shared" ref="H89:Q89" si="78">-H81*H58</f>
        <v>-4717611.3822360607</v>
      </c>
      <c r="I89" s="29">
        <f t="shared" si="78"/>
        <v>-4947951.1628786614</v>
      </c>
      <c r="J89" s="29">
        <f t="shared" si="78"/>
        <v>-5190705.004842503</v>
      </c>
      <c r="K89" s="29">
        <f t="shared" si="78"/>
        <v>-5404461.6512757419</v>
      </c>
      <c r="L89" s="29">
        <f t="shared" si="78"/>
        <v>-5496078.7810437623</v>
      </c>
      <c r="M89" s="29">
        <f t="shared" si="78"/>
        <v>-5647470.9559120331</v>
      </c>
      <c r="N89" s="29">
        <f t="shared" si="78"/>
        <v>-6550637.8176753456</v>
      </c>
      <c r="O89" s="29">
        <f t="shared" si="78"/>
        <v>-6676874.0672867941</v>
      </c>
      <c r="P89" s="29">
        <f t="shared" si="78"/>
        <v>-6877180.2893054001</v>
      </c>
      <c r="Q89" s="29">
        <f t="shared" si="78"/>
        <v>-6991063.1859889776</v>
      </c>
    </row>
    <row r="90" spans="3:17" outlineLevel="1" x14ac:dyDescent="0.3">
      <c r="C90" s="9" t="s">
        <v>113</v>
      </c>
      <c r="D90" s="49" t="s">
        <v>13</v>
      </c>
      <c r="E90" s="29"/>
      <c r="F90" s="29">
        <f t="shared" ref="F90:G90" si="79">-F59*Apt_Units</f>
        <v>-325000</v>
      </c>
      <c r="G90" s="29">
        <f t="shared" si="79"/>
        <v>-336375</v>
      </c>
      <c r="H90" s="29">
        <f t="shared" ref="H90:Q90" si="80">-H59*Apt_Units</f>
        <v>-348148.125</v>
      </c>
      <c r="I90" s="29">
        <f t="shared" si="80"/>
        <v>-358592.56874999998</v>
      </c>
      <c r="J90" s="29">
        <f t="shared" si="80"/>
        <v>-369350.34581249999</v>
      </c>
      <c r="K90" s="29">
        <f t="shared" si="80"/>
        <v>-380430.85618687503</v>
      </c>
      <c r="L90" s="29">
        <f t="shared" si="80"/>
        <v>-391843.78187248128</v>
      </c>
      <c r="M90" s="29">
        <f t="shared" si="80"/>
        <v>-403599.09532865573</v>
      </c>
      <c r="N90" s="29">
        <f t="shared" si="80"/>
        <v>-415707.06818851538</v>
      </c>
      <c r="O90" s="29">
        <f t="shared" si="80"/>
        <v>-428178.28023417084</v>
      </c>
      <c r="P90" s="29">
        <f t="shared" si="80"/>
        <v>-441023.628641196</v>
      </c>
      <c r="Q90" s="29">
        <f t="shared" si="80"/>
        <v>-454254.33750043192</v>
      </c>
    </row>
    <row r="91" spans="3:17" outlineLevel="1" x14ac:dyDescent="0.3">
      <c r="C91" s="50" t="s">
        <v>114</v>
      </c>
      <c r="D91" s="7" t="s">
        <v>13</v>
      </c>
      <c r="E91" s="48"/>
      <c r="F91" s="31">
        <f>SUM(F85:F90)</f>
        <v>-7529682.25</v>
      </c>
      <c r="G91" s="31">
        <f t="shared" ref="G91" si="81">SUM(G85:G90)</f>
        <v>-8019290.2386374986</v>
      </c>
      <c r="H91" s="31">
        <f t="shared" ref="H91:Q91" si="82">SUM(H85:H90)</f>
        <v>-8363512.9615677595</v>
      </c>
      <c r="I91" s="31">
        <f t="shared" si="82"/>
        <v>-8700135.9176630192</v>
      </c>
      <c r="J91" s="31">
        <f t="shared" si="82"/>
        <v>-9052719.0467648916</v>
      </c>
      <c r="K91" s="31">
        <f t="shared" si="82"/>
        <v>-9372084.2988134734</v>
      </c>
      <c r="L91" s="31">
        <f t="shared" si="82"/>
        <v>-9565180.586636398</v>
      </c>
      <c r="M91" s="31">
        <f t="shared" si="82"/>
        <v>-9831669.7589011751</v>
      </c>
      <c r="N91" s="31">
        <f t="shared" si="82"/>
        <v>-10856898.796814077</v>
      </c>
      <c r="O91" s="31">
        <f t="shared" si="82"/>
        <v>-11100609.061646553</v>
      </c>
      <c r="P91" s="31">
        <f t="shared" si="82"/>
        <v>-11433627.333495952</v>
      </c>
      <c r="Q91" s="31">
        <f t="shared" si="82"/>
        <v>-11492514.810910264</v>
      </c>
    </row>
    <row r="92" spans="3:17" outlineLevel="1" x14ac:dyDescent="0.3">
      <c r="D92" s="4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</row>
    <row r="93" spans="3:17" outlineLevel="1" x14ac:dyDescent="0.3">
      <c r="C93" s="2" t="s">
        <v>115</v>
      </c>
      <c r="D93" s="7" t="s">
        <v>13</v>
      </c>
      <c r="E93" s="29"/>
      <c r="F93" s="51">
        <f>+F81+F91</f>
        <v>19996330.25</v>
      </c>
      <c r="G93" s="51">
        <f t="shared" ref="G93:Q93" si="83">+G81+G91</f>
        <v>21483266.017612498</v>
      </c>
      <c r="H93" s="51">
        <f t="shared" ref="H93:P93" si="84">+H81+H91</f>
        <v>22270327.182822242</v>
      </c>
      <c r="I93" s="51">
        <f t="shared" si="84"/>
        <v>23017499.741815582</v>
      </c>
      <c r="J93" s="51">
        <f t="shared" si="84"/>
        <v>23799844.275023103</v>
      </c>
      <c r="K93" s="51">
        <f t="shared" si="84"/>
        <v>24405801.021659914</v>
      </c>
      <c r="L93" s="51">
        <f t="shared" si="84"/>
        <v>24785311.794887114</v>
      </c>
      <c r="M93" s="51">
        <f t="shared" si="84"/>
        <v>25465023.715549033</v>
      </c>
      <c r="N93" s="51">
        <f t="shared" si="84"/>
        <v>25535533.523604512</v>
      </c>
      <c r="O93" s="51">
        <f t="shared" si="84"/>
        <v>25993135.756613418</v>
      </c>
      <c r="P93" s="51">
        <f t="shared" si="84"/>
        <v>26772929.829311825</v>
      </c>
      <c r="Q93" s="51">
        <f t="shared" si="83"/>
        <v>23462801.119034626</v>
      </c>
    </row>
    <row r="94" spans="3:17" outlineLevel="1" x14ac:dyDescent="0.3">
      <c r="C94" s="52" t="s">
        <v>116</v>
      </c>
      <c r="D94" s="7" t="s">
        <v>7</v>
      </c>
      <c r="E94" s="29"/>
      <c r="F94" s="53">
        <f>+F93/F$81</f>
        <v>0.72645212414983829</v>
      </c>
      <c r="G94" s="53">
        <f t="shared" ref="G94:Q94" si="85">+G93/G$81</f>
        <v>0.72818320660133828</v>
      </c>
      <c r="H94" s="53">
        <f t="shared" ref="H94:P94" si="86">+H93/H$81</f>
        <v>0.72698450725906216</v>
      </c>
      <c r="I94" s="53">
        <f t="shared" si="86"/>
        <v>0.72570036395310433</v>
      </c>
      <c r="J94" s="53">
        <f t="shared" si="86"/>
        <v>0.72444405758861807</v>
      </c>
      <c r="K94" s="53">
        <f t="shared" si="86"/>
        <v>0.72253786138788023</v>
      </c>
      <c r="L94" s="53">
        <f t="shared" si="86"/>
        <v>0.72154167455889717</v>
      </c>
      <c r="M94" s="53">
        <f t="shared" si="86"/>
        <v>0.72145635210794157</v>
      </c>
      <c r="N94" s="53">
        <f t="shared" si="86"/>
        <v>0.70167152606827465</v>
      </c>
      <c r="O94" s="53">
        <f t="shared" si="86"/>
        <v>0.70074175265846694</v>
      </c>
      <c r="P94" s="53">
        <f t="shared" si="86"/>
        <v>0.70074175265846694</v>
      </c>
      <c r="Q94" s="53">
        <f t="shared" si="85"/>
        <v>0.67122268801853213</v>
      </c>
    </row>
    <row r="95" spans="3:17" outlineLevel="1" x14ac:dyDescent="0.3">
      <c r="D95" s="4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</row>
    <row r="96" spans="3:17" outlineLevel="1" x14ac:dyDescent="0.3">
      <c r="C96" s="9" t="s">
        <v>117</v>
      </c>
      <c r="D96" s="7" t="s">
        <v>13</v>
      </c>
      <c r="E96" s="29"/>
      <c r="F96" s="29">
        <f t="shared" ref="F96:Q96" si="87">-F64*Apt_Units</f>
        <v>-300000</v>
      </c>
      <c r="G96" s="29">
        <f t="shared" si="87"/>
        <v>-450000</v>
      </c>
      <c r="H96" s="29">
        <f t="shared" ref="H96:P96" si="88">-H64*Apt_Units</f>
        <v>-450000</v>
      </c>
      <c r="I96" s="29">
        <f t="shared" si="88"/>
        <v>-450000</v>
      </c>
      <c r="J96" s="29">
        <f t="shared" si="88"/>
        <v>-150000</v>
      </c>
      <c r="K96" s="29">
        <f t="shared" si="88"/>
        <v>-150000</v>
      </c>
      <c r="L96" s="29">
        <f t="shared" si="88"/>
        <v>-112500</v>
      </c>
      <c r="M96" s="29">
        <f t="shared" si="88"/>
        <v>-112500</v>
      </c>
      <c r="N96" s="29">
        <f t="shared" si="88"/>
        <v>-125000</v>
      </c>
      <c r="O96" s="29">
        <f t="shared" si="88"/>
        <v>-125000</v>
      </c>
      <c r="P96" s="29">
        <f t="shared" si="88"/>
        <v>-137500</v>
      </c>
      <c r="Q96" s="29">
        <f t="shared" si="87"/>
        <v>-140000</v>
      </c>
    </row>
    <row r="97" spans="3:17" outlineLevel="1" x14ac:dyDescent="0.3">
      <c r="C97" s="9" t="s">
        <v>118</v>
      </c>
      <c r="D97" s="7" t="s">
        <v>13</v>
      </c>
      <c r="E97" s="29"/>
      <c r="F97" s="29">
        <f t="shared" ref="F97:G97" si="89">MIN(-F96,E66-F90)</f>
        <v>300000</v>
      </c>
      <c r="G97" s="29">
        <f t="shared" si="89"/>
        <v>450000</v>
      </c>
      <c r="H97" s="29">
        <f t="shared" ref="H97" si="90">MIN(-H96,G66-H90)</f>
        <v>450000</v>
      </c>
      <c r="I97" s="29">
        <f t="shared" ref="I97" si="91">MIN(-I96,H66-I90)</f>
        <v>450000</v>
      </c>
      <c r="J97" s="29">
        <f t="shared" ref="J97" si="92">MIN(-J96,I66-J90)</f>
        <v>150000</v>
      </c>
      <c r="K97" s="29">
        <f t="shared" ref="K97" si="93">MIN(-K96,J66-K90)</f>
        <v>150000</v>
      </c>
      <c r="L97" s="29">
        <f t="shared" ref="L97" si="94">MIN(-L96,K66-L90)</f>
        <v>112500</v>
      </c>
      <c r="M97" s="29">
        <f t="shared" ref="M97" si="95">MIN(-M96,L66-M90)</f>
        <v>112500</v>
      </c>
      <c r="N97" s="29">
        <f t="shared" ref="N97" si="96">MIN(-N96,M66-N90)</f>
        <v>125000</v>
      </c>
      <c r="O97" s="29">
        <f t="shared" ref="O97" si="97">MIN(-O96,N66-O90)</f>
        <v>125000</v>
      </c>
      <c r="P97" s="29">
        <f t="shared" ref="P97" si="98">MIN(-P96,O66-P90)</f>
        <v>137500</v>
      </c>
      <c r="Q97" s="29">
        <f>MIN(-Q96,K66-Q90)</f>
        <v>140000</v>
      </c>
    </row>
    <row r="98" spans="3:17" outlineLevel="1" x14ac:dyDescent="0.3">
      <c r="D98" s="4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</row>
    <row r="99" spans="3:17" outlineLevel="1" x14ac:dyDescent="0.3">
      <c r="C99" s="2" t="s">
        <v>119</v>
      </c>
      <c r="D99" s="7" t="s">
        <v>13</v>
      </c>
      <c r="E99" s="29"/>
      <c r="F99" s="51">
        <f>+F93+SUM(F96:F97)</f>
        <v>19996330.25</v>
      </c>
      <c r="G99" s="51">
        <f t="shared" ref="G99:Q99" si="99">+G93+SUM(G96:G97)</f>
        <v>21483266.017612498</v>
      </c>
      <c r="H99" s="51">
        <f t="shared" ref="H99:P99" si="100">+H93+SUM(H96:H97)</f>
        <v>22270327.182822242</v>
      </c>
      <c r="I99" s="51">
        <f t="shared" si="100"/>
        <v>23017499.741815582</v>
      </c>
      <c r="J99" s="51">
        <f t="shared" si="100"/>
        <v>23799844.275023103</v>
      </c>
      <c r="K99" s="51">
        <f t="shared" si="100"/>
        <v>24405801.021659914</v>
      </c>
      <c r="L99" s="51">
        <f t="shared" si="100"/>
        <v>24785311.794887114</v>
      </c>
      <c r="M99" s="51">
        <f t="shared" si="100"/>
        <v>25465023.715549033</v>
      </c>
      <c r="N99" s="51">
        <f t="shared" si="100"/>
        <v>25535533.523604512</v>
      </c>
      <c r="O99" s="51">
        <f t="shared" si="100"/>
        <v>25993135.756613418</v>
      </c>
      <c r="P99" s="51">
        <f t="shared" si="100"/>
        <v>26772929.829311825</v>
      </c>
      <c r="Q99" s="51">
        <f t="shared" si="99"/>
        <v>23462801.119034626</v>
      </c>
    </row>
    <row r="100" spans="3:17" outlineLevel="1" x14ac:dyDescent="0.3">
      <c r="C100" s="54" t="s">
        <v>120</v>
      </c>
      <c r="D100" s="7" t="s">
        <v>7</v>
      </c>
      <c r="E100" s="29"/>
      <c r="F100" s="53">
        <f>+F99/F$81</f>
        <v>0.72645212414983829</v>
      </c>
      <c r="G100" s="53">
        <f t="shared" ref="G100:Q100" si="101">+G99/G$81</f>
        <v>0.72818320660133828</v>
      </c>
      <c r="H100" s="53">
        <f t="shared" ref="H100:P100" si="102">+H99/H$81</f>
        <v>0.72698450725906216</v>
      </c>
      <c r="I100" s="53">
        <f t="shared" si="102"/>
        <v>0.72570036395310433</v>
      </c>
      <c r="J100" s="53">
        <f t="shared" si="102"/>
        <v>0.72444405758861807</v>
      </c>
      <c r="K100" s="53">
        <f t="shared" si="102"/>
        <v>0.72253786138788023</v>
      </c>
      <c r="L100" s="53">
        <f t="shared" si="102"/>
        <v>0.72154167455889717</v>
      </c>
      <c r="M100" s="53">
        <f t="shared" si="102"/>
        <v>0.72145635210794157</v>
      </c>
      <c r="N100" s="53">
        <f t="shared" si="102"/>
        <v>0.70167152606827465</v>
      </c>
      <c r="O100" s="53">
        <f t="shared" si="102"/>
        <v>0.70074175265846694</v>
      </c>
      <c r="P100" s="53">
        <f t="shared" si="102"/>
        <v>0.70074175265846694</v>
      </c>
      <c r="Q100" s="53">
        <f t="shared" si="101"/>
        <v>0.67122268801853213</v>
      </c>
    </row>
    <row r="101" spans="3:17" outlineLevel="1" x14ac:dyDescent="0.3">
      <c r="D101" s="4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</row>
    <row r="102" spans="3:17" outlineLevel="1" x14ac:dyDescent="0.3">
      <c r="C102" s="9" t="s">
        <v>121</v>
      </c>
      <c r="D102" s="7" t="s">
        <v>13</v>
      </c>
      <c r="E102" s="29"/>
      <c r="F102" s="29"/>
      <c r="G102" s="29">
        <f t="shared" ref="G102:Q102" si="103">IPMT(Loan_Interest_Rate, G68-$F68, Loan_Amort_Period, $E$35)</f>
        <v>-5568750</v>
      </c>
      <c r="H102" s="29">
        <f t="shared" si="103"/>
        <v>-5491871.2362228995</v>
      </c>
      <c r="I102" s="29">
        <f t="shared" si="103"/>
        <v>-5410764.1404380584</v>
      </c>
      <c r="J102" s="29">
        <f t="shared" si="103"/>
        <v>-5325196.1543850517</v>
      </c>
      <c r="K102" s="29">
        <f t="shared" si="103"/>
        <v>-5234921.9290991286</v>
      </c>
      <c r="L102" s="29">
        <f t="shared" si="103"/>
        <v>-5139682.6214224789</v>
      </c>
      <c r="M102" s="29">
        <f t="shared" si="103"/>
        <v>-5039205.1518236157</v>
      </c>
      <c r="N102" s="29">
        <f t="shared" si="103"/>
        <v>-4933201.4213968134</v>
      </c>
      <c r="O102" s="29">
        <f t="shared" si="103"/>
        <v>-4821367.4857965363</v>
      </c>
      <c r="P102" s="29">
        <f t="shared" si="103"/>
        <v>-4703382.6837382466</v>
      </c>
      <c r="Q102" s="29">
        <f t="shared" si="103"/>
        <v>-4578908.7175667491</v>
      </c>
    </row>
    <row r="103" spans="3:17" outlineLevel="1" x14ac:dyDescent="0.3">
      <c r="C103" s="9" t="s">
        <v>122</v>
      </c>
      <c r="D103" s="7" t="s">
        <v>13</v>
      </c>
      <c r="E103" s="29"/>
      <c r="F103" s="29"/>
      <c r="G103" s="29">
        <f t="shared" ref="G103:Q103" si="104">PPMT(Loan_Interest_Rate, G68-$F68, Loan_Amort_Period, $E$35)</f>
        <v>-1397795.7050381936</v>
      </c>
      <c r="H103" s="29">
        <f t="shared" si="104"/>
        <v>-1474674.4688152941</v>
      </c>
      <c r="I103" s="29">
        <f t="shared" si="104"/>
        <v>-1555781.5646001354</v>
      </c>
      <c r="J103" s="29">
        <f t="shared" si="104"/>
        <v>-1641349.5506531429</v>
      </c>
      <c r="K103" s="29">
        <f t="shared" si="104"/>
        <v>-1731623.7759390655</v>
      </c>
      <c r="L103" s="29">
        <f t="shared" si="104"/>
        <v>-1826863.0836157145</v>
      </c>
      <c r="M103" s="29">
        <f t="shared" si="104"/>
        <v>-1927340.5532145787</v>
      </c>
      <c r="N103" s="29">
        <f t="shared" si="104"/>
        <v>-2033344.2836413805</v>
      </c>
      <c r="O103" s="29">
        <f t="shared" si="104"/>
        <v>-2145178.2192416564</v>
      </c>
      <c r="P103" s="29">
        <f t="shared" si="104"/>
        <v>-2263163.0212999471</v>
      </c>
      <c r="Q103" s="29">
        <f t="shared" si="104"/>
        <v>-2387636.9874714445</v>
      </c>
    </row>
    <row r="104" spans="3:17" outlineLevel="1" x14ac:dyDescent="0.3"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</row>
    <row r="105" spans="3:17" outlineLevel="1" x14ac:dyDescent="0.3">
      <c r="C105" s="55" t="s">
        <v>123</v>
      </c>
      <c r="D105" s="7" t="s">
        <v>13</v>
      </c>
      <c r="F105" s="29"/>
      <c r="G105" s="56">
        <f>+G99+SUM(G102:G103)</f>
        <v>14516720.312574305</v>
      </c>
      <c r="H105" s="56">
        <f t="shared" ref="H105:Q105" si="105">+H99+SUM(H102:H103)</f>
        <v>15303781.477784049</v>
      </c>
      <c r="I105" s="56">
        <f t="shared" si="105"/>
        <v>16050954.036777388</v>
      </c>
      <c r="J105" s="56">
        <f t="shared" si="105"/>
        <v>16833298.569984909</v>
      </c>
      <c r="K105" s="56">
        <f t="shared" si="105"/>
        <v>17439255.316621721</v>
      </c>
      <c r="L105" s="56">
        <f t="shared" si="105"/>
        <v>17818766.089848921</v>
      </c>
      <c r="M105" s="56">
        <f t="shared" si="105"/>
        <v>18498478.01051084</v>
      </c>
      <c r="N105" s="56">
        <f t="shared" si="105"/>
        <v>18568987.818566319</v>
      </c>
      <c r="O105" s="56">
        <f t="shared" si="105"/>
        <v>19026590.051575225</v>
      </c>
      <c r="P105" s="56">
        <f t="shared" si="105"/>
        <v>19806384.124273632</v>
      </c>
      <c r="Q105" s="56">
        <f t="shared" si="105"/>
        <v>16496255.413996432</v>
      </c>
    </row>
    <row r="106" spans="3:17" outlineLevel="1" x14ac:dyDescent="0.3"/>
    <row r="107" spans="3:17" outlineLevel="1" x14ac:dyDescent="0.3">
      <c r="C107" s="57" t="s">
        <v>124</v>
      </c>
      <c r="D107" s="7" t="s">
        <v>13</v>
      </c>
      <c r="F107" s="56">
        <f>+E35</f>
        <v>101250000</v>
      </c>
      <c r="G107" s="56">
        <f>+F107+G103</f>
        <v>99852204.29496181</v>
      </c>
      <c r="H107" s="56">
        <f t="shared" ref="H107:P107" si="106">+G107+H103</f>
        <v>98377529.826146513</v>
      </c>
      <c r="I107" s="56">
        <f t="shared" si="106"/>
        <v>96821748.261546373</v>
      </c>
      <c r="J107" s="56">
        <f t="shared" si="106"/>
        <v>95180398.710893229</v>
      </c>
      <c r="K107" s="56">
        <f t="shared" si="106"/>
        <v>93448774.934954166</v>
      </c>
      <c r="L107" s="56">
        <f t="shared" si="106"/>
        <v>91621911.851338446</v>
      </c>
      <c r="M107" s="56">
        <f t="shared" si="106"/>
        <v>89694571.298123866</v>
      </c>
      <c r="N107" s="56">
        <f t="shared" si="106"/>
        <v>87661227.014482483</v>
      </c>
      <c r="O107" s="56">
        <f t="shared" si="106"/>
        <v>85516048.795240819</v>
      </c>
      <c r="P107" s="56">
        <f t="shared" si="106"/>
        <v>83252885.773940876</v>
      </c>
    </row>
    <row r="108" spans="3:17" outlineLevel="1" x14ac:dyDescent="0.3">
      <c r="D108" s="4"/>
    </row>
    <row r="109" spans="3:17" outlineLevel="1" x14ac:dyDescent="0.3">
      <c r="C109" s="58" t="s">
        <v>125</v>
      </c>
      <c r="D109" s="7" t="s">
        <v>7</v>
      </c>
      <c r="F109" s="53"/>
      <c r="G109" s="53">
        <f>+G93/$E35</f>
        <v>0.21218040511222219</v>
      </c>
      <c r="H109" s="53">
        <f t="shared" ref="H109:P109" si="107">+H93/$E35</f>
        <v>0.21995384871923201</v>
      </c>
      <c r="I109" s="53">
        <f t="shared" si="107"/>
        <v>0.22733333078336376</v>
      </c>
      <c r="J109" s="53">
        <f t="shared" si="107"/>
        <v>0.23506019037059855</v>
      </c>
      <c r="K109" s="53">
        <f t="shared" si="107"/>
        <v>0.24104494836207324</v>
      </c>
      <c r="L109" s="53">
        <f t="shared" si="107"/>
        <v>0.24479320291246531</v>
      </c>
      <c r="M109" s="53">
        <f t="shared" si="107"/>
        <v>0.25150640706715094</v>
      </c>
      <c r="N109" s="53">
        <f t="shared" si="107"/>
        <v>0.25220280023313096</v>
      </c>
      <c r="O109" s="53">
        <f t="shared" si="107"/>
        <v>0.25672232846037946</v>
      </c>
      <c r="P109" s="53">
        <f t="shared" si="107"/>
        <v>0.26442399831419089</v>
      </c>
      <c r="Q109" s="53"/>
    </row>
    <row r="110" spans="3:17" outlineLevel="1" x14ac:dyDescent="0.3">
      <c r="D110" s="4"/>
    </row>
    <row r="111" spans="3:17" outlineLevel="1" x14ac:dyDescent="0.3">
      <c r="C111" s="58" t="s">
        <v>126</v>
      </c>
      <c r="D111" s="7" t="s">
        <v>33</v>
      </c>
      <c r="G111" s="59">
        <f>-G93/G102</f>
        <v>3.857825547494949</v>
      </c>
      <c r="H111" s="59">
        <f t="shared" ref="H111:P111" si="108">-H93/H102</f>
        <v>4.0551437251356477</v>
      </c>
      <c r="I111" s="59">
        <f t="shared" si="108"/>
        <v>4.2540201613652435</v>
      </c>
      <c r="J111" s="59">
        <f t="shared" si="108"/>
        <v>4.4692896909393722</v>
      </c>
      <c r="K111" s="59">
        <f t="shared" si="108"/>
        <v>4.66211365751158</v>
      </c>
      <c r="L111" s="59">
        <f t="shared" si="108"/>
        <v>4.8223428605456249</v>
      </c>
      <c r="M111" s="59">
        <f t="shared" si="108"/>
        <v>5.0533810290167702</v>
      </c>
      <c r="N111" s="59">
        <f t="shared" si="108"/>
        <v>5.1762600677217518</v>
      </c>
      <c r="O111" s="59">
        <f t="shared" si="108"/>
        <v>5.3912372025545992</v>
      </c>
      <c r="P111" s="59">
        <f t="shared" si="108"/>
        <v>5.692271207673179</v>
      </c>
    </row>
    <row r="112" spans="3:17" outlineLevel="1" x14ac:dyDescent="0.3">
      <c r="C112" s="58" t="s">
        <v>127</v>
      </c>
      <c r="D112" s="7" t="s">
        <v>33</v>
      </c>
      <c r="G112" s="59">
        <f>-G99/G102</f>
        <v>3.857825547494949</v>
      </c>
      <c r="H112" s="59">
        <f t="shared" ref="H112:P112" si="109">-H99/H102</f>
        <v>4.0551437251356477</v>
      </c>
      <c r="I112" s="59">
        <f t="shared" si="109"/>
        <v>4.2540201613652435</v>
      </c>
      <c r="J112" s="59">
        <f t="shared" si="109"/>
        <v>4.4692896909393722</v>
      </c>
      <c r="K112" s="59">
        <f t="shared" si="109"/>
        <v>4.66211365751158</v>
      </c>
      <c r="L112" s="59">
        <f t="shared" si="109"/>
        <v>4.8223428605456249</v>
      </c>
      <c r="M112" s="59">
        <f t="shared" si="109"/>
        <v>5.0533810290167702</v>
      </c>
      <c r="N112" s="59">
        <f t="shared" si="109"/>
        <v>5.1762600677217518</v>
      </c>
      <c r="O112" s="59">
        <f t="shared" si="109"/>
        <v>5.3912372025545992</v>
      </c>
      <c r="P112" s="59">
        <f t="shared" si="109"/>
        <v>5.692271207673179</v>
      </c>
    </row>
    <row r="113" spans="2:16" outlineLevel="1" x14ac:dyDescent="0.3">
      <c r="D113" s="4"/>
    </row>
    <row r="114" spans="2:16" outlineLevel="1" x14ac:dyDescent="0.3">
      <c r="C114" s="58" t="s">
        <v>128</v>
      </c>
      <c r="D114" s="7" t="s">
        <v>33</v>
      </c>
      <c r="G114" s="59">
        <f>-G93/SUM(G102:G103)</f>
        <v>3.0837759382064829</v>
      </c>
      <c r="H114" s="59">
        <f t="shared" ref="H114:P114" si="110">-H93/SUM(H102:H103)</f>
        <v>3.1967531866928516</v>
      </c>
      <c r="I114" s="59">
        <f t="shared" si="110"/>
        <v>3.304004698507808</v>
      </c>
      <c r="J114" s="59">
        <f t="shared" si="110"/>
        <v>3.4163049067217193</v>
      </c>
      <c r="K114" s="59">
        <f t="shared" si="110"/>
        <v>3.5032858542806489</v>
      </c>
      <c r="L114" s="59">
        <f t="shared" si="110"/>
        <v>3.5577620307525466</v>
      </c>
      <c r="M114" s="59">
        <f t="shared" si="110"/>
        <v>3.6553300292184647</v>
      </c>
      <c r="N114" s="59">
        <f t="shared" si="110"/>
        <v>3.6654512300317301</v>
      </c>
      <c r="O114" s="59">
        <f t="shared" si="110"/>
        <v>3.7311369015802525</v>
      </c>
      <c r="P114" s="59">
        <f t="shared" si="110"/>
        <v>3.84307100862766</v>
      </c>
    </row>
    <row r="115" spans="2:16" outlineLevel="1" x14ac:dyDescent="0.3">
      <c r="C115" s="58" t="s">
        <v>129</v>
      </c>
      <c r="D115" s="7" t="s">
        <v>33</v>
      </c>
      <c r="G115" s="59">
        <f>-G99/SUM(G102:G103)</f>
        <v>3.0837759382064829</v>
      </c>
      <c r="H115" s="59">
        <f t="shared" ref="H115:P115" si="111">-H99/SUM(H102:H103)</f>
        <v>3.1967531866928516</v>
      </c>
      <c r="I115" s="59">
        <f t="shared" si="111"/>
        <v>3.304004698507808</v>
      </c>
      <c r="J115" s="59">
        <f t="shared" si="111"/>
        <v>3.4163049067217193</v>
      </c>
      <c r="K115" s="59">
        <f t="shared" si="111"/>
        <v>3.5032858542806489</v>
      </c>
      <c r="L115" s="59">
        <f t="shared" si="111"/>
        <v>3.5577620307525466</v>
      </c>
      <c r="M115" s="59">
        <f t="shared" si="111"/>
        <v>3.6553300292184647</v>
      </c>
      <c r="N115" s="59">
        <f t="shared" si="111"/>
        <v>3.6654512300317301</v>
      </c>
      <c r="O115" s="59">
        <f t="shared" si="111"/>
        <v>3.7311369015802525</v>
      </c>
      <c r="P115" s="59">
        <f t="shared" si="111"/>
        <v>3.84307100862766</v>
      </c>
    </row>
    <row r="116" spans="2:16" x14ac:dyDescent="0.3">
      <c r="D116" s="4"/>
    </row>
    <row r="117" spans="2:16" x14ac:dyDescent="0.3">
      <c r="B117" s="33"/>
      <c r="C117" s="33"/>
      <c r="D117" s="34"/>
      <c r="E117" s="33"/>
      <c r="F117" s="35" t="str">
        <f>+$F$41</f>
        <v>Historical:</v>
      </c>
      <c r="G117" s="36" t="str">
        <f>+$G$41</f>
        <v>Projected:</v>
      </c>
      <c r="H117" s="37"/>
      <c r="I117" s="37"/>
      <c r="J117" s="37"/>
      <c r="K117" s="37"/>
      <c r="L117" s="37"/>
      <c r="M117" s="37"/>
      <c r="N117" s="37"/>
      <c r="O117" s="37"/>
      <c r="P117" s="37"/>
    </row>
    <row r="118" spans="2:16" x14ac:dyDescent="0.3">
      <c r="B118" s="5" t="s">
        <v>38</v>
      </c>
      <c r="C118" s="5"/>
      <c r="D118" s="6" t="str">
        <f>+$D$5</f>
        <v>Units:</v>
      </c>
      <c r="E118" s="5"/>
      <c r="F118" s="47">
        <f>+$F$42</f>
        <v>46023</v>
      </c>
      <c r="G118" s="40">
        <f>+$G$42</f>
        <v>46418</v>
      </c>
      <c r="H118" s="39">
        <f>+$H$42</f>
        <v>46783</v>
      </c>
      <c r="I118" s="39">
        <f>+$I$42</f>
        <v>47149</v>
      </c>
      <c r="J118" s="39">
        <f>+$J$42</f>
        <v>47514</v>
      </c>
      <c r="K118" s="39">
        <f>+$K$42</f>
        <v>47879</v>
      </c>
      <c r="L118" s="39">
        <f>+$L$42</f>
        <v>48244</v>
      </c>
      <c r="M118" s="39">
        <f>+$M$42</f>
        <v>48610</v>
      </c>
      <c r="N118" s="39">
        <f>+$N$42</f>
        <v>48975</v>
      </c>
      <c r="O118" s="39">
        <f>+$O$42</f>
        <v>49340</v>
      </c>
      <c r="P118" s="39">
        <f>+$P$42</f>
        <v>49705</v>
      </c>
    </row>
    <row r="119" spans="2:16" outlineLevel="1" x14ac:dyDescent="0.3">
      <c r="D119" s="4"/>
      <c r="F119" s="48"/>
      <c r="G119" s="48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outlineLevel="1" x14ac:dyDescent="0.3">
      <c r="C120" s="55" t="s">
        <v>130</v>
      </c>
      <c r="D120" s="4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outlineLevel="1" x14ac:dyDescent="0.3">
      <c r="C121" s="9" t="s">
        <v>131</v>
      </c>
      <c r="D121" s="7" t="s">
        <v>13</v>
      </c>
      <c r="F121" s="29"/>
      <c r="G121" s="87">
        <v>0</v>
      </c>
      <c r="H121" s="87">
        <v>0</v>
      </c>
      <c r="I121" s="87">
        <v>0</v>
      </c>
      <c r="J121" s="87">
        <v>0</v>
      </c>
      <c r="K121" s="87">
        <v>0</v>
      </c>
      <c r="L121" s="87">
        <v>0</v>
      </c>
      <c r="M121" s="87">
        <v>0</v>
      </c>
      <c r="N121" s="87">
        <v>0</v>
      </c>
      <c r="O121" s="87">
        <v>0</v>
      </c>
      <c r="P121" s="29">
        <f>+Exit_Price</f>
        <v>323624843.02116728</v>
      </c>
    </row>
    <row r="122" spans="2:16" outlineLevel="1" x14ac:dyDescent="0.3">
      <c r="C122" s="9" t="s">
        <v>132</v>
      </c>
      <c r="D122" s="7" t="s">
        <v>13</v>
      </c>
      <c r="F122" s="29"/>
      <c r="G122" s="87">
        <v>0</v>
      </c>
      <c r="H122" s="87">
        <v>0</v>
      </c>
      <c r="I122" s="87">
        <v>0</v>
      </c>
      <c r="J122" s="87">
        <v>0</v>
      </c>
      <c r="K122" s="87">
        <v>0</v>
      </c>
      <c r="L122" s="87">
        <v>0</v>
      </c>
      <c r="M122" s="87">
        <v>0</v>
      </c>
      <c r="N122" s="87">
        <v>0</v>
      </c>
      <c r="O122" s="87">
        <v>0</v>
      </c>
      <c r="P122" s="29">
        <f>+P66</f>
        <v>1960748.7500143941</v>
      </c>
    </row>
    <row r="123" spans="2:16" outlineLevel="1" x14ac:dyDescent="0.3">
      <c r="C123" s="9" t="s">
        <v>133</v>
      </c>
      <c r="D123" s="7" t="s">
        <v>13</v>
      </c>
      <c r="F123" s="87"/>
      <c r="G123" s="87">
        <v>0</v>
      </c>
      <c r="H123" s="87">
        <v>0</v>
      </c>
      <c r="I123" s="87">
        <v>0</v>
      </c>
      <c r="J123" s="87">
        <v>0</v>
      </c>
      <c r="K123" s="87">
        <v>0</v>
      </c>
      <c r="L123" s="87">
        <v>0</v>
      </c>
      <c r="M123" s="87">
        <v>0</v>
      </c>
      <c r="N123" s="87">
        <v>0</v>
      </c>
      <c r="O123" s="87">
        <v>0</v>
      </c>
      <c r="P123" s="29">
        <f>-P121*Exit_Fee_Pct</f>
        <v>-6472496.8604233461</v>
      </c>
    </row>
    <row r="124" spans="2:16" outlineLevel="1" x14ac:dyDescent="0.3">
      <c r="C124" s="9" t="s">
        <v>134</v>
      </c>
      <c r="D124" s="7" t="s">
        <v>13</v>
      </c>
      <c r="F124" s="29"/>
      <c r="G124" s="29">
        <f>+G99</f>
        <v>21483266.017612498</v>
      </c>
      <c r="H124" s="29">
        <f t="shared" ref="H124:P124" si="112">+H99</f>
        <v>22270327.182822242</v>
      </c>
      <c r="I124" s="29">
        <f t="shared" si="112"/>
        <v>23017499.741815582</v>
      </c>
      <c r="J124" s="29">
        <f t="shared" si="112"/>
        <v>23799844.275023103</v>
      </c>
      <c r="K124" s="29">
        <f t="shared" si="112"/>
        <v>24405801.021659914</v>
      </c>
      <c r="L124" s="29">
        <f t="shared" si="112"/>
        <v>24785311.794887114</v>
      </c>
      <c r="M124" s="29">
        <f t="shared" si="112"/>
        <v>25465023.715549033</v>
      </c>
      <c r="N124" s="29">
        <f t="shared" si="112"/>
        <v>25535533.523604512</v>
      </c>
      <c r="O124" s="29">
        <f t="shared" si="112"/>
        <v>25993135.756613418</v>
      </c>
      <c r="P124" s="29">
        <f t="shared" si="112"/>
        <v>26772929.829311825</v>
      </c>
    </row>
    <row r="125" spans="2:16" outlineLevel="1" x14ac:dyDescent="0.3">
      <c r="C125" s="9" t="s">
        <v>135</v>
      </c>
      <c r="D125" s="49" t="s">
        <v>13</v>
      </c>
      <c r="F125" s="29">
        <f>-Entry_Price*(1+Entry_Fee_Pct)-K38</f>
        <v>-228699999.99999997</v>
      </c>
      <c r="G125" s="60">
        <v>0</v>
      </c>
      <c r="H125" s="60">
        <v>0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0</v>
      </c>
      <c r="P125" s="60">
        <v>0</v>
      </c>
    </row>
    <row r="126" spans="2:16" outlineLevel="1" x14ac:dyDescent="0.3">
      <c r="C126" s="61" t="s">
        <v>136</v>
      </c>
      <c r="D126" s="7" t="s">
        <v>13</v>
      </c>
      <c r="E126" s="62"/>
      <c r="F126" s="63">
        <f>SUM(F121:F125)</f>
        <v>-228699999.99999997</v>
      </c>
      <c r="G126" s="63">
        <f t="shared" ref="G126" si="113">SUM(G121:G125)</f>
        <v>21483266.017612498</v>
      </c>
      <c r="H126" s="63">
        <f t="shared" ref="H126:P126" si="114">SUM(H121:H125)</f>
        <v>22270327.182822242</v>
      </c>
      <c r="I126" s="63">
        <f t="shared" si="114"/>
        <v>23017499.741815582</v>
      </c>
      <c r="J126" s="63">
        <f t="shared" si="114"/>
        <v>23799844.275023103</v>
      </c>
      <c r="K126" s="63">
        <f t="shared" si="114"/>
        <v>24405801.021659914</v>
      </c>
      <c r="L126" s="63">
        <f t="shared" si="114"/>
        <v>24785311.794887114</v>
      </c>
      <c r="M126" s="63">
        <f t="shared" si="114"/>
        <v>25465023.715549033</v>
      </c>
      <c r="N126" s="63">
        <f t="shared" si="114"/>
        <v>25535533.523604512</v>
      </c>
      <c r="O126" s="63">
        <f t="shared" si="114"/>
        <v>25993135.756613418</v>
      </c>
      <c r="P126" s="63">
        <f t="shared" si="114"/>
        <v>345886024.74007016</v>
      </c>
    </row>
    <row r="127" spans="2:16" outlineLevel="1" x14ac:dyDescent="0.3">
      <c r="D127" s="4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outlineLevel="1" x14ac:dyDescent="0.3">
      <c r="C128" s="64" t="s">
        <v>137</v>
      </c>
      <c r="D128" s="65" t="s">
        <v>7</v>
      </c>
      <c r="E128" s="66"/>
      <c r="F128" s="67">
        <f>IRR(F126:P126)</f>
        <v>0.12600030901263426</v>
      </c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3:16" outlineLevel="1" x14ac:dyDescent="0.3">
      <c r="D129" s="4"/>
      <c r="F129" s="68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3:16" outlineLevel="1" x14ac:dyDescent="0.3">
      <c r="C130" s="9" t="s">
        <v>138</v>
      </c>
      <c r="D130" s="7" t="s">
        <v>13</v>
      </c>
      <c r="F130" s="29">
        <f>SUM(F121:K124)</f>
        <v>114976738.23893334</v>
      </c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3:16" outlineLevel="1" x14ac:dyDescent="0.3">
      <c r="C131" s="9" t="s">
        <v>139</v>
      </c>
      <c r="D131" s="7" t="s">
        <v>13</v>
      </c>
      <c r="F131" s="29">
        <f>-SUM(F125:K125)</f>
        <v>228699999.99999997</v>
      </c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3:16" outlineLevel="1" x14ac:dyDescent="0.3">
      <c r="C132" s="9" t="s">
        <v>140</v>
      </c>
      <c r="D132" s="7" t="s">
        <v>33</v>
      </c>
      <c r="F132" s="69">
        <f>+F130/F131</f>
        <v>0.50274043829879034</v>
      </c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3:16" outlineLevel="1" x14ac:dyDescent="0.3">
      <c r="D133" s="4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3:16" outlineLevel="1" x14ac:dyDescent="0.3">
      <c r="C134" s="2" t="s">
        <v>141</v>
      </c>
      <c r="D134" s="4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3:16" outlineLevel="1" x14ac:dyDescent="0.3">
      <c r="C135" s="9" t="s">
        <v>131</v>
      </c>
      <c r="D135" s="7" t="s">
        <v>13</v>
      </c>
      <c r="E135" s="29"/>
      <c r="F135" s="30"/>
      <c r="G135" s="30">
        <f>+G121</f>
        <v>0</v>
      </c>
      <c r="H135" s="30">
        <f t="shared" ref="H135:O135" si="115">+H121</f>
        <v>0</v>
      </c>
      <c r="I135" s="30">
        <f t="shared" si="115"/>
        <v>0</v>
      </c>
      <c r="J135" s="30">
        <f t="shared" si="115"/>
        <v>0</v>
      </c>
      <c r="K135" s="30">
        <f t="shared" si="115"/>
        <v>0</v>
      </c>
      <c r="L135" s="30">
        <f t="shared" si="115"/>
        <v>0</v>
      </c>
      <c r="M135" s="30">
        <f t="shared" si="115"/>
        <v>0</v>
      </c>
      <c r="N135" s="30">
        <f t="shared" si="115"/>
        <v>0</v>
      </c>
      <c r="O135" s="30">
        <f t="shared" si="115"/>
        <v>0</v>
      </c>
      <c r="P135" s="30">
        <f>+P121</f>
        <v>323624843.02116728</v>
      </c>
    </row>
    <row r="136" spans="3:16" outlineLevel="1" x14ac:dyDescent="0.3">
      <c r="C136" s="9" t="s">
        <v>132</v>
      </c>
      <c r="D136" s="7" t="s">
        <v>13</v>
      </c>
      <c r="E136" s="29"/>
      <c r="F136" s="30"/>
      <c r="G136" s="30">
        <f t="shared" ref="G136" si="116">+G122</f>
        <v>0</v>
      </c>
      <c r="H136" s="30">
        <f t="shared" ref="H136:O136" si="117">+H122</f>
        <v>0</v>
      </c>
      <c r="I136" s="30">
        <f t="shared" si="117"/>
        <v>0</v>
      </c>
      <c r="J136" s="30">
        <f t="shared" si="117"/>
        <v>0</v>
      </c>
      <c r="K136" s="30">
        <f t="shared" si="117"/>
        <v>0</v>
      </c>
      <c r="L136" s="30">
        <f t="shared" si="117"/>
        <v>0</v>
      </c>
      <c r="M136" s="30">
        <f t="shared" si="117"/>
        <v>0</v>
      </c>
      <c r="N136" s="30">
        <f t="shared" si="117"/>
        <v>0</v>
      </c>
      <c r="O136" s="30">
        <f t="shared" si="117"/>
        <v>0</v>
      </c>
      <c r="P136" s="30">
        <f>+P122</f>
        <v>1960748.7500143941</v>
      </c>
    </row>
    <row r="137" spans="3:16" outlineLevel="1" x14ac:dyDescent="0.3">
      <c r="C137" s="9" t="s">
        <v>133</v>
      </c>
      <c r="D137" s="7" t="s">
        <v>13</v>
      </c>
      <c r="E137" s="29"/>
      <c r="F137" s="30"/>
      <c r="G137" s="30">
        <f t="shared" ref="G137" si="118">+G123</f>
        <v>0</v>
      </c>
      <c r="H137" s="30">
        <f t="shared" ref="H137:O137" si="119">+H123</f>
        <v>0</v>
      </c>
      <c r="I137" s="30">
        <f t="shared" si="119"/>
        <v>0</v>
      </c>
      <c r="J137" s="30">
        <f t="shared" si="119"/>
        <v>0</v>
      </c>
      <c r="K137" s="30">
        <f t="shared" si="119"/>
        <v>0</v>
      </c>
      <c r="L137" s="30">
        <f t="shared" si="119"/>
        <v>0</v>
      </c>
      <c r="M137" s="30">
        <f t="shared" si="119"/>
        <v>0</v>
      </c>
      <c r="N137" s="30">
        <f t="shared" si="119"/>
        <v>0</v>
      </c>
      <c r="O137" s="30">
        <f t="shared" si="119"/>
        <v>0</v>
      </c>
      <c r="P137" s="30">
        <f>+P123</f>
        <v>-6472496.8604233461</v>
      </c>
    </row>
    <row r="138" spans="3:16" outlineLevel="1" x14ac:dyDescent="0.3">
      <c r="C138" s="9" t="s">
        <v>142</v>
      </c>
      <c r="D138" s="7" t="s">
        <v>13</v>
      </c>
      <c r="E138" s="29"/>
      <c r="F138" s="30"/>
      <c r="G138" s="30">
        <f>+G105</f>
        <v>14516720.312574305</v>
      </c>
      <c r="H138" s="30">
        <f t="shared" ref="H138:O138" si="120">+H105</f>
        <v>15303781.477784049</v>
      </c>
      <c r="I138" s="30">
        <f t="shared" si="120"/>
        <v>16050954.036777388</v>
      </c>
      <c r="J138" s="30">
        <f t="shared" si="120"/>
        <v>16833298.569984909</v>
      </c>
      <c r="K138" s="30">
        <f t="shared" si="120"/>
        <v>17439255.316621721</v>
      </c>
      <c r="L138" s="30">
        <f t="shared" si="120"/>
        <v>17818766.089848921</v>
      </c>
      <c r="M138" s="30">
        <f t="shared" si="120"/>
        <v>18498478.01051084</v>
      </c>
      <c r="N138" s="30">
        <f t="shared" si="120"/>
        <v>18568987.818566319</v>
      </c>
      <c r="O138" s="30">
        <f t="shared" si="120"/>
        <v>19026590.051575225</v>
      </c>
      <c r="P138" s="30">
        <f>+P105</f>
        <v>19806384.124273632</v>
      </c>
    </row>
    <row r="139" spans="3:16" outlineLevel="1" x14ac:dyDescent="0.3">
      <c r="C139" s="9" t="s">
        <v>143</v>
      </c>
      <c r="D139" s="7" t="s">
        <v>13</v>
      </c>
      <c r="E139" s="29"/>
      <c r="F139" s="30"/>
      <c r="G139" s="86">
        <v>0</v>
      </c>
      <c r="H139" s="86">
        <v>0</v>
      </c>
      <c r="I139" s="86">
        <v>0</v>
      </c>
      <c r="J139" s="86">
        <v>0</v>
      </c>
      <c r="K139" s="86">
        <v>0</v>
      </c>
      <c r="L139" s="86">
        <v>0</v>
      </c>
      <c r="M139" s="86">
        <v>0</v>
      </c>
      <c r="N139" s="86">
        <v>0</v>
      </c>
      <c r="O139" s="86">
        <v>0</v>
      </c>
      <c r="P139" s="30">
        <f>-P107</f>
        <v>-83252885.773940876</v>
      </c>
    </row>
    <row r="140" spans="3:16" outlineLevel="1" x14ac:dyDescent="0.3">
      <c r="C140" s="9" t="s">
        <v>144</v>
      </c>
      <c r="D140" s="49" t="s">
        <v>13</v>
      </c>
      <c r="E140" s="29"/>
      <c r="F140" s="29">
        <f>-E36</f>
        <v>-128715625</v>
      </c>
      <c r="G140" s="60">
        <v>0</v>
      </c>
      <c r="H140" s="60">
        <v>0</v>
      </c>
      <c r="I140" s="60">
        <v>0</v>
      </c>
      <c r="J140" s="60">
        <v>0</v>
      </c>
      <c r="K140" s="60">
        <v>0</v>
      </c>
      <c r="L140" s="60">
        <v>0</v>
      </c>
      <c r="M140" s="60">
        <v>0</v>
      </c>
      <c r="N140" s="60">
        <v>0</v>
      </c>
      <c r="O140" s="60">
        <v>0</v>
      </c>
      <c r="P140" s="60">
        <v>0</v>
      </c>
    </row>
    <row r="141" spans="3:16" outlineLevel="1" x14ac:dyDescent="0.3">
      <c r="C141" s="50" t="s">
        <v>145</v>
      </c>
      <c r="D141" s="7" t="s">
        <v>13</v>
      </c>
      <c r="E141" s="48"/>
      <c r="F141" s="63">
        <f>SUM(F135:F140)</f>
        <v>-128715625</v>
      </c>
      <c r="G141" s="63">
        <f t="shared" ref="G141" si="121">SUM(G135:G140)</f>
        <v>14516720.312574305</v>
      </c>
      <c r="H141" s="63">
        <f t="shared" ref="H141:O141" si="122">SUM(H135:H140)</f>
        <v>15303781.477784049</v>
      </c>
      <c r="I141" s="63">
        <f t="shared" si="122"/>
        <v>16050954.036777388</v>
      </c>
      <c r="J141" s="63">
        <f t="shared" si="122"/>
        <v>16833298.569984909</v>
      </c>
      <c r="K141" s="63">
        <f t="shared" si="122"/>
        <v>17439255.316621721</v>
      </c>
      <c r="L141" s="63">
        <f t="shared" si="122"/>
        <v>17818766.089848921</v>
      </c>
      <c r="M141" s="63">
        <f t="shared" si="122"/>
        <v>18498478.01051084</v>
      </c>
      <c r="N141" s="63">
        <f t="shared" si="122"/>
        <v>18568987.818566319</v>
      </c>
      <c r="O141" s="63">
        <f t="shared" si="122"/>
        <v>19026590.051575225</v>
      </c>
      <c r="P141" s="63">
        <f>SUM(P135:P140)</f>
        <v>255666593.26109111</v>
      </c>
    </row>
    <row r="142" spans="3:16" outlineLevel="1" x14ac:dyDescent="0.3">
      <c r="D142" s="4"/>
      <c r="F142" s="28"/>
      <c r="G142" s="29"/>
      <c r="H142" s="29"/>
      <c r="I142" s="29"/>
      <c r="J142" s="29"/>
      <c r="K142" s="29"/>
      <c r="L142" s="29"/>
      <c r="M142" s="29"/>
      <c r="N142" s="29"/>
      <c r="O142" s="29"/>
      <c r="P142" s="29"/>
    </row>
    <row r="143" spans="3:16" outlineLevel="1" x14ac:dyDescent="0.3">
      <c r="C143" s="64" t="s">
        <v>146</v>
      </c>
      <c r="D143" s="65" t="s">
        <v>7</v>
      </c>
      <c r="E143" s="66"/>
      <c r="F143" s="67">
        <f>IRR(F141:P141)</f>
        <v>0.16731441777272171</v>
      </c>
      <c r="G143" s="29"/>
      <c r="H143" s="29"/>
      <c r="I143" s="29"/>
      <c r="J143" s="29"/>
      <c r="K143" s="29"/>
      <c r="L143" s="29"/>
      <c r="M143" s="29"/>
      <c r="N143" s="29"/>
      <c r="O143" s="29"/>
      <c r="P143" s="29"/>
    </row>
    <row r="144" spans="3:16" outlineLevel="1" x14ac:dyDescent="0.3">
      <c r="D144" s="4"/>
    </row>
    <row r="145" spans="3:6" outlineLevel="1" x14ac:dyDescent="0.3">
      <c r="C145" s="9" t="s">
        <v>147</v>
      </c>
      <c r="D145" s="7" t="s">
        <v>13</v>
      </c>
      <c r="F145" s="29">
        <f>SUM(F135:P139)</f>
        <v>409723424.94533485</v>
      </c>
    </row>
    <row r="146" spans="3:6" outlineLevel="1" x14ac:dyDescent="0.3">
      <c r="C146" s="9" t="s">
        <v>148</v>
      </c>
      <c r="D146" s="7" t="s">
        <v>13</v>
      </c>
      <c r="F146" s="29">
        <f>-SUM(F140:P140)</f>
        <v>128715625</v>
      </c>
    </row>
    <row r="147" spans="3:6" outlineLevel="1" x14ac:dyDescent="0.3">
      <c r="C147" s="9" t="s">
        <v>140</v>
      </c>
      <c r="D147" s="7" t="s">
        <v>33</v>
      </c>
      <c r="F147" s="69">
        <f>+F145/F146</f>
        <v>3.1831677385347339</v>
      </c>
    </row>
    <row r="148" spans="3:6" x14ac:dyDescent="0.3">
      <c r="C148" s="9"/>
      <c r="D148" s="110"/>
    </row>
    <row r="149" spans="3:6" x14ac:dyDescent="0.3">
      <c r="C149" s="111" t="s">
        <v>98</v>
      </c>
      <c r="D149" s="112" t="s">
        <v>13</v>
      </c>
      <c r="E149" s="66"/>
      <c r="F149" s="113">
        <f>NPV(0.12,G141:P141) + F141</f>
        <v>42537928.561898082</v>
      </c>
    </row>
  </sheetData>
  <mergeCells count="1">
    <mergeCell ref="G34:K34"/>
  </mergeCells>
  <pageMargins left="0.7" right="0.7" top="0.75" bottom="0.75" header="0.3" footer="0.3"/>
  <pageSetup scale="34" orientation="portrait" r:id="rId1"/>
  <rowBreaks count="3" manualBreakCount="3">
    <brk id="40" max="12" man="1"/>
    <brk id="69" max="12" man="1"/>
    <brk id="116" max="12" man="1"/>
  </rowBreaks>
  <ignoredErrors>
    <ignoredError sqref="E21:E22 K20:K22 K10 K18 E14" unlockedFormula="1"/>
    <ignoredError sqref="Q102:Q105" evalError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76A08A-0DFE-4380-9BF7-3AA0500F7796}">
          <x14:formula1>
            <xm:f>'Sensitivity Analysis'!$C$2:$F$2</xm:f>
          </x14:formula1>
          <xm:sqref>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23A68-3706-4DB5-9335-74B52D5B52FD}">
  <sheetPr codeName="Sheet3"/>
  <dimension ref="B2:F21"/>
  <sheetViews>
    <sheetView showGridLines="0" workbookViewId="0">
      <selection activeCell="F4" sqref="F4"/>
    </sheetView>
  </sheetViews>
  <sheetFormatPr defaultRowHeight="14.4" x14ac:dyDescent="0.3"/>
  <cols>
    <col min="2" max="2" width="23.33203125" bestFit="1" customWidth="1"/>
    <col min="3" max="3" width="14.6640625" bestFit="1" customWidth="1"/>
    <col min="4" max="4" width="18.109375" bestFit="1" customWidth="1"/>
    <col min="5" max="5" width="14.5546875" bestFit="1" customWidth="1"/>
    <col min="6" max="6" width="15.5546875" bestFit="1" customWidth="1"/>
  </cols>
  <sheetData>
    <row r="2" spans="2:6" x14ac:dyDescent="0.3">
      <c r="B2" s="131" t="s">
        <v>86</v>
      </c>
      <c r="C2" s="131" t="s">
        <v>87</v>
      </c>
      <c r="D2" s="131" t="s">
        <v>88</v>
      </c>
      <c r="E2" s="131" t="s">
        <v>89</v>
      </c>
      <c r="F2" s="131" t="s">
        <v>90</v>
      </c>
    </row>
    <row r="3" spans="2:6" x14ac:dyDescent="0.3">
      <c r="B3" s="100" t="s">
        <v>91</v>
      </c>
      <c r="C3" s="106">
        <v>300000000</v>
      </c>
      <c r="D3" s="106">
        <v>275000000</v>
      </c>
      <c r="E3" s="106">
        <v>250000000</v>
      </c>
      <c r="F3" s="106">
        <v>225000000</v>
      </c>
    </row>
    <row r="4" spans="2:6" x14ac:dyDescent="0.3">
      <c r="B4" s="100" t="s">
        <v>92</v>
      </c>
      <c r="C4" s="101">
        <v>0.08</v>
      </c>
      <c r="D4" s="101">
        <v>7.7499999999999999E-2</v>
      </c>
      <c r="E4" s="101">
        <v>7.4999999999999997E-2</v>
      </c>
      <c r="F4" s="101">
        <v>7.2499999999999995E-2</v>
      </c>
    </row>
    <row r="5" spans="2:6" ht="28.8" x14ac:dyDescent="0.3">
      <c r="B5" s="100" t="s">
        <v>95</v>
      </c>
      <c r="C5" s="107">
        <v>180</v>
      </c>
      <c r="D5" s="107">
        <v>150</v>
      </c>
      <c r="E5" s="107">
        <v>120</v>
      </c>
      <c r="F5" s="107">
        <v>100</v>
      </c>
    </row>
    <row r="6" spans="2:6" ht="28.8" x14ac:dyDescent="0.3">
      <c r="B6" s="100" t="s">
        <v>96</v>
      </c>
      <c r="C6" s="107">
        <v>400</v>
      </c>
      <c r="D6" s="107">
        <v>350</v>
      </c>
      <c r="E6" s="107">
        <v>300</v>
      </c>
      <c r="F6" s="107">
        <v>250</v>
      </c>
    </row>
    <row r="7" spans="2:6" x14ac:dyDescent="0.3">
      <c r="B7" s="100" t="s">
        <v>93</v>
      </c>
      <c r="C7" s="102">
        <v>0.6</v>
      </c>
      <c r="D7" s="102">
        <v>0.55000000000000004</v>
      </c>
      <c r="E7" s="102">
        <v>0.5</v>
      </c>
      <c r="F7" s="102">
        <v>0.45</v>
      </c>
    </row>
    <row r="10" spans="2:6" x14ac:dyDescent="0.3">
      <c r="B10" s="132" t="s">
        <v>97</v>
      </c>
    </row>
    <row r="11" spans="2:6" x14ac:dyDescent="0.3">
      <c r="B11" s="109">
        <v>2026</v>
      </c>
    </row>
    <row r="12" spans="2:6" x14ac:dyDescent="0.3">
      <c r="B12" s="109">
        <v>2027</v>
      </c>
    </row>
    <row r="13" spans="2:6" x14ac:dyDescent="0.3">
      <c r="B13" s="109">
        <v>2028</v>
      </c>
    </row>
    <row r="14" spans="2:6" x14ac:dyDescent="0.3">
      <c r="B14" s="109">
        <v>2029</v>
      </c>
    </row>
    <row r="15" spans="2:6" x14ac:dyDescent="0.3">
      <c r="B15" s="109">
        <v>2030</v>
      </c>
    </row>
    <row r="16" spans="2:6" x14ac:dyDescent="0.3">
      <c r="B16" s="109">
        <v>2031</v>
      </c>
    </row>
    <row r="17" spans="2:2" x14ac:dyDescent="0.3">
      <c r="B17" s="109">
        <v>2032</v>
      </c>
    </row>
    <row r="18" spans="2:2" x14ac:dyDescent="0.3">
      <c r="B18" s="109">
        <v>2033</v>
      </c>
    </row>
    <row r="19" spans="2:2" x14ac:dyDescent="0.3">
      <c r="B19" s="109">
        <v>2034</v>
      </c>
    </row>
    <row r="20" spans="2:2" x14ac:dyDescent="0.3">
      <c r="B20" s="109">
        <v>2035</v>
      </c>
    </row>
    <row r="21" spans="2:2" x14ac:dyDescent="0.3">
      <c r="B21" s="109">
        <v>2036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65B529C-582B-4D51-B01F-0F576386D6CE}">
  <ds:schemaRefs/>
</ds:datastoreItem>
</file>

<file path=customXml/itemProps2.xml><?xml version="1.0" encoding="utf-8"?>
<ds:datastoreItem xmlns:ds="http://schemas.openxmlformats.org/officeDocument/2006/customXml" ds:itemID="{7ED1CB18-8BD2-43F5-A2E4-AC35605F7F08}">
  <ds:schemaRefs/>
</ds:datastoreItem>
</file>

<file path=customXml/itemProps3.xml><?xml version="1.0" encoding="utf-8"?>
<ds:datastoreItem xmlns:ds="http://schemas.openxmlformats.org/officeDocument/2006/customXml" ds:itemID="{266B8387-5E03-4004-9C91-B0C717EC059C}">
  <ds:schemaRefs/>
</ds:datastoreItem>
</file>

<file path=customXml/itemProps4.xml><?xml version="1.0" encoding="utf-8"?>
<ds:datastoreItem xmlns:ds="http://schemas.openxmlformats.org/officeDocument/2006/customXml" ds:itemID="{7E6A61C4-7076-4F5D-AAEB-2E676A3B1119}">
  <ds:schemaRefs/>
</ds:datastoreItem>
</file>

<file path=customXml/itemProps5.xml><?xml version="1.0" encoding="utf-8"?>
<ds:datastoreItem xmlns:ds="http://schemas.openxmlformats.org/officeDocument/2006/customXml" ds:itemID="{3634FEF1-5DBC-4B38-BFAF-A5F2FC73B2A9}">
  <ds:schemaRefs/>
</ds:datastoreItem>
</file>

<file path=customXml/itemProps6.xml><?xml version="1.0" encoding="utf-8"?>
<ds:datastoreItem xmlns:ds="http://schemas.openxmlformats.org/officeDocument/2006/customXml" ds:itemID="{E74E5B41-EFBD-4B69-81CC-D054CE20715B}">
  <ds:schemaRefs/>
</ds:datastoreItem>
</file>

<file path=customXml/itemProps7.xml><?xml version="1.0" encoding="utf-8"?>
<ds:datastoreItem xmlns:ds="http://schemas.openxmlformats.org/officeDocument/2006/customXml" ds:itemID="{DDD45DEA-23FF-468B-B713-732275C36528}">
  <ds:schemaRefs/>
</ds:datastoreItem>
</file>

<file path=customXml/itemProps8.xml><?xml version="1.0" encoding="utf-8"?>
<ds:datastoreItem xmlns:ds="http://schemas.openxmlformats.org/officeDocument/2006/customXml" ds:itemID="{53C973B5-C9AC-48EA-9EAD-D4670EE25B91}">
  <ds:schemaRefs/>
</ds:datastoreItem>
</file>

<file path=customXml/itemProps9.xml><?xml version="1.0" encoding="utf-8"?>
<ds:datastoreItem xmlns:ds="http://schemas.openxmlformats.org/officeDocument/2006/customXml" ds:itemID="{1D584947-E162-4891-AF3C-2F2B17A8FF1B}">
  <ds:schemaRefs/>
</ds:datastoreItem>
</file>

<file path=customXml/itemProps10.xml><?xml version="1.0" encoding="utf-8"?>
<ds:datastoreItem xmlns:ds="http://schemas.openxmlformats.org/officeDocument/2006/customXml" ds:itemID="{965F7A61-F265-4676-A925-AEF377E48CD5}">
  <ds:schemaRefs/>
</ds:datastoreItem>
</file>

<file path=customXml/itemProps11.xml><?xml version="1.0" encoding="utf-8"?>
<ds:datastoreItem xmlns:ds="http://schemas.openxmlformats.org/officeDocument/2006/customXml" ds:itemID="{C439895F-6E39-4C10-B8B8-4BAC691F209C}">
  <ds:schemaRefs/>
</ds:datastoreItem>
</file>

<file path=customXml/itemProps12.xml><?xml version="1.0" encoding="utf-8"?>
<ds:datastoreItem xmlns:ds="http://schemas.openxmlformats.org/officeDocument/2006/customXml" ds:itemID="{03F01E56-A72A-4590-95BE-06ADCCFD1E1A}">
  <ds:schemaRefs/>
</ds:datastoreItem>
</file>

<file path=customXml/itemProps13.xml><?xml version="1.0" encoding="utf-8"?>
<ds:datastoreItem xmlns:ds="http://schemas.openxmlformats.org/officeDocument/2006/customXml" ds:itemID="{F28662EB-2C44-48A3-B62F-8B8510F9FEE0}">
  <ds:schemaRefs/>
</ds:datastoreItem>
</file>

<file path=customXml/itemProps14.xml><?xml version="1.0" encoding="utf-8"?>
<ds:datastoreItem xmlns:ds="http://schemas.openxmlformats.org/officeDocument/2006/customXml" ds:itemID="{29C4E761-8D17-49E5-A906-BBB847BACC67}">
  <ds:schemaRefs/>
</ds:datastoreItem>
</file>

<file path=customXml/itemProps15.xml><?xml version="1.0" encoding="utf-8"?>
<ds:datastoreItem xmlns:ds="http://schemas.openxmlformats.org/officeDocument/2006/customXml" ds:itemID="{D982465C-7A89-4034-8CFF-E267F8707191}">
  <ds:schemaRefs/>
</ds:datastoreItem>
</file>

<file path=customXml/itemProps16.xml><?xml version="1.0" encoding="utf-8"?>
<ds:datastoreItem xmlns:ds="http://schemas.openxmlformats.org/officeDocument/2006/customXml" ds:itemID="{FC80ACA3-2056-4BD4-A21D-8B66618C9D75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EF88CC28-95C4-4F27-AB29-B54304F3A09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Master</vt:lpstr>
      <vt:lpstr>Executive Dashboard</vt:lpstr>
      <vt:lpstr>Pro-Forma</vt:lpstr>
      <vt:lpstr>Sensitivity Analysis</vt:lpstr>
      <vt:lpstr>Apt_Units</vt:lpstr>
      <vt:lpstr>Entry_Cap_Rate</vt:lpstr>
      <vt:lpstr>Entry_Fee_Pct</vt:lpstr>
      <vt:lpstr>Entry_Price</vt:lpstr>
      <vt:lpstr>Exit_Cap_Rate</vt:lpstr>
      <vt:lpstr>Exit_Fee_Pct</vt:lpstr>
      <vt:lpstr>Exit_Price</vt:lpstr>
      <vt:lpstr>Gross_SF</vt:lpstr>
      <vt:lpstr>Hotel_Rooms</vt:lpstr>
      <vt:lpstr>Loan_Amort_Period</vt:lpstr>
      <vt:lpstr>Loan_Fees</vt:lpstr>
      <vt:lpstr>Loan_Interest_Rate</vt:lpstr>
      <vt:lpstr>Loan_Term</vt:lpstr>
      <vt:lpstr>LTV</vt:lpstr>
      <vt:lpstr>Months</vt:lpstr>
      <vt:lpstr>Parking_Spots</vt:lpstr>
      <vt:lpstr>'Pro-Forma'!Print_Area</vt:lpstr>
      <vt:lpstr>Prop_Mgmt_Fee</vt:lpstr>
      <vt:lpstr>Property_Name</vt:lpstr>
      <vt:lpstr>RE_Taxes_Pct_Property_Value</vt:lpstr>
      <vt:lpstr>Rentable_SF</vt:lpstr>
      <vt:lpstr>RSF_per_Unit</vt:lpstr>
      <vt:lpstr>Sale_Date</vt:lpstr>
      <vt:lpstr>Scenario_Selector</vt:lpstr>
      <vt:lpstr>Start_Date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Rajas Koranne</dc:creator>
  <cp:lastModifiedBy>Rajas Koranne</cp:lastModifiedBy>
  <dcterms:created xsi:type="dcterms:W3CDTF">2015-04-15T02:33:42Z</dcterms:created>
  <dcterms:modified xsi:type="dcterms:W3CDTF">2026-02-11T16:19:23Z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gmt_Fee" linkTarget="Prop_Mgmt_Fee">
    <vt:r8>0.03</vt:r8>
  </property>
</Properties>
</file>