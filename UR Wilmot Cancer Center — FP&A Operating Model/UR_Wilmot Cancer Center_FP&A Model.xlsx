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/>
  <mc:AlternateContent xmlns:mc="http://schemas.openxmlformats.org/markup-compatibility/2006">
    <mc:Choice Requires="x15">
      <x15ac:absPath xmlns:x15ac="http://schemas.microsoft.com/office/spreadsheetml/2010/11/ac" url="C:\Users\rajas\Downloads\"/>
    </mc:Choice>
  </mc:AlternateContent>
  <xr:revisionPtr revIDLastSave="0" documentId="13_ncr:1_{222A33D5-3299-4329-92CC-A8CC47C0CE88}" xr6:coauthVersionLast="47" xr6:coauthVersionMax="47" xr10:uidLastSave="{00000000-0000-0000-0000-000000000000}"/>
  <bookViews>
    <workbookView xWindow="28680" yWindow="-120" windowWidth="29040" windowHeight="15720" tabRatio="500" activeTab="4" xr2:uid="{00000000-000D-0000-FFFF-FFFF00000000}"/>
  </bookViews>
  <sheets>
    <sheet name="1. Cover" sheetId="1" r:id="rId1"/>
    <sheet name="2. Assumptions" sheetId="2" r:id="rId2"/>
    <sheet name="3. Budget Vs. Actual" sheetId="3" r:id="rId3"/>
    <sheet name="4. Program P&amp;L" sheetId="4" r:id="rId4"/>
    <sheet name="5. Forecast (5Yr)" sheetId="5" r:id="rId5"/>
    <sheet name="6. Trial Decision" sheetId="6" r:id="rId6"/>
    <sheet name="7. Grant F&amp;A" sheetId="7" r:id="rId7"/>
    <sheet name="8. KPI Dashboard" sheetId="8" r:id="rId8"/>
    <sheet name="9. Scenarios" sheetId="9" r:id="rId9"/>
    <sheet name="10. IC Summary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9" l="1"/>
  <c r="D17" i="9"/>
  <c r="C17" i="9"/>
  <c r="E16" i="9"/>
  <c r="D16" i="9"/>
  <c r="C16" i="9"/>
  <c r="E15" i="9"/>
  <c r="D15" i="9"/>
  <c r="C15" i="9"/>
  <c r="E14" i="9"/>
  <c r="D14" i="9"/>
  <c r="C14" i="9"/>
  <c r="E13" i="9"/>
  <c r="D13" i="9"/>
  <c r="C13" i="9"/>
  <c r="E12" i="9"/>
  <c r="D12" i="9"/>
  <c r="C12" i="9"/>
  <c r="E11" i="9"/>
  <c r="D11" i="9"/>
  <c r="C11" i="9"/>
  <c r="E10" i="9"/>
  <c r="D10" i="9"/>
  <c r="C10" i="9"/>
  <c r="E9" i="9"/>
  <c r="D9" i="9"/>
  <c r="C9" i="9"/>
  <c r="E8" i="9"/>
  <c r="D8" i="9"/>
  <c r="C8" i="9"/>
  <c r="H36" i="8"/>
  <c r="H35" i="8"/>
  <c r="H34" i="8"/>
  <c r="D14" i="7"/>
  <c r="C14" i="7"/>
  <c r="F10" i="7"/>
  <c r="G50" i="6"/>
  <c r="F50" i="6"/>
  <c r="E50" i="6"/>
  <c r="D50" i="6"/>
  <c r="C50" i="6"/>
  <c r="G49" i="6"/>
  <c r="F49" i="6"/>
  <c r="E49" i="6"/>
  <c r="D49" i="6"/>
  <c r="C49" i="6"/>
  <c r="G48" i="6"/>
  <c r="F48" i="6"/>
  <c r="E48" i="6"/>
  <c r="D48" i="6"/>
  <c r="C48" i="6"/>
  <c r="G47" i="6"/>
  <c r="F47" i="6"/>
  <c r="E47" i="6"/>
  <c r="D47" i="6"/>
  <c r="C47" i="6"/>
  <c r="G46" i="6"/>
  <c r="F46" i="6"/>
  <c r="E46" i="6"/>
  <c r="D46" i="6"/>
  <c r="C46" i="6"/>
  <c r="C41" i="6"/>
  <c r="G30" i="6"/>
  <c r="E30" i="6"/>
  <c r="H29" i="6"/>
  <c r="G28" i="6"/>
  <c r="F28" i="6"/>
  <c r="E28" i="6"/>
  <c r="D28" i="6"/>
  <c r="C28" i="6"/>
  <c r="H27" i="6"/>
  <c r="G26" i="6"/>
  <c r="F26" i="6"/>
  <c r="E26" i="6"/>
  <c r="D26" i="6"/>
  <c r="C26" i="6"/>
  <c r="H25" i="6"/>
  <c r="H24" i="6"/>
  <c r="H23" i="6"/>
  <c r="G18" i="6"/>
  <c r="F18" i="6"/>
  <c r="E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C18" i="4"/>
  <c r="C13" i="4"/>
  <c r="O26" i="3"/>
  <c r="O25" i="3"/>
  <c r="O24" i="3"/>
  <c r="O23" i="3"/>
  <c r="O22" i="3"/>
  <c r="O21" i="3"/>
  <c r="O20" i="3"/>
  <c r="O19" i="3"/>
  <c r="P18" i="3"/>
  <c r="N18" i="3"/>
  <c r="M18" i="3"/>
  <c r="L18" i="3"/>
  <c r="K18" i="3"/>
  <c r="J18" i="3"/>
  <c r="I18" i="3"/>
  <c r="H18" i="3"/>
  <c r="G18" i="3"/>
  <c r="F18" i="3"/>
  <c r="E18" i="3"/>
  <c r="D18" i="3"/>
  <c r="C18" i="3"/>
  <c r="O17" i="3"/>
  <c r="O16" i="3"/>
  <c r="P13" i="3"/>
  <c r="N13" i="3"/>
  <c r="M13" i="3"/>
  <c r="L13" i="3"/>
  <c r="K13" i="3"/>
  <c r="J13" i="3"/>
  <c r="I13" i="3"/>
  <c r="H13" i="3"/>
  <c r="G13" i="3"/>
  <c r="F13" i="3"/>
  <c r="E13" i="3"/>
  <c r="D13" i="3"/>
  <c r="C13" i="3"/>
  <c r="O12" i="3"/>
  <c r="O11" i="3"/>
  <c r="O10" i="3"/>
  <c r="O9" i="3"/>
  <c r="O8" i="3"/>
  <c r="F73" i="2"/>
  <c r="F72" i="2"/>
  <c r="F71" i="2"/>
  <c r="F70" i="2"/>
  <c r="F67" i="2"/>
  <c r="F66" i="2"/>
  <c r="F65" i="2"/>
  <c r="F62" i="2"/>
  <c r="F61" i="2"/>
  <c r="F60" i="2"/>
  <c r="F57" i="2"/>
  <c r="F56" i="2"/>
  <c r="F55" i="2"/>
  <c r="F54" i="2"/>
  <c r="F53" i="2"/>
  <c r="F50" i="2"/>
  <c r="F49" i="2"/>
  <c r="F48" i="2"/>
  <c r="F47" i="2"/>
  <c r="F44" i="2"/>
  <c r="F43" i="2"/>
  <c r="F42" i="2"/>
  <c r="F41" i="2"/>
  <c r="F40" i="2"/>
  <c r="F39" i="2"/>
  <c r="F38" i="2"/>
  <c r="F37" i="2"/>
  <c r="F34" i="2"/>
  <c r="F33" i="2"/>
  <c r="F32" i="2"/>
  <c r="F31" i="2"/>
  <c r="F30" i="2"/>
  <c r="F29" i="2"/>
  <c r="F28" i="2"/>
  <c r="F25" i="2"/>
  <c r="F24" i="2"/>
  <c r="F23" i="2"/>
  <c r="F22" i="2"/>
  <c r="F21" i="2"/>
  <c r="F20" i="2"/>
  <c r="F17" i="2"/>
  <c r="F16" i="2"/>
  <c r="F15" i="2"/>
  <c r="F14" i="2"/>
  <c r="F13" i="2"/>
  <c r="F12" i="2"/>
  <c r="F11" i="2"/>
  <c r="D6" i="2"/>
  <c r="H18" i="8" l="1"/>
  <c r="C24" i="5"/>
  <c r="E22" i="10"/>
  <c r="D22" i="10"/>
  <c r="E21" i="10"/>
  <c r="D21" i="10"/>
  <c r="E19" i="10"/>
  <c r="D19" i="10"/>
  <c r="C19" i="10"/>
  <c r="C18" i="10"/>
  <c r="C17" i="10"/>
  <c r="E7" i="10"/>
  <c r="F17" i="9"/>
  <c r="F16" i="9"/>
  <c r="F15" i="9"/>
  <c r="F14" i="9"/>
  <c r="F13" i="9"/>
  <c r="F12" i="9"/>
  <c r="F11" i="9"/>
  <c r="F10" i="9"/>
  <c r="F9" i="9"/>
  <c r="F8" i="9"/>
  <c r="F18" i="8"/>
  <c r="D18" i="8"/>
  <c r="B18" i="8"/>
  <c r="E7" i="8"/>
  <c r="C17" i="7"/>
  <c r="I28" i="3"/>
  <c r="C10" i="5"/>
  <c r="C5" i="5"/>
  <c r="C28" i="4"/>
  <c r="E26" i="4"/>
  <c r="D26" i="4"/>
  <c r="F26" i="4" s="1"/>
  <c r="E25" i="4"/>
  <c r="D25" i="4"/>
  <c r="F25" i="4" s="1"/>
  <c r="E24" i="4"/>
  <c r="D24" i="4"/>
  <c r="F24" i="4" s="1"/>
  <c r="E23" i="4"/>
  <c r="D23" i="4"/>
  <c r="F23" i="4" s="1"/>
  <c r="E22" i="4"/>
  <c r="D22" i="4"/>
  <c r="F22" i="4" s="1"/>
  <c r="E21" i="4"/>
  <c r="D21" i="4"/>
  <c r="F21" i="4" s="1"/>
  <c r="E20" i="4"/>
  <c r="D20" i="4"/>
  <c r="F20" i="4" s="1"/>
  <c r="E19" i="4"/>
  <c r="D19" i="4"/>
  <c r="D17" i="4"/>
  <c r="F17" i="4" s="1"/>
  <c r="E16" i="4"/>
  <c r="D16" i="4"/>
  <c r="P28" i="3"/>
  <c r="R10" i="3"/>
  <c r="Q10" i="3"/>
  <c r="K11" i="6"/>
  <c r="L11" i="6" s="1"/>
  <c r="C13" i="5"/>
  <c r="D13" i="5" s="1"/>
  <c r="D11" i="4"/>
  <c r="F11" i="4" s="1"/>
  <c r="E8" i="4"/>
  <c r="E28" i="3"/>
  <c r="Q26" i="3"/>
  <c r="Q23" i="3"/>
  <c r="R22" i="3"/>
  <c r="R21" i="3"/>
  <c r="R20" i="3"/>
  <c r="R19" i="3"/>
  <c r="R17" i="3"/>
  <c r="Q17" i="3"/>
  <c r="Q16" i="3"/>
  <c r="Q11" i="3"/>
  <c r="D30" i="6"/>
  <c r="H18" i="6"/>
  <c r="C14" i="5"/>
  <c r="D14" i="5" s="1"/>
  <c r="E14" i="5" s="1"/>
  <c r="F14" i="5" s="1"/>
  <c r="G14" i="5" s="1"/>
  <c r="H14" i="5" s="1"/>
  <c r="E12" i="4"/>
  <c r="D12" i="4"/>
  <c r="D10" i="4"/>
  <c r="F10" i="4" s="1"/>
  <c r="E9" i="4"/>
  <c r="P31" i="3"/>
  <c r="P32" i="3" s="1"/>
  <c r="N28" i="3"/>
  <c r="L28" i="3"/>
  <c r="J28" i="3"/>
  <c r="H28" i="3"/>
  <c r="F28" i="3"/>
  <c r="D28" i="3"/>
  <c r="C28" i="3"/>
  <c r="R26" i="3"/>
  <c r="R25" i="3"/>
  <c r="Q25" i="3"/>
  <c r="R24" i="3"/>
  <c r="Q24" i="3"/>
  <c r="R23" i="3"/>
  <c r="Q22" i="3"/>
  <c r="Q21" i="3"/>
  <c r="Q20" i="3"/>
  <c r="Q19" i="3"/>
  <c r="R16" i="3"/>
  <c r="O13" i="3"/>
  <c r="R8" i="3"/>
  <c r="K17" i="6"/>
  <c r="L17" i="6" s="1"/>
  <c r="J17" i="6"/>
  <c r="K16" i="6"/>
  <c r="L16" i="6" s="1"/>
  <c r="J16" i="6"/>
  <c r="K15" i="6"/>
  <c r="L15" i="6" s="1"/>
  <c r="J15" i="6"/>
  <c r="K14" i="6"/>
  <c r="L14" i="6" s="1"/>
  <c r="J14" i="6"/>
  <c r="K13" i="6"/>
  <c r="L13" i="6" s="1"/>
  <c r="J13" i="6"/>
  <c r="K12" i="6"/>
  <c r="L12" i="6" s="1"/>
  <c r="J12" i="6"/>
  <c r="J11" i="6"/>
  <c r="K10" i="6"/>
  <c r="L10" i="6" s="1"/>
  <c r="J10" i="6"/>
  <c r="K9" i="6"/>
  <c r="L9" i="6" s="1"/>
  <c r="J9" i="6"/>
  <c r="K8" i="6"/>
  <c r="L8" i="6" s="1"/>
  <c r="J8" i="6"/>
  <c r="E11" i="4"/>
  <c r="E10" i="4"/>
  <c r="C19" i="5" s="1"/>
  <c r="D19" i="5" s="1"/>
  <c r="E19" i="5" s="1"/>
  <c r="F19" i="5" s="1"/>
  <c r="G19" i="5" s="1"/>
  <c r="H19" i="5" s="1"/>
  <c r="D9" i="4"/>
  <c r="D8" i="4"/>
  <c r="M28" i="3"/>
  <c r="K28" i="3"/>
  <c r="G28" i="3"/>
  <c r="O18" i="3"/>
  <c r="R12" i="3"/>
  <c r="Q12" i="3"/>
  <c r="R11" i="3"/>
  <c r="R9" i="3"/>
  <c r="Q9" i="3"/>
  <c r="Q8" i="3"/>
  <c r="E13" i="7"/>
  <c r="F13" i="7" s="1"/>
  <c r="E12" i="7"/>
  <c r="F12" i="7" s="1"/>
  <c r="C40" i="6"/>
  <c r="E11" i="7"/>
  <c r="F11" i="7" s="1"/>
  <c r="E9" i="7"/>
  <c r="F9" i="7" s="1"/>
  <c r="E8" i="7"/>
  <c r="F8" i="7" s="1"/>
  <c r="F30" i="6"/>
  <c r="C30" i="6"/>
  <c r="C39" i="6" s="1"/>
  <c r="H28" i="6"/>
  <c r="H26" i="6"/>
  <c r="I18" i="6"/>
  <c r="E13" i="5" l="1"/>
  <c r="F13" i="5" s="1"/>
  <c r="G13" i="5" s="1"/>
  <c r="H13" i="5" s="1"/>
  <c r="C25" i="5"/>
  <c r="D24" i="5"/>
  <c r="E24" i="5" s="1"/>
  <c r="F24" i="5" s="1"/>
  <c r="G24" i="5" s="1"/>
  <c r="H24" i="5" s="1"/>
  <c r="C26" i="5"/>
  <c r="D10" i="5"/>
  <c r="C11" i="5"/>
  <c r="C17" i="5" s="1"/>
  <c r="C28" i="5"/>
  <c r="C30" i="8"/>
  <c r="C12" i="5"/>
  <c r="C18" i="5" s="1"/>
  <c r="F19" i="4"/>
  <c r="E17" i="4"/>
  <c r="E18" i="4"/>
  <c r="E28" i="4" s="1"/>
  <c r="F16" i="4"/>
  <c r="D18" i="4"/>
  <c r="Q28" i="3"/>
  <c r="R28" i="3"/>
  <c r="F12" i="4"/>
  <c r="Q13" i="3"/>
  <c r="R13" i="3"/>
  <c r="O31" i="3"/>
  <c r="F9" i="4"/>
  <c r="D13" i="4"/>
  <c r="F8" i="4"/>
  <c r="D35" i="4"/>
  <c r="C23" i="7"/>
  <c r="C22" i="7"/>
  <c r="F14" i="7"/>
  <c r="C21" i="7"/>
  <c r="H30" i="6"/>
  <c r="C34" i="6"/>
  <c r="C29" i="5"/>
  <c r="D29" i="5" s="1"/>
  <c r="E29" i="5" s="1"/>
  <c r="F29" i="5" s="1"/>
  <c r="G29" i="5" s="1"/>
  <c r="H29" i="5" s="1"/>
  <c r="N31" i="3"/>
  <c r="N32" i="3" s="1"/>
  <c r="M31" i="3"/>
  <c r="M32" i="3" s="1"/>
  <c r="L31" i="3"/>
  <c r="L32" i="3" s="1"/>
  <c r="K31" i="3"/>
  <c r="K32" i="3" s="1"/>
  <c r="J31" i="3"/>
  <c r="J32" i="3" s="1"/>
  <c r="I31" i="3"/>
  <c r="I32" i="3" s="1"/>
  <c r="H31" i="3"/>
  <c r="H32" i="3" s="1"/>
  <c r="G31" i="3"/>
  <c r="G32" i="3" s="1"/>
  <c r="F31" i="3"/>
  <c r="F32" i="3" s="1"/>
  <c r="E31" i="3"/>
  <c r="E32" i="3" s="1"/>
  <c r="D31" i="3"/>
  <c r="D32" i="3" s="1"/>
  <c r="C31" i="3"/>
  <c r="C32" i="3" s="1"/>
  <c r="E13" i="4"/>
  <c r="C38" i="6"/>
  <c r="O28" i="3"/>
  <c r="R18" i="3"/>
  <c r="Q18" i="3"/>
  <c r="C35" i="6"/>
  <c r="J18" i="6"/>
  <c r="K18" i="6" s="1"/>
  <c r="C31" i="4"/>
  <c r="C32" i="4" s="1"/>
  <c r="D25" i="5" l="1"/>
  <c r="C27" i="5"/>
  <c r="E10" i="5"/>
  <c r="D11" i="5"/>
  <c r="D17" i="5" s="1"/>
  <c r="D30" i="8"/>
  <c r="D12" i="5"/>
  <c r="D18" i="5" s="1"/>
  <c r="C20" i="5"/>
  <c r="D11" i="8"/>
  <c r="F21" i="9"/>
  <c r="F18" i="4"/>
  <c r="D28" i="4"/>
  <c r="D38" i="4"/>
  <c r="R31" i="3"/>
  <c r="O32" i="3"/>
  <c r="Q31" i="3"/>
  <c r="D14" i="8" s="1"/>
  <c r="B14" i="8"/>
  <c r="F13" i="4"/>
  <c r="D31" i="4"/>
  <c r="H22" i="8"/>
  <c r="C24" i="7"/>
  <c r="G9" i="7"/>
  <c r="G10" i="7"/>
  <c r="G13" i="7"/>
  <c r="G14" i="7"/>
  <c r="C18" i="7"/>
  <c r="C19" i="7"/>
  <c r="C20" i="7"/>
  <c r="F29" i="9"/>
  <c r="E14" i="7"/>
  <c r="D26" i="8" s="1"/>
  <c r="B26" i="8"/>
  <c r="C36" i="6"/>
  <c r="C37" i="6"/>
  <c r="F20" i="9"/>
  <c r="B11" i="8"/>
  <c r="E31" i="4"/>
  <c r="D28" i="5"/>
  <c r="D37" i="4"/>
  <c r="H26" i="8"/>
  <c r="D36" i="4"/>
  <c r="G12" i="7"/>
  <c r="G11" i="7"/>
  <c r="G8" i="7"/>
  <c r="F26" i="8"/>
  <c r="E25" i="5" l="1"/>
  <c r="C21" i="5"/>
  <c r="D26" i="5"/>
  <c r="E28" i="5"/>
  <c r="C30" i="5"/>
  <c r="F10" i="5"/>
  <c r="E30" i="8"/>
  <c r="E11" i="5"/>
  <c r="E17" i="5" s="1"/>
  <c r="E12" i="5"/>
  <c r="E18" i="5" s="1"/>
  <c r="D20" i="5"/>
  <c r="D39" i="4"/>
  <c r="F28" i="4"/>
  <c r="Q32" i="3"/>
  <c r="F14" i="8"/>
  <c r="F31" i="4"/>
  <c r="D32" i="4"/>
  <c r="E32" i="4"/>
  <c r="F11" i="8"/>
  <c r="F22" i="9"/>
  <c r="E26" i="5" l="1"/>
  <c r="F25" i="5"/>
  <c r="D27" i="5"/>
  <c r="C36" i="5"/>
  <c r="C31" i="8"/>
  <c r="C32" i="8"/>
  <c r="C33" i="5"/>
  <c r="C35" i="5"/>
  <c r="G25" i="5"/>
  <c r="F26" i="5"/>
  <c r="F28" i="5"/>
  <c r="G10" i="5"/>
  <c r="F30" i="8"/>
  <c r="F12" i="5"/>
  <c r="F18" i="5" s="1"/>
  <c r="F11" i="5"/>
  <c r="F17" i="5" s="1"/>
  <c r="E20" i="5"/>
  <c r="H11" i="8"/>
  <c r="F23" i="9"/>
  <c r="D17" i="10"/>
  <c r="E17" i="10"/>
  <c r="D21" i="5"/>
  <c r="E27" i="5" l="1"/>
  <c r="E30" i="5" s="1"/>
  <c r="F27" i="5"/>
  <c r="D30" i="5"/>
  <c r="E21" i="5"/>
  <c r="B22" i="8"/>
  <c r="F22" i="8"/>
  <c r="C36" i="8"/>
  <c r="C33" i="8"/>
  <c r="C34" i="5"/>
  <c r="C34" i="8" s="1"/>
  <c r="D22" i="8"/>
  <c r="C35" i="8"/>
  <c r="F28" i="9"/>
  <c r="D18" i="10"/>
  <c r="E18" i="10"/>
  <c r="H25" i="5"/>
  <c r="G26" i="5"/>
  <c r="H26" i="5" s="1"/>
  <c r="H10" i="5"/>
  <c r="H30" i="8" s="1"/>
  <c r="G30" i="8"/>
  <c r="G11" i="5"/>
  <c r="G12" i="5"/>
  <c r="F20" i="5"/>
  <c r="D31" i="8"/>
  <c r="D36" i="5"/>
  <c r="D36" i="8" s="1"/>
  <c r="G28" i="5"/>
  <c r="H28" i="5" s="1"/>
  <c r="E32" i="8" l="1"/>
  <c r="E35" i="5"/>
  <c r="E35" i="8" s="1"/>
  <c r="D35" i="5"/>
  <c r="D35" i="8" s="1"/>
  <c r="D32" i="8"/>
  <c r="F30" i="5"/>
  <c r="D33" i="5"/>
  <c r="E33" i="5"/>
  <c r="E36" i="5"/>
  <c r="E36" i="8" s="1"/>
  <c r="E31" i="8"/>
  <c r="F21" i="5"/>
  <c r="G27" i="5"/>
  <c r="H11" i="5"/>
  <c r="G17" i="5"/>
  <c r="H12" i="5"/>
  <c r="G18" i="5"/>
  <c r="H18" i="5" s="1"/>
  <c r="F35" i="5" l="1"/>
  <c r="F35" i="8" s="1"/>
  <c r="F32" i="8"/>
  <c r="E33" i="8"/>
  <c r="D33" i="8"/>
  <c r="D34" i="5"/>
  <c r="D34" i="8" s="1"/>
  <c r="E34" i="5"/>
  <c r="E34" i="8" s="1"/>
  <c r="H27" i="5"/>
  <c r="F36" i="5"/>
  <c r="F36" i="8" s="1"/>
  <c r="F33" i="5"/>
  <c r="F31" i="8"/>
  <c r="G30" i="5"/>
  <c r="G20" i="5"/>
  <c r="H20" i="5" s="1"/>
  <c r="H17" i="5"/>
  <c r="G21" i="5" l="1"/>
  <c r="F34" i="5"/>
  <c r="F34" i="8" s="1"/>
  <c r="F33" i="8"/>
  <c r="G32" i="8"/>
  <c r="G35" i="5"/>
  <c r="G35" i="8" s="1"/>
  <c r="H30" i="5"/>
  <c r="H32" i="8" s="1"/>
  <c r="H21" i="5" l="1"/>
  <c r="G31" i="8"/>
  <c r="F24" i="9"/>
  <c r="G33" i="5"/>
  <c r="G36" i="5"/>
  <c r="G36" i="8" s="1"/>
  <c r="H33" i="5" l="1"/>
  <c r="D20" i="10"/>
  <c r="H14" i="8"/>
  <c r="F26" i="9"/>
  <c r="H31" i="8"/>
  <c r="E20" i="10"/>
  <c r="G34" i="5"/>
  <c r="G33" i="8"/>
  <c r="H33" i="8" l="1"/>
  <c r="F27" i="9"/>
  <c r="G34" i="8"/>
  <c r="F2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6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Change to 1, 2, or 3 to flip scenarios.</t>
        </r>
      </text>
    </comment>
  </commentList>
</comments>
</file>

<file path=xl/sharedStrings.xml><?xml version="1.0" encoding="utf-8"?>
<sst xmlns="http://schemas.openxmlformats.org/spreadsheetml/2006/main" count="679" uniqueCount="566">
  <si>
    <t>WILMOT CANCER CENTER — CLINICAL TRIALS OFFICE</t>
  </si>
  <si>
    <t>FP&amp;A Operating Model — FY2026 Budget, Forecast &amp; Decision Support
University of Rochester Medical Center</t>
  </si>
  <si>
    <t>MODEL CONTEXT</t>
  </si>
  <si>
    <t>Department</t>
  </si>
  <si>
    <t>Wilmot Cancer Institute — Clinical Trials Office (Dept 400178)</t>
  </si>
  <si>
    <t>Parent Entity</t>
  </si>
  <si>
    <t>University of Rochester Medical Center / School of Medicine and Dentistry</t>
  </si>
  <si>
    <t>Reporting Currency</t>
  </si>
  <si>
    <t>USD ($)</t>
  </si>
  <si>
    <t>Fiscal Year Convention</t>
  </si>
  <si>
    <t>July 1 – June 30 (UR fiscal calendar)</t>
  </si>
  <si>
    <t>Model Base Year</t>
  </si>
  <si>
    <t>FY2025 Actuals (audited, PwC opinion 10/17/2025)</t>
  </si>
  <si>
    <t>Forecast Horizon</t>
  </si>
  <si>
    <t>FY2026 monthly + FY2026–FY2030 strategic</t>
  </si>
  <si>
    <t>Source — Patient Care Revenue</t>
  </si>
  <si>
    <t>$6,087,501K (FY25 consolidated, p.4 of audit)</t>
  </si>
  <si>
    <t>Source — Grants &amp; Contracts</t>
  </si>
  <si>
    <t>$560,696K (FY25 consolidated, p.4 of audit)</t>
  </si>
  <si>
    <t>Source — Fringe Rate</t>
  </si>
  <si>
    <t>28.5% (Fringe $982,282K ÷ Salaries $3,446,652K, FY25)</t>
  </si>
  <si>
    <t>Source — Total Compensation</t>
  </si>
  <si>
    <t>$4,428,934K consolidated FY25</t>
  </si>
  <si>
    <t>Cancer Center Allocation</t>
  </si>
  <si>
    <t>Approx. 6–8% of UR research enterprise (NCI-designated)</t>
  </si>
  <si>
    <t>Built By</t>
  </si>
  <si>
    <t>WORKBOOK MAP</t>
  </si>
  <si>
    <t>1. Cover</t>
  </si>
  <si>
    <t>This page — context, sources, conventions, color legend.</t>
  </si>
  <si>
    <t>2. Assumptions</t>
  </si>
  <si>
    <t>All driver inputs: rates, ramps, headcount, indirect cost rate, scenario selector.</t>
  </si>
  <si>
    <t>FY2025 monthly budget vs. actual with $ and % variance + commentary cells.</t>
  </si>
  <si>
    <t>Departmental income statement: revenue, comp, supplies, F&amp;A recovery → Net margin.</t>
  </si>
  <si>
    <t>FY2026–FY2030 driver-based forecast: enrollment × per-patient revenue × growth.</t>
  </si>
  <si>
    <t>Trial-level decision support: NPV / break-even / accrual sensitivity per study.</t>
  </si>
  <si>
    <t>Grant portfolio + Indirect Cost (F&amp;A) recovery analysis (federal vs industry sponsors).</t>
  </si>
  <si>
    <t>Executive KPI dashboard: margin, cost per patient, RVU, productivity, days cash.</t>
  </si>
  <si>
    <t>9. Scenarios</t>
  </si>
  <si>
    <t>Base / Upside / Downside — accrual rate, sponsor mix, NIH funding level.</t>
  </si>
  <si>
    <t>Investment Committee one-pager: thesis, hurdles, recommendation.</t>
  </si>
  <si>
    <t>COLOR &amp; FORMATTING CONVENTIONS</t>
  </si>
  <si>
    <t>Blue text</t>
  </si>
  <si>
    <t>Hardcoded inputs / drivers (user-editable)</t>
  </si>
  <si>
    <t>Black text</t>
  </si>
  <si>
    <t>Formulas and calculations within the same tab</t>
  </si>
  <si>
    <t>Green text</t>
  </si>
  <si>
    <t>Cross-sheet links to other tabs</t>
  </si>
  <si>
    <t>Yellow fill</t>
  </si>
  <si>
    <t>Key assumption — attention required</t>
  </si>
  <si>
    <t>Light-blue fill</t>
  </si>
  <si>
    <t>Sub-totals and grand totals</t>
  </si>
  <si>
    <t>Green text (variance)</t>
  </si>
  <si>
    <t>FAVORABLE variance vs. budget</t>
  </si>
  <si>
    <t>Red text (variance)</t>
  </si>
  <si>
    <t>UNFAVORABLE variance vs. budget</t>
  </si>
  <si>
    <t>DISCLAIMER: This model uses University of Rochester's audited FY2025 consolidated figures as the macro anchor. Department-level allocations to the Wilmot Cancer Center / Clinical Trials Office are illustrative — actual department-level data is not in the public audit and would be available via internal Workday reporting. Numbers are scaled to plausible departmental size for an NCI-designated cancer center clinical trials office.</t>
  </si>
  <si>
    <t>ASSUMPTIONS &amp; DRIVERS</t>
  </si>
  <si>
    <t>Blue cells = inputs. Scenario selector at C6 drives Base/Upside/Downside.</t>
  </si>
  <si>
    <t>SCENARIO SELECTOR</t>
  </si>
  <si>
    <t>Active Scenario (1=Base, 2=Upside, 3=Downside)</t>
  </si>
  <si>
    <t>Driver</t>
  </si>
  <si>
    <t>Base</t>
  </si>
  <si>
    <t>Upside</t>
  </si>
  <si>
    <t>Downside</t>
  </si>
  <si>
    <t>ACTIVE</t>
  </si>
  <si>
    <t>Unit</t>
  </si>
  <si>
    <t>Notes / Source</t>
  </si>
  <si>
    <t>1. UR FY2025 MACRO ANCHORS (from audited consolidated statements)</t>
  </si>
  <si>
    <t>Total Patient Care Revenue ($K)</t>
  </si>
  <si>
    <t>$K</t>
  </si>
  <si>
    <t>Audit p.4 — Hospital + faculty practice</t>
  </si>
  <si>
    <t>Total Grants &amp; Contracts Revenue ($K)</t>
  </si>
  <si>
    <t>Audit p.4</t>
  </si>
  <si>
    <t>Total Operating Revenue ($K)</t>
  </si>
  <si>
    <t>Total Compensation ($K)</t>
  </si>
  <si>
    <t>Salaries + fringe, audit p.4</t>
  </si>
  <si>
    <t>Total Operating Expenses ($K)</t>
  </si>
  <si>
    <t>Operating Margin</t>
  </si>
  <si>
    <t>%</t>
  </si>
  <si>
    <t>$148.2M / $7.62B — audit p.4</t>
  </si>
  <si>
    <t>Implied Fringe Rate</t>
  </si>
  <si>
    <t>$982,282 / $3,446,652 = 28.5%, audit p.4</t>
  </si>
  <si>
    <t>2. WILMOT CANCER CENTER — CTO SCALE (illustrative allocation)</t>
  </si>
  <si>
    <t>CTO % of UR Research Portfolio</t>
  </si>
  <si>
    <t>Wilmot is NCI-designated; ~7% of UR research</t>
  </si>
  <si>
    <t>Active Open Trials (count)</t>
  </si>
  <si>
    <t>trials</t>
  </si>
  <si>
    <t>Mid-size NCI center range 150-250</t>
  </si>
  <si>
    <t>Patient Accruals per Year</t>
  </si>
  <si>
    <t>patients</t>
  </si>
  <si>
    <t>Wilmot avg ~1,200 accruals/yr historically</t>
  </si>
  <si>
    <t>Avg Revenue per Patient (Industry)</t>
  </si>
  <si>
    <t>$</t>
  </si>
  <si>
    <t>Industry-sponsored trial avg per patient</t>
  </si>
  <si>
    <t>Avg Revenue per Patient (Federal)</t>
  </si>
  <si>
    <t>NIH/NCI cooperative group avg per pt</t>
  </si>
  <si>
    <t>Industry vs Federal Mix (% Industry)</t>
  </si>
  <si>
    <t>Higher industry % = higher margin</t>
  </si>
  <si>
    <t>3. HEADCOUNT (Clinical Trials Office staff)</t>
  </si>
  <si>
    <t>Clinical Research Coordinators (CRC)</t>
  </si>
  <si>
    <t>FTE</t>
  </si>
  <si>
    <t>1 CRC per ~45 active accruals</t>
  </si>
  <si>
    <t>Clinical Research Associates (CRA/Mgrs)</t>
  </si>
  <si>
    <t>Regulatory Specialists</t>
  </si>
  <si>
    <t>Data Managers</t>
  </si>
  <si>
    <t>Finance &amp; Billing Analysts</t>
  </si>
  <si>
    <t>The role you're applying to sits here</t>
  </si>
  <si>
    <t>Leadership (CTO Director, Mgrs)</t>
  </si>
  <si>
    <t>Avg Loaded Salary per FTE ($)</t>
  </si>
  <si>
    <t>Excludes fringe; UR HRG range avg</t>
  </si>
  <si>
    <t>4. COST DRIVERS</t>
  </si>
  <si>
    <t>Fringe Benefit Rate</t>
  </si>
  <si>
    <t>Anchored to FY25 audit</t>
  </si>
  <si>
    <t>Annual Salary Inflation</t>
  </si>
  <si>
    <t>Merit + market adjustments</t>
  </si>
  <si>
    <t>Supplies &amp; Lab Cost per Accrual</t>
  </si>
  <si>
    <t>Lab tests, drugs, consumables</t>
  </si>
  <si>
    <t>Supplies Cost Inflation</t>
  </si>
  <si>
    <t>Healthcare CPI elevated post-COVID</t>
  </si>
  <si>
    <t>IT/Software per FTE</t>
  </si>
  <si>
    <t>EDC, CTMS, REDCap licenses</t>
  </si>
  <si>
    <t>Occupancy/Facilities ($K/year)</t>
  </si>
  <si>
    <t>Allocated from URMC</t>
  </si>
  <si>
    <t>Travel &amp; Conference per FTE</t>
  </si>
  <si>
    <t>Other G&amp;A ($K/year)</t>
  </si>
  <si>
    <t>5. INDIRECT COST RECOVERY (F&amp;A)</t>
  </si>
  <si>
    <t>Federal F&amp;A Rate (Negotiated)</t>
  </si>
  <si>
    <t>UR's federally negotiated rate ~62.5% MTDC</t>
  </si>
  <si>
    <t>Industry F&amp;A Rate</t>
  </si>
  <si>
    <t>Industry sponsors typically pay 25-30%</t>
  </si>
  <si>
    <t>Foundation F&amp;A Rate</t>
  </si>
  <si>
    <t>Most foundations cap F&amp;A at 10-15%</t>
  </si>
  <si>
    <t>% of Trial Revenue Subject to F&amp;A</t>
  </si>
  <si>
    <t>Direct costs subject to F&amp;A; some pass-throughs excluded</t>
  </si>
  <si>
    <t>6. PRODUCTIVITY &amp; VOLUME DRIVERS</t>
  </si>
  <si>
    <t>Avg Trial Duration (months)</t>
  </si>
  <si>
    <t>months</t>
  </si>
  <si>
    <t>Industry trials avg 3 years</t>
  </si>
  <si>
    <t>Trial Activation Cycle Time (days)</t>
  </si>
  <si>
    <t>days</t>
  </si>
  <si>
    <t>Days from PI submission to first patient</t>
  </si>
  <si>
    <t>Screen Failure Rate</t>
  </si>
  <si>
    <t>% screened patients who don't enroll</t>
  </si>
  <si>
    <t>Patient Drop-Out Rate</t>
  </si>
  <si>
    <t>Avg Patient Visits per Trial</t>
  </si>
  <si>
    <t>visits</t>
  </si>
  <si>
    <t>Drives RVU and per-patient revenue</t>
  </si>
  <si>
    <t>7. ANNUAL GROWTH RATES (FY26-FY30)</t>
  </si>
  <si>
    <t>Trial Accrual Volume Growth</t>
  </si>
  <si>
    <t>%/yr</t>
  </si>
  <si>
    <t>Industry growth + Wilmot expansion plans</t>
  </si>
  <si>
    <t>Industry-Sponsor Revenue Growth</t>
  </si>
  <si>
    <t>Per-patient industry rates rising</t>
  </si>
  <si>
    <t>Federal Funding Growth (NIH/NCI)</t>
  </si>
  <si>
    <t>Downside reflects potential NIH budget cuts</t>
  </si>
  <si>
    <t>8. WORKING CAPITAL &amp; TIMING</t>
  </si>
  <si>
    <t>Days Sales Outstanding (Industry)</t>
  </si>
  <si>
    <t>Industry sponsors slower-paying</t>
  </si>
  <si>
    <t>Days Sales Outstanding (Federal)</t>
  </si>
  <si>
    <t>% Revenue Recognized Upfront</t>
  </si>
  <si>
    <t>Site initiation fees recognized upfront</t>
  </si>
  <si>
    <t>9. KPI TARGETS / HURDLES</t>
  </si>
  <si>
    <t>Target Operating Margin (CTO)</t>
  </si>
  <si>
    <t>Industry CTO benchmark ~6-10%</t>
  </si>
  <si>
    <t>Target Cost per Accrual ($)</t>
  </si>
  <si>
    <t>Industry benchmark for academic CTOs</t>
  </si>
  <si>
    <t>Target Activation &lt; (days)</t>
  </si>
  <si>
    <t>NCI guideline ~150 days</t>
  </si>
  <si>
    <t>Target Days Cash on Hand</t>
  </si>
  <si>
    <t>FY2025 BUDGET vs. ACTUAL — MONTHLY P&amp;L WITH VARIANCE</t>
  </si>
  <si>
    <t>Wilmot Cancer Center — Clinical Trials Office  |  Variance commentary in column S</t>
  </si>
  <si>
    <t>Line Item ($000s)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</si>
  <si>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</si>
  <si>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</si>
  <si>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</si>
  <si>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</si>
  <si>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</si>
  <si>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</si>
  <si>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</si>
  <si>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</si>
  <si>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</si>
  <si>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</si>
  <si>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</si>
  <si>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</si>
  <si>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FY25 Actual</t>
  </si>
  <si>
    <t>FY25 Budget</t>
  </si>
  <si>
    <t>Var $ (F/U)</t>
  </si>
  <si>
    <t>Var %</t>
  </si>
  <si>
    <t>Variance Commentary</t>
  </si>
  <si>
    <t>REVENUE ($000s)</t>
  </si>
  <si>
    <t>Industry-Sponsored Trial Revenue</t>
  </si>
  <si>
    <t>Favorable: 4 new pharma trials activated Q1, plus 12% higher per-patient drug reimbursement than budgeted on 2 oncology trials.</t>
  </si>
  <si>
    <t>Federal Grants &amp; Contracts (NIH/NCI)</t>
  </si>
  <si>
    <t>Slightly unfavorable: 1 R01 renewal delayed 60 days due to NIH study section reschedule. Recovered by Q4.</t>
  </si>
  <si>
    <t>Foundation &amp; Philanthropic Grants</t>
  </si>
  <si>
    <t>Below budget — 1 expected $200K LLS grant deferred to FY26.</t>
  </si>
  <si>
    <t>Cooperative Group (NCI Coop)</t>
  </si>
  <si>
    <t>On plan; SWOG and Alliance accruals tracking budget.</t>
  </si>
  <si>
    <t>Indirect Cost Recovery (F&amp;A)</t>
  </si>
  <si>
    <t>Slightly favorable; reflects strong industry mix at 30% F&amp;A vs federal 62.5%.</t>
  </si>
  <si>
    <t>TOTAL REVENUE</t>
  </si>
  <si>
    <t>Net favorable revenue variance ~$0.4M (1.2%) driven by industry trial portfolio outperformance.</t>
  </si>
  <si>
    <t>OPERATING EXPENSES ($000s)</t>
  </si>
  <si>
    <t>Salaries &amp; Wages</t>
  </si>
  <si>
    <t>Slightly unfavorable Q4: 2 senior CRC hires accelerated to support new trial activations; offset by Q1 vacancies.</t>
  </si>
  <si>
    <t>Fringe Benefits (28.5% rate)</t>
  </si>
  <si>
    <t>Tracks salaries; rate consistent with UR audit FY25 fringe rate of 28.5%.</t>
  </si>
  <si>
    <t>Total Compensation</t>
  </si>
  <si>
    <t>Lab &amp; Clinical Supplies</t>
  </si>
  <si>
    <t>Unfavorable Q3-Q4: 2 trial protocols required higher-than-expected biomarker assay costs.</t>
  </si>
  <si>
    <t>Investigator Effort (% Faculty Time)</t>
  </si>
  <si>
    <t>Slightly unfavorable; PI effort increased on 3 high-enrolling trials.</t>
  </si>
  <si>
    <t>Direct Trial Pass-Through (Drugs/Imaging/Ancillary)</t>
  </si>
  <si>
    <t>Largest cost line: drugs (sponsor-supplied + standard-of-care), imaging, ancillary lab, infusion services. Tracks revenue volume.</t>
  </si>
  <si>
    <t>IT, Software &amp; EDC Licenses</t>
  </si>
  <si>
    <t>Marginal increase from CTMS license tier upgrade Q4.</t>
  </si>
  <si>
    <t>Travel &amp; Conferences</t>
  </si>
  <si>
    <t>On plan; ASCO + ASH attendance per FY25 plan.</t>
  </si>
  <si>
    <t>Occupancy &amp; Facilities Allocation</t>
  </si>
  <si>
    <t>Flat; URMC-allocated.</t>
  </si>
  <si>
    <t>Other G&amp;A (Recruiting, Misc.)</t>
  </si>
  <si>
    <t>Slight overage from active recruiting for 4 open CRC positions.</t>
  </si>
  <si>
    <t>Allocated Overhead (URMC central)</t>
  </si>
  <si>
    <t>Tracks revenue allocation methodology.</t>
  </si>
  <si>
    <t>TOTAL OPERATING EXPENSES</t>
  </si>
  <si>
    <t>Modest unfavorable expense variance ~$0.2M, mostly comp + supplies. Within tolerance.</t>
  </si>
  <si>
    <t>NET OPERATING INCOME / MARGIN</t>
  </si>
  <si>
    <t>Net Operating Income (Loss)</t>
  </si>
  <si>
    <t>FY25 NOI: actuals beat budget by combined revenue overperformance and disciplined expense management.</t>
  </si>
  <si>
    <t>Operating Margin %</t>
  </si>
  <si>
    <t>EXECUTIVE VARIANCE SUMMARY</t>
  </si>
  <si>
    <t>FY2025 RESULTS:  Total revenue of $33.3M vs. $33.0M budget (+$0.3M, +0.9%) driven by industry trial portfolio outperformance (+$0.7M favorable) partially offset by federal grant timing (-$0.2M) and foundation deferral (-$0.1M). Total expenses of $30.4M vs. $30.2M budget (+$0.2M unfavorable, +0.7%) — disciplined relative to revenue growth. Net Operating Income of $2.9M (8.7% margin) beats budget by $0.1M, supporting reinvestment in CRC headcount expansion for FY26.</t>
  </si>
  <si>
    <t>DEPARTMENTAL / PROGRAM INCOME STATEMENT</t>
  </si>
  <si>
    <t>Wilmot Cancer Center Clinical Trials Office  |  FY24 Actual vs FY25 Actual vs FY26 Budget</t>
  </si>
  <si>
    <t>FY24 Actual</t>
  </si>
  <si>
    <t>FY26 Budget</t>
  </si>
  <si>
    <t>YoY Growth</t>
  </si>
  <si>
    <t>Notes</t>
  </si>
  <si>
    <t>REVENUE</t>
  </si>
  <si>
    <t>Pharma sponsor portfolio expansion driving growth</t>
  </si>
  <si>
    <t>NIH funding flat-to-slow growth in FY26</t>
  </si>
  <si>
    <t>Modest 3% growth assumed</t>
  </si>
  <si>
    <t>Stable cooperative group accruals</t>
  </si>
  <si>
    <t>Tracks accrual volume growth</t>
  </si>
  <si>
    <t>Total Revenue</t>
  </si>
  <si>
    <t>OPERATING EXPENSES</t>
  </si>
  <si>
    <t>Merit + market increases</t>
  </si>
  <si>
    <t>Fringe Benefits</t>
  </si>
  <si>
    <t>28.5% of salaries (FY25 audit)</t>
  </si>
  <si>
    <t>Inflation + volume growth</t>
  </si>
  <si>
    <t>Investigator Effort</t>
  </si>
  <si>
    <t>Tracks salary inflation</t>
  </si>
  <si>
    <t>Patient Care Costs</t>
  </si>
  <si>
    <t>Inflation</t>
  </si>
  <si>
    <t>IT, Software &amp; EDC</t>
  </si>
  <si>
    <t>5% software cost growth</t>
  </si>
  <si>
    <t>Modest growth</t>
  </si>
  <si>
    <t>Occupancy &amp; Facilities</t>
  </si>
  <si>
    <t>URMC allocation</t>
  </si>
  <si>
    <t>Other G&amp;A</t>
  </si>
  <si>
    <t>Recruiting + admin</t>
  </si>
  <si>
    <t>Allocated Overhead (URMC)</t>
  </si>
  <si>
    <t>Tracks revenue/volume</t>
  </si>
  <si>
    <t>Total Operating Expenses</t>
  </si>
  <si>
    <t>NET OPERATING INCOME</t>
  </si>
  <si>
    <t>Net Operating Income</t>
  </si>
  <si>
    <t>Industry CTO benchmark 6-10%</t>
  </si>
  <si>
    <t>REVENUE MIX ANALYSIS</t>
  </si>
  <si>
    <t>Industry as % of Total Revenue</t>
  </si>
  <si>
    <t>Federal as % of Total Revenue</t>
  </si>
  <si>
    <t>F&amp;A as % of Total Revenue</t>
  </si>
  <si>
    <t>Comp as % of Total OpEx</t>
  </si>
  <si>
    <t>Direct Trial Costs % of OpEx</t>
  </si>
  <si>
    <t>5-YEAR STRATEGIC FORECAST — DRIVER-BASED</t>
  </si>
  <si>
    <t>FY26-FY30  |  Revenue: Accruals × per-patient rate × growth  |  Expenses: per-FTE + per-accrual</t>
  </si>
  <si>
    <t>Active Scenario:</t>
  </si>
  <si>
    <t>Driver / Line Item</t>
  </si>
  <si>
    <t>FY2026</t>
  </si>
  <si>
    <t>FY2027</t>
  </si>
  <si>
    <t>FY2028</t>
  </si>
  <si>
    <t>FY2029</t>
  </si>
  <si>
    <t>FY2030</t>
  </si>
  <si>
    <t>5-Yr CAGR</t>
  </si>
  <si>
    <t>OPERATING DRIVERS (Volume)</t>
  </si>
  <si>
    <t>Growth from Assumptions F60</t>
  </si>
  <si>
    <t xml:space="preserve">  Industry-Sponsored Accruals</t>
  </si>
  <si>
    <t>Mix from Assumptions F25</t>
  </si>
  <si>
    <t xml:space="preserve">  Federal/Coop Accruals</t>
  </si>
  <si>
    <t>Remainder</t>
  </si>
  <si>
    <t>Industry Rev per Patient ($)</t>
  </si>
  <si>
    <t>Inflation per F61</t>
  </si>
  <si>
    <t>Federal Rev per Patient ($)</t>
  </si>
  <si>
    <t>Federal funding growth F62</t>
  </si>
  <si>
    <t>REVENUE BUILD ($000s)</t>
  </si>
  <si>
    <t>Volume × rate</t>
  </si>
  <si>
    <t>Federal/Coop Revenue</t>
  </si>
  <si>
    <t>Foundation/Philanthropic Grants</t>
  </si>
  <si>
    <t>3% inflator</t>
  </si>
  <si>
    <t>Federal 62.5% × Industry 30%</t>
  </si>
  <si>
    <t>EXPENSE BUILD ($000s)</t>
  </si>
  <si>
    <t>Total CTO Headcount (FTE)</t>
  </si>
  <si>
    <t>2.5% headcount growth</t>
  </si>
  <si>
    <t>Headcount × salary × inflation</t>
  </si>
  <si>
    <t>28.5% rate</t>
  </si>
  <si>
    <t>Accruals × $/accrual × infl</t>
  </si>
  <si>
    <t>All Other OpEx (G&amp;A, Occ, IT, Travel, OH)</t>
  </si>
  <si>
    <t>3.5% blended growth</t>
  </si>
  <si>
    <t>Target ≥ 8%</t>
  </si>
  <si>
    <t>Cost per Accrual ($)</t>
  </si>
  <si>
    <t>Target ≤ $14K</t>
  </si>
  <si>
    <t>Revenue per Accrual ($)</t>
  </si>
  <si>
    <t>Volume-weighted blended</t>
  </si>
  <si>
    <t>TRIAL-LEVEL DECISION SUPPORT — PORTFOLIO ANALYSIS</t>
  </si>
  <si>
    <t>Per-trial economics — feasibility scoring, break-even, NPV, accrual sensitivity</t>
  </si>
  <si>
    <t>ACTIVE TRIAL PORTFOLIO — DECISION SUPPORT GRID</t>
  </si>
  <si>
    <t>Trial / Protocol ID</t>
  </si>
  <si>
    <t>Sponsor Type</t>
  </si>
  <si>
    <t>Phase</t>
  </si>
  <si>
    <t>Target Accrual</t>
  </si>
  <si>
    <t>Per-Patient Rev</t>
  </si>
  <si>
    <t>Trial Duration (mo)</t>
  </si>
  <si>
    <t>Total Direct Rev</t>
  </si>
  <si>
    <t>Total Direct Cost</t>
  </si>
  <si>
    <t>Net Margin $</t>
  </si>
  <si>
    <t>Net Margin %</t>
  </si>
  <si>
    <t>Recommendation</t>
  </si>
  <si>
    <t>WI-2024-001 Pembrolizumab+Chemo</t>
  </si>
  <si>
    <t>Industry</t>
  </si>
  <si>
    <t>Phase III</t>
  </si>
  <si>
    <t>WI-2024-007 CAR-T Cell Therapy</t>
  </si>
  <si>
    <t>Phase II</t>
  </si>
  <si>
    <t>WI-2023-014 ADC Combo NHL</t>
  </si>
  <si>
    <t>Phase Ib/II</t>
  </si>
  <si>
    <t>WI-2024-019 BTK Inhibitor MCL</t>
  </si>
  <si>
    <t>WI-2023-008 Targeted Therapy GBM</t>
  </si>
  <si>
    <t>NCI-9921 SWOG Lung Adenocarcinoma</t>
  </si>
  <si>
    <t>Federal</t>
  </si>
  <si>
    <t>NCI-A032201 Alliance Breast</t>
  </si>
  <si>
    <t>NCT-Foundation Pediatric AML</t>
  </si>
  <si>
    <t>Foundation</t>
  </si>
  <si>
    <t>NCI-Coop Colorectal MRD</t>
  </si>
  <si>
    <t>Coop</t>
  </si>
  <si>
    <t>WI-2024-022 Investigator-Init</t>
  </si>
  <si>
    <t>Phase Ib</t>
  </si>
  <si>
    <t>Portfolio Totals</t>
  </si>
  <si>
    <t>Weighted-avg portfolio</t>
  </si>
  <si>
    <t>DEEP-DIVE: SINGLE TRIAL NPV ANALYSIS — WI-2024-001 (Pembrolizumab+Chemo)</t>
  </si>
  <si>
    <t>Year of Trial</t>
  </si>
  <si>
    <t>Y0 (Setup)</t>
  </si>
  <si>
    <t>Y1</t>
  </si>
  <si>
    <t>Y2</t>
  </si>
  <si>
    <t>Y3</t>
  </si>
  <si>
    <t>Y4 (Closeout)</t>
  </si>
  <si>
    <t>Total</t>
  </si>
  <si>
    <t>Site Activation &amp; Setup Cost</t>
  </si>
  <si>
    <t>IRB, contracts, training</t>
  </si>
  <si>
    <t>+ Site Initiation Fee (Sponsor)</t>
  </si>
  <si>
    <t>Per pharma contract</t>
  </si>
  <si>
    <t>Patient Accruals (count)</t>
  </si>
  <si>
    <t>Should sum to 85 (target)</t>
  </si>
  <si>
    <t>+ Per-Patient Revenue</t>
  </si>
  <si>
    <t>Pulled from portfolio table F8</t>
  </si>
  <si>
    <t>+ Closeout / Final Reporting Fee</t>
  </si>
  <si>
    <t>Database lock + final report</t>
  </si>
  <si>
    <t>- Direct Costs (per-patient)</t>
  </si>
  <si>
    <t>Per-patient direct cost from portfolio</t>
  </si>
  <si>
    <t>- CRC Effort Allocated</t>
  </si>
  <si>
    <t>Loaded with fringe</t>
  </si>
  <si>
    <t>Net Cash Flow</t>
  </si>
  <si>
    <t>TRIAL ECONOMICS — NPV / IRR / BREAK-EVEN</t>
  </si>
  <si>
    <t>Discount Rate (Cost of Capital)</t>
  </si>
  <si>
    <t>UR cost of capital</t>
  </si>
  <si>
    <t>Total Trial Direct Revenue</t>
  </si>
  <si>
    <t>Includes setup + per-pt + closeout</t>
  </si>
  <si>
    <t>Total Trial Direct Cost</t>
  </si>
  <si>
    <t>Setup + per-pt + CRC effort</t>
  </si>
  <si>
    <t>Total Trial Net Margin</t>
  </si>
  <si>
    <t>Sum of cash flows</t>
  </si>
  <si>
    <t>Margin %</t>
  </si>
  <si>
    <t>NPV @ Discount Rate</t>
  </si>
  <si>
    <t>Discounted at C33 above</t>
  </si>
  <si>
    <t>Trial IRR</t>
  </si>
  <si>
    <t>Internal rate of return</t>
  </si>
  <si>
    <t>Break-Even Patients</t>
  </si>
  <si>
    <t>Patients needed for $0 NPV</t>
  </si>
  <si>
    <t>Per-Patient Margin Contribution</t>
  </si>
  <si>
    <t>Marginal per-patient profit</t>
  </si>
  <si>
    <t>ACCRUAL × PER-PATIENT REV SENSITIVITY — Net Margin $</t>
  </si>
  <si>
    <t>Accruals ↓ / Per-Pt Rev →</t>
  </si>
  <si>
    <t>Note: Gold cell = base case (85 accruals × $28,500/pt)</t>
  </si>
  <si>
    <t>GRANT PORTFOLIO &amp; INDIRECT COST (F&amp;A) RECOVERY</t>
  </si>
  <si>
    <t>Direct vs Indirect cost recovery analysis by sponsor type</t>
  </si>
  <si>
    <t>F&amp;A RECOVERY BY SPONSOR CATEGORY</t>
  </si>
  <si>
    <t>Sponsor Category</t>
  </si>
  <si>
    <t># of Awards</t>
  </si>
  <si>
    <t>Total Direct $ (FY25)</t>
  </si>
  <si>
    <t>F&amp;A Rate</t>
  </si>
  <si>
    <t>F&amp;A Recovered $</t>
  </si>
  <si>
    <t>% of Total F&amp;A</t>
  </si>
  <si>
    <t>MTDC Eligibility</t>
  </si>
  <si>
    <t>Federal — NIH/NCI R01 Grants</t>
  </si>
  <si>
    <t>Modified Total Direct Cost</t>
  </si>
  <si>
    <t>62.5% federally negotiated rate</t>
  </si>
  <si>
    <t>Federal — NCI Cancer Center Support</t>
  </si>
  <si>
    <t>MTDC</t>
  </si>
  <si>
    <t>P30 grant indirect</t>
  </si>
  <si>
    <t>Federal — Cooperative Group</t>
  </si>
  <si>
    <t>Coop group rate</t>
  </si>
  <si>
    <t>SWOG/Alliance lower IDC rate</t>
  </si>
  <si>
    <t>Industry — Pharma Sponsor</t>
  </si>
  <si>
    <t>Total contract</t>
  </si>
  <si>
    <t>Industry typically 25-30%</t>
  </si>
  <si>
    <t>Foundation — LLS, ACS, etc.</t>
  </si>
  <si>
    <t>Capped F&amp;A</t>
  </si>
  <si>
    <t>Most foundations cap at 10-15%</t>
  </si>
  <si>
    <t>Industry — Biotech Sponsor</t>
  </si>
  <si>
    <t>Smaller biotech, similar 25-30%</t>
  </si>
  <si>
    <t>Blended</t>
  </si>
  <si>
    <t>Effective rate ≠ federal rate due to mix</t>
  </si>
  <si>
    <t>F&amp;A RECOVERY ANALYSIS — KEY METRICS</t>
  </si>
  <si>
    <t>Total Direct Costs (Sponsored Funds)</t>
  </si>
  <si>
    <t>Sum of all sponsor categories</t>
  </si>
  <si>
    <t>Total F&amp;A Recovered</t>
  </si>
  <si>
    <t>Indirect cost reimbursement</t>
  </si>
  <si>
    <t>Blended F&amp;A Recovery Rate</t>
  </si>
  <si>
    <t>Lower than federal rate due to industry/foundation</t>
  </si>
  <si>
    <t>F&amp;A as % of Total Sponsored Revenue</t>
  </si>
  <si>
    <t>F&amp;A share of $-in-the-door</t>
  </si>
  <si>
    <t>Federal F&amp;A Recovery</t>
  </si>
  <si>
    <t>From federal grants only</t>
  </si>
  <si>
    <t>Industry F&amp;A Recovery</t>
  </si>
  <si>
    <t>From industry sponsors</t>
  </si>
  <si>
    <t>Foundation F&amp;A Recovery</t>
  </si>
  <si>
    <t>Capped recovery</t>
  </si>
  <si>
    <t>F&amp;A Funding Gap (vs Federal Rate)</t>
  </si>
  <si>
    <t>What we'd recover at federal rate everywhere</t>
  </si>
  <si>
    <t>STRATEGIC OBSERVATIONS — FY26 F&amp;A OPTIMIZATION</t>
  </si>
  <si>
    <t>KEY FINDING — F&amp;A LEAKAGE:  Industry-sponsored trials at 30% F&amp;A vs federal 62.5% represent significant indirect cost leakage. If 50% of new industry contracts in FY26 can be negotiated to 35% F&amp;A (achievable per industry benchmark), incremental annual F&amp;A recovery would be ~$280K-$350K. 
FOUNDATION GRANTS — DIVERSIFICATION:  Foundation portfolio (capped at 15% F&amp;A) generates positive direct margin but underwhelming F&amp;A. Recommend prioritizing foundation grants that convert into NIH R01 prelim data — downstream federal F&amp;A capture justifies the upfront F&amp;A discount. 
ACTION ITEM:  Quarterly F&amp;A recovery review with VP of Research; targeted negotiations on top-10 industry contracts at renewal.</t>
  </si>
  <si>
    <t>EXECUTIVE KPI DASHBOARD</t>
  </si>
  <si>
    <t>Wilmot Cancer Center — Clinical Trials Office
FY2026 Operating Performance &amp; Financial Health</t>
  </si>
  <si>
    <t>ACTIVE SCENARIO:</t>
  </si>
  <si>
    <t>FINANCIAL PERFORMANCE</t>
  </si>
  <si>
    <t>FY26 BUDGET REVENUE</t>
  </si>
  <si>
    <t>FY26 BUDGET OPEX</t>
  </si>
  <si>
    <t>FY26 BUDGET NOI</t>
  </si>
  <si>
    <t>FY26 OP MARGIN %</t>
  </si>
  <si>
    <t>FY25 ACTUAL NOI</t>
  </si>
  <si>
    <t>FY25 vs BUDGET</t>
  </si>
  <si>
    <t>FY25 OP MARGIN %</t>
  </si>
  <si>
    <t>5-YR REV CAGR</t>
  </si>
  <si>
    <t>OPERATIONAL KPIs</t>
  </si>
  <si>
    <t>ACTIVE TRIALS</t>
  </si>
  <si>
    <t>PATIENT ACCRUALS</t>
  </si>
  <si>
    <t>TRIAL ACTIVATION (DAYS)</t>
  </si>
  <si>
    <t>TOTAL CTO HEADCOUNT</t>
  </si>
  <si>
    <t>UNIT ECONOMICS</t>
  </si>
  <si>
    <t>REV / ACCRUAL</t>
  </si>
  <si>
    <t>COST / ACCRUAL</t>
  </si>
  <si>
    <t>MARGIN / ACCRUAL</t>
  </si>
  <si>
    <t>REV / FTE</t>
  </si>
  <si>
    <t>F&amp;A INDIRECT COST RECOVERY</t>
  </si>
  <si>
    <t>TOTAL F&amp;A RECOVERED</t>
  </si>
  <si>
    <t>BLENDED F&amp;A RATE</t>
  </si>
  <si>
    <t>FEDERAL F&amp;A SHARE</t>
  </si>
  <si>
    <t>INDUSTRY F&amp;A SHARE</t>
  </si>
  <si>
    <t>5-YEAR TRAJECTORY</t>
  </si>
  <si>
    <t>Metric</t>
  </si>
  <si>
    <t>FY26</t>
  </si>
  <si>
    <t>FY27</t>
  </si>
  <si>
    <t>FY28</t>
  </si>
  <si>
    <t>FY29</t>
  </si>
  <si>
    <t>FY30</t>
  </si>
  <si>
    <t>5Y CAGR</t>
  </si>
  <si>
    <t>Patient Accruals</t>
  </si>
  <si>
    <t>Total Revenue ($K)</t>
  </si>
  <si>
    <t>Total OpEx ($K)</t>
  </si>
  <si>
    <t>Net Operating Income ($K)</t>
  </si>
  <si>
    <t>SCENARIO ANALYSIS — BASE / UPSIDE / DOWNSIDE</t>
  </si>
  <si>
    <t>Switch C6 on Assumptions tab to flip scenarios. ACTIVE column shows live scenario.</t>
  </si>
  <si>
    <t>Comment</t>
  </si>
  <si>
    <t>KEY INPUTS BY SCENARIO</t>
  </si>
  <si>
    <t>Patient Accruals / Year</t>
  </si>
  <si>
    <t>Volume driver</t>
  </si>
  <si>
    <t>Active Open Trials</t>
  </si>
  <si>
    <t>Portfolio breadth</t>
  </si>
  <si>
    <t>Industry Mix %</t>
  </si>
  <si>
    <t>Higher = better margin</t>
  </si>
  <si>
    <t>Industry Rev / Patient</t>
  </si>
  <si>
    <t>Pharma per-patient $</t>
  </si>
  <si>
    <t>Federal Rev / Patient</t>
  </si>
  <si>
    <t>NIH per-patient $</t>
  </si>
  <si>
    <t>Trial Accrual Growth</t>
  </si>
  <si>
    <t>Annual volume growth</t>
  </si>
  <si>
    <t>Federal Funding Growth</t>
  </si>
  <si>
    <t>Downside = NIH cuts</t>
  </si>
  <si>
    <t>Trial Activation Days</t>
  </si>
  <si>
    <t>Lower = better</t>
  </si>
  <si>
    <t>Federal F&amp;A Rate</t>
  </si>
  <si>
    <t>62.5% UR negotiated</t>
  </si>
  <si>
    <t>Negotiated per-trial</t>
  </si>
  <si>
    <t>ACTIVE SCENARIO OUTPUTS (live)</t>
  </si>
  <si>
    <t>FY26 Total Revenue ($K)</t>
  </si>
  <si>
    <t>(switch C6 to compare)</t>
  </si>
  <si>
    <t>FY26 Total OpEx ($K)</t>
  </si>
  <si>
    <t>FY26 Net Operating Income ($K)</t>
  </si>
  <si>
    <t>FY26 Operating Margin %</t>
  </si>
  <si>
    <t>FY30 Total Revenue ($K)</t>
  </si>
  <si>
    <t>FY30 Operating Margin %</t>
  </si>
  <si>
    <t>5-Yr Revenue CAGR</t>
  </si>
  <si>
    <t>5-Yr NOI CAGR</t>
  </si>
  <si>
    <t>Cost per Accrual (FY26)</t>
  </si>
  <si>
    <t>F&amp;A Recovered (FY25, $K)</t>
  </si>
  <si>
    <t>SCENARIO NARRATIVES</t>
  </si>
  <si>
    <t>BASE CASE</t>
  </si>
  <si>
    <t>Status quo: 1,250 accruals, $135 ADR equivalent, 55% industry mix, 4% volume growth. NIH funding flat-to-2%. Hits 8% target margin. Model reasonably tracks Wilmot's recent expansion trajectory.</t>
  </si>
  <si>
    <t>UPSIDE CASE</t>
  </si>
  <si>
    <t>Strategic plan succeeds: 1,500 accruals (+20%), 65% industry mix lifts blended per-pt rev, industry F&amp;A negotiated to 32%, NIH funding +4%. Trial activation accelerates to 140 days. Drives ~10% margin and supports CRC team expansion.</t>
  </si>
  <si>
    <t>DOWNSIDE CASE</t>
  </si>
  <si>
    <t>Stress test: 950 accruals (-24%), industry mix slips to 45%, NIH cuts -2%, 7.5% supply cost inflation, 200-day activation cycle. Margin compresses; would require expense management actions including selective trial portfolio pruning.</t>
  </si>
  <si>
    <t>INVESTMENT COMMITTEE SUMMARY</t>
  </si>
  <si>
    <t>Wilmot Cancer Center — Clinical Trials Office
FY2026 Operating Plan: Recommendation &amp; Hurdle Tests</t>
  </si>
  <si>
    <t>RECOMMENDATION</t>
  </si>
  <si>
    <t>APPROVE FY2026 OPERATING PLAN — Wilmot CTO is forecast to deliver $34.5M revenue, $31.4M OpEx, $3.1M NOI (8.9% margin, vs. 8.0% target). Driver-based 5-yr forecast supports 4-7% revenue CAGR with operating leverage from industry mix shift and F&amp;A optimization. Key watchpoints: NIH funding volatility, trial activation cycle time, CRC retention. Recommend approval contingent on quarterly variance review and F&amp;A negotiation tracking.</t>
  </si>
  <si>
    <t>HURDLE TESTS</t>
  </si>
  <si>
    <t>Hurdle</t>
  </si>
  <si>
    <t>Target</t>
  </si>
  <si>
    <t>Actual / Forecast</t>
  </si>
  <si>
    <t>Pass / Fail</t>
  </si>
  <si>
    <t>Operating Margin (FY26)</t>
  </si>
  <si>
    <t>Industry CTO benchmark</t>
  </si>
  <si>
    <t>Cost per Accrual</t>
  </si>
  <si>
    <t>Trial Activation Cycle</t>
  </si>
  <si>
    <t>NCI guideline 150 days</t>
  </si>
  <si>
    <t>Revenue Growth (5-Yr CAGR)</t>
  </si>
  <si>
    <t>≥4% CAGR target</t>
  </si>
  <si>
    <t>Margin protection</t>
  </si>
  <si>
    <t>Maintain neg. rate</t>
  </si>
  <si>
    <t>KEY RISKS &amp; MITIGANTS</t>
  </si>
  <si>
    <t>Risk</t>
  </si>
  <si>
    <t>Likelihood</t>
  </si>
  <si>
    <t>Impact</t>
  </si>
  <si>
    <t>Mitigant</t>
  </si>
  <si>
    <t>NIH funding cuts (5-10%)</t>
  </si>
  <si>
    <t>Med</t>
  </si>
  <si>
    <t>High</t>
  </si>
  <si>
    <t>Diversify into industry; accelerate F&amp;A negotiation</t>
  </si>
  <si>
    <t>CRC retention/turnover</t>
  </si>
  <si>
    <t>Career ladder, market-rate compensation, retention bonuses</t>
  </si>
  <si>
    <t>Trial activation cycle slippage</t>
  </si>
  <si>
    <t>Low</t>
  </si>
  <si>
    <t>Process improvement: parallel IRB/contract review</t>
  </si>
  <si>
    <t>Industry F&amp;A rate compression</t>
  </si>
  <si>
    <t>Standardize floor at 30%; escalate to OSP for &lt;25%</t>
  </si>
  <si>
    <t>Patient accrual shortfall</t>
  </si>
  <si>
    <t>Activate community oncology network; trial portfolio breadth</t>
  </si>
  <si>
    <t>Healthcare CPI elevated &gt;6%</t>
  </si>
  <si>
    <t>Annual budget reforecast; sponsor inflation pass-throughs</t>
  </si>
  <si>
    <t>Prepared by Senior Financial Analyst, Wilmot Cancer Center CTO  |  Data sources: UR Audited FY25 Statements (PwC, 10/17/2025), Workday Financials, OnCore CTMS</t>
  </si>
  <si>
    <t>Rajas Koranne</t>
  </si>
  <si>
    <t>3. Budget Vs. Actual</t>
  </si>
  <si>
    <t>4. Program P&amp;L</t>
  </si>
  <si>
    <t>5. Forecast (5Yr)</t>
  </si>
  <si>
    <t>6. Trial Decision</t>
  </si>
  <si>
    <t>7. Grant F&amp;A</t>
  </si>
  <si>
    <t>8. KPI Dashboard</t>
  </si>
  <si>
    <t>10. IC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</si>
</sst>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\-_);_(@_)"/>
    <numFmt numFmtId="165" formatCode="0.0%;\(0.0%\);\-"/>
    <numFmt numFmtId="166" formatCode="_(\$* #,##0_);_(\$* \(#,##0\);_(\$* \-_);_(@_)"/>
    <numFmt numFmtId="167" formatCode="_(* #,##0.0_);_(* \(#,##0.0\);_(* \-_);_(@_)"/>
  </numFmts>
  <fonts count="20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b/>
      <i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b/>
      <sz val="10"/>
      <color rgb="FF00B050"/>
      <name val="Arial"/>
      <family val="2"/>
    </font>
    <font>
      <b/>
      <sz val="10"/>
      <color rgb="FFC00000"/>
      <name val="Arial"/>
      <family val="2"/>
    </font>
    <font>
      <i/>
      <sz val="9"/>
      <color rgb="FF595959"/>
      <name val="Arial"/>
      <family val="2"/>
    </font>
    <font>
      <b/>
      <sz val="10"/>
      <color rgb="FF0000FF"/>
      <name val="Arial"/>
      <family val="2"/>
    </font>
    <font>
      <b/>
      <sz val="10"/>
      <color rgb="FFFFFFFF"/>
      <name val="Arial"/>
      <family val="2"/>
    </font>
    <font>
      <i/>
      <sz val="9"/>
      <color rgb="FFFFFFFF"/>
      <name val="Arial"/>
      <family val="2"/>
    </font>
    <font>
      <b/>
      <sz val="22"/>
      <color rgb="FFFFFFFF"/>
      <name val="Arial"/>
      <family val="2"/>
    </font>
    <font>
      <b/>
      <sz val="14"/>
      <color rgb="FFC00000"/>
      <name val="Arial"/>
      <family val="2"/>
    </font>
    <font>
      <b/>
      <sz val="9"/>
      <color rgb="FF595959"/>
      <name val="Arial"/>
      <family val="2"/>
    </font>
    <font>
      <b/>
      <sz val="20"/>
      <color rgb="FF1F3864"/>
      <name val="Arial"/>
      <family val="2"/>
    </font>
    <font>
      <b/>
      <sz val="10"/>
      <color rgb="FF008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599"/>
        <bgColor rgb="FF1F3864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EAF1FB"/>
      </patternFill>
    </fill>
    <fill>
      <patternFill patternType="solid">
        <fgColor rgb="FFFFF2CC"/>
        <bgColor rgb="FFFFFCE6"/>
      </patternFill>
    </fill>
    <fill>
      <patternFill patternType="solid">
        <fgColor rgb="FFDDEBF7"/>
        <bgColor rgb="FFD9E1F2"/>
      </patternFill>
    </fill>
    <fill>
      <patternFill patternType="solid">
        <fgColor rgb="FFC00000"/>
        <bgColor rgb="FF800000"/>
      </patternFill>
    </fill>
    <fill>
      <patternFill patternType="solid">
        <fgColor rgb="FFFFFCE6"/>
        <bgColor rgb="FFFFFFFF"/>
      </patternFill>
    </fill>
    <fill>
      <patternFill patternType="solid">
        <fgColor rgb="FF7030A0"/>
        <bgColor rgb="FF993366"/>
      </patternFill>
    </fill>
    <fill>
      <patternFill patternType="solid">
        <fgColor rgb="FFEAF1FB"/>
        <bgColor rgb="FFF2F2F2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D9E1F2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 style="medium">
        <color rgb="FF1F3864"/>
      </bottom>
      <diagonal/>
    </border>
    <border>
      <left/>
      <right/>
      <top style="medium">
        <color rgb="FF1F3864"/>
      </top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4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6" borderId="1" xfId="0" applyFont="1" applyFill="1" applyBorder="1" applyAlignment="1">
      <alignment horizontal="left" vertical="center" indent="1"/>
    </xf>
    <xf numFmtId="0" fontId="8" fillId="7" borderId="1" xfId="0" applyFont="1" applyFill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1" fontId="12" fillId="6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164" fontId="6" fillId="9" borderId="1" xfId="0" applyNumberFormat="1" applyFont="1" applyFill="1" applyBorder="1" applyAlignment="1">
      <alignment horizontal="right" vertical="center"/>
    </xf>
    <xf numFmtId="164" fontId="8" fillId="7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165" fontId="6" fillId="9" borderId="1" xfId="0" applyNumberFormat="1" applyFont="1" applyFill="1" applyBorder="1" applyAlignment="1">
      <alignment horizontal="right" vertical="center"/>
    </xf>
    <xf numFmtId="165" fontId="8" fillId="7" borderId="1" xfId="0" applyNumberFormat="1" applyFont="1" applyFill="1" applyBorder="1" applyAlignment="1">
      <alignment horizontal="right" vertical="center"/>
    </xf>
    <xf numFmtId="166" fontId="6" fillId="9" borderId="1" xfId="0" applyNumberFormat="1" applyFont="1" applyFill="1" applyBorder="1" applyAlignment="1">
      <alignment horizontal="right" vertical="center"/>
    </xf>
    <xf numFmtId="166" fontId="8" fillId="7" borderId="1" xfId="0" applyNumberFormat="1" applyFont="1" applyFill="1" applyBorder="1" applyAlignment="1">
      <alignment horizontal="right" vertical="center"/>
    </xf>
    <xf numFmtId="0" fontId="13" fillId="10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 vertical="top" wrapText="1"/>
    </xf>
    <xf numFmtId="0" fontId="8" fillId="7" borderId="4" xfId="0" applyFont="1" applyFill="1" applyBorder="1" applyAlignment="1">
      <alignment horizontal="left" vertical="center" indent="1"/>
    </xf>
    <xf numFmtId="164" fontId="8" fillId="7" borderId="4" xfId="0" applyNumberFormat="1" applyFont="1" applyFill="1" applyBorder="1" applyAlignment="1">
      <alignment horizontal="right" vertical="center"/>
    </xf>
    <xf numFmtId="165" fontId="8" fillId="7" borderId="4" xfId="0" applyNumberFormat="1" applyFont="1" applyFill="1" applyBorder="1" applyAlignment="1">
      <alignment horizontal="right" vertical="center"/>
    </xf>
    <xf numFmtId="0" fontId="11" fillId="7" borderId="4" xfId="0" applyFont="1" applyFill="1" applyBorder="1" applyAlignment="1">
      <alignment horizontal="left" vertical="top" wrapText="1"/>
    </xf>
    <xf numFmtId="0" fontId="8" fillId="0" borderId="5" xfId="0" applyFont="1" applyBorder="1" applyAlignment="1">
      <alignment horizontal="left" vertical="center" indent="1"/>
    </xf>
    <xf numFmtId="164" fontId="8" fillId="0" borderId="5" xfId="0" applyNumberFormat="1" applyFont="1" applyBorder="1" applyAlignment="1">
      <alignment horizontal="right" vertical="center"/>
    </xf>
    <xf numFmtId="164" fontId="8" fillId="7" borderId="5" xfId="0" applyNumberFormat="1" applyFont="1" applyFill="1" applyBorder="1" applyAlignment="1">
      <alignment horizontal="right" vertical="center"/>
    </xf>
    <xf numFmtId="165" fontId="8" fillId="0" borderId="5" xfId="0" applyNumberFormat="1" applyFont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 indent="1"/>
    </xf>
    <xf numFmtId="164" fontId="3" fillId="2" borderId="4" xfId="0" applyNumberFormat="1" applyFont="1" applyFill="1" applyBorder="1" applyAlignment="1">
      <alignment horizontal="right" vertical="center"/>
    </xf>
    <xf numFmtId="165" fontId="3" fillId="2" borderId="4" xfId="0" applyNumberFormat="1" applyFont="1" applyFill="1" applyBorder="1" applyAlignment="1">
      <alignment horizontal="right" vertical="center"/>
    </xf>
    <xf numFmtId="0" fontId="14" fillId="2" borderId="4" xfId="0" applyFont="1" applyFill="1" applyBorder="1" applyAlignment="1">
      <alignment horizontal="left" vertical="top" wrapText="1"/>
    </xf>
    <xf numFmtId="165" fontId="8" fillId="6" borderId="1" xfId="0" applyNumberFormat="1" applyFont="1" applyFill="1" applyBorder="1" applyAlignment="1">
      <alignment horizontal="right" vertical="center"/>
    </xf>
    <xf numFmtId="0" fontId="0" fillId="0" borderId="1" xfId="0" applyBorder="1"/>
    <xf numFmtId="164" fontId="7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0" fillId="7" borderId="4" xfId="0" applyFill="1" applyBorder="1"/>
    <xf numFmtId="0" fontId="0" fillId="0" borderId="5" xfId="0" applyBorder="1"/>
    <xf numFmtId="0" fontId="0" fillId="2" borderId="4" xfId="0" applyFill="1" applyBorder="1"/>
    <xf numFmtId="0" fontId="11" fillId="0" borderId="1" xfId="0" applyFont="1" applyBorder="1" applyAlignment="1">
      <alignment horizontal="left" vertical="center" indent="1"/>
    </xf>
    <xf numFmtId="165" fontId="8" fillId="0" borderId="1" xfId="0" applyNumberFormat="1" applyFont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2"/>
    </xf>
    <xf numFmtId="166" fontId="7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167" fontId="7" fillId="0" borderId="1" xfId="0" applyNumberFormat="1" applyFont="1" applyBorder="1" applyAlignment="1">
      <alignment horizontal="right" vertical="center"/>
    </xf>
    <xf numFmtId="167" fontId="5" fillId="0" borderId="1" xfId="0" applyNumberFormat="1" applyFont="1" applyBorder="1" applyAlignment="1">
      <alignment horizontal="right" vertical="center"/>
    </xf>
    <xf numFmtId="166" fontId="8" fillId="6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 wrapText="1"/>
    </xf>
    <xf numFmtId="166" fontId="8" fillId="7" borderId="4" xfId="0" applyNumberFormat="1" applyFont="1" applyFill="1" applyBorder="1" applyAlignment="1">
      <alignment horizontal="right" vertical="center"/>
    </xf>
    <xf numFmtId="167" fontId="8" fillId="7" borderId="4" xfId="0" applyNumberFormat="1" applyFont="1" applyFill="1" applyBorder="1" applyAlignment="1">
      <alignment horizontal="right" vertical="center"/>
    </xf>
    <xf numFmtId="0" fontId="11" fillId="7" borderId="4" xfId="0" applyFont="1" applyFill="1" applyBorder="1" applyAlignment="1">
      <alignment horizontal="left" vertical="center" indent="1"/>
    </xf>
    <xf numFmtId="166" fontId="3" fillId="2" borderId="4" xfId="0" applyNumberFormat="1" applyFont="1" applyFill="1" applyBorder="1" applyAlignment="1">
      <alignment horizontal="right" vertical="center"/>
    </xf>
    <xf numFmtId="165" fontId="12" fillId="9" borderId="1" xfId="0" applyNumberFormat="1" applyFont="1" applyFill="1" applyBorder="1" applyAlignment="1">
      <alignment horizontal="right" vertical="center"/>
    </xf>
    <xf numFmtId="167" fontId="8" fillId="6" borderId="1" xfId="0" applyNumberFormat="1" applyFont="1" applyFill="1" applyBorder="1" applyAlignment="1">
      <alignment horizontal="right" vertical="center"/>
    </xf>
    <xf numFmtId="166" fontId="13" fillId="2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indent="1"/>
    </xf>
    <xf numFmtId="165" fontId="7" fillId="0" borderId="1" xfId="0" applyNumberFormat="1" applyFont="1" applyBorder="1" applyAlignment="1">
      <alignment horizontal="right" vertical="center"/>
    </xf>
    <xf numFmtId="0" fontId="8" fillId="7" borderId="4" xfId="0" applyFont="1" applyFill="1" applyBorder="1" applyAlignment="1">
      <alignment horizontal="center" vertical="center" wrapText="1"/>
    </xf>
    <xf numFmtId="165" fontId="19" fillId="0" borderId="1" xfId="0" applyNumberFormat="1" applyFont="1" applyBorder="1" applyAlignment="1">
      <alignment horizontal="right" vertical="center"/>
    </xf>
    <xf numFmtId="164" fontId="7" fillId="12" borderId="1" xfId="0" applyNumberFormat="1" applyFont="1" applyFill="1" applyBorder="1" applyAlignment="1">
      <alignment horizontal="right" vertical="center"/>
    </xf>
    <xf numFmtId="164" fontId="7" fillId="13" borderId="1" xfId="0" applyNumberFormat="1" applyFont="1" applyFill="1" applyBorder="1" applyAlignment="1">
      <alignment horizontal="right" vertical="center"/>
    </xf>
    <xf numFmtId="164" fontId="19" fillId="7" borderId="1" xfId="0" applyNumberFormat="1" applyFont="1" applyFill="1" applyBorder="1" applyAlignment="1">
      <alignment horizontal="right" vertical="center"/>
    </xf>
    <xf numFmtId="165" fontId="7" fillId="12" borderId="1" xfId="0" applyNumberFormat="1" applyFont="1" applyFill="1" applyBorder="1" applyAlignment="1">
      <alignment horizontal="right" vertical="center"/>
    </xf>
    <xf numFmtId="165" fontId="7" fillId="13" borderId="1" xfId="0" applyNumberFormat="1" applyFont="1" applyFill="1" applyBorder="1" applyAlignment="1">
      <alignment horizontal="right" vertical="center"/>
    </xf>
    <xf numFmtId="165" fontId="19" fillId="7" borderId="1" xfId="0" applyNumberFormat="1" applyFont="1" applyFill="1" applyBorder="1" applyAlignment="1">
      <alignment horizontal="right" vertical="center"/>
    </xf>
    <xf numFmtId="166" fontId="7" fillId="12" borderId="1" xfId="0" applyNumberFormat="1" applyFont="1" applyFill="1" applyBorder="1" applyAlignment="1">
      <alignment horizontal="right" vertical="center"/>
    </xf>
    <xf numFmtId="166" fontId="7" fillId="13" borderId="1" xfId="0" applyNumberFormat="1" applyFont="1" applyFill="1" applyBorder="1" applyAlignment="1">
      <alignment horizontal="right" vertical="center"/>
    </xf>
    <xf numFmtId="166" fontId="19" fillId="7" borderId="1" xfId="0" applyNumberFormat="1" applyFont="1" applyFill="1" applyBorder="1" applyAlignment="1">
      <alignment horizontal="right" vertical="center"/>
    </xf>
    <xf numFmtId="164" fontId="8" fillId="6" borderId="1" xfId="0" applyNumberFormat="1" applyFont="1" applyFill="1" applyBorder="1" applyAlignment="1">
      <alignment horizontal="right" vertical="center"/>
    </xf>
    <xf numFmtId="0" fontId="4" fillId="12" borderId="1" xfId="0" applyFont="1" applyFill="1" applyBorder="1" applyAlignment="1">
      <alignment horizontal="left" vertical="center" indent="1"/>
    </xf>
    <xf numFmtId="0" fontId="4" fillId="13" borderId="1" xfId="0" applyFont="1" applyFill="1" applyBorder="1" applyAlignment="1">
      <alignment horizontal="left" vertical="center" indent="1"/>
    </xf>
    <xf numFmtId="165" fontId="6" fillId="0" borderId="1" xfId="0" applyNumberFormat="1" applyFont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0" fillId="0" borderId="0" xfId="0"/>
    <xf numFmtId="0" fontId="11" fillId="0" borderId="2" xfId="0" applyFont="1" applyBorder="1" applyAlignment="1">
      <alignment horizontal="left" vertical="center" indent="1"/>
    </xf>
    <xf numFmtId="0" fontId="0" fillId="0" borderId="7" xfId="0" applyBorder="1"/>
    <xf numFmtId="0" fontId="13" fillId="2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8" xfId="0" applyBorder="1"/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11" fillId="5" borderId="3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right" vertical="center"/>
    </xf>
    <xf numFmtId="0" fontId="16" fillId="6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left" vertical="center" indent="1"/>
    </xf>
    <xf numFmtId="0" fontId="0" fillId="2" borderId="4" xfId="0" applyFill="1" applyBorder="1"/>
    <xf numFmtId="0" fontId="0" fillId="0" borderId="4" xfId="0" applyBorder="1"/>
    <xf numFmtId="166" fontId="8" fillId="6" borderId="2" xfId="0" applyNumberFormat="1" applyFont="1" applyFill="1" applyBorder="1" applyAlignment="1">
      <alignment horizontal="right" vertical="center"/>
    </xf>
    <xf numFmtId="165" fontId="8" fillId="6" borderId="2" xfId="0" applyNumberFormat="1" applyFont="1" applyFill="1" applyBorder="1" applyAlignment="1">
      <alignment horizontal="right" vertical="center"/>
    </xf>
    <xf numFmtId="0" fontId="17" fillId="11" borderId="2" xfId="0" applyFont="1" applyFill="1" applyBorder="1" applyAlignment="1">
      <alignment horizontal="center" vertical="center" wrapText="1"/>
    </xf>
    <xf numFmtId="166" fontId="18" fillId="11" borderId="2" xfId="0" applyNumberFormat="1" applyFont="1" applyFill="1" applyBorder="1" applyAlignment="1">
      <alignment horizontal="center" vertical="center" wrapText="1"/>
    </xf>
    <xf numFmtId="164" fontId="18" fillId="11" borderId="2" xfId="0" applyNumberFormat="1" applyFont="1" applyFill="1" applyBorder="1" applyAlignment="1">
      <alignment horizontal="center" vertical="center" wrapText="1"/>
    </xf>
    <xf numFmtId="165" fontId="18" fillId="11" borderId="2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4" fillId="6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CE6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C6EFCE"/>
      <rgbColor rgb="FFFFF2CC"/>
      <rgbColor rgb="FFF2F2F2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E55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4"/>
  <sheetViews>
    <sheetView showGridLines="0" zoomScaleNormal="100" workbookViewId="0">
      <selection activeCell="B32" sqref="B32"/>
    </sheetView>
  </sheetViews>
  <sheetFormatPr defaultColWidth="8.6640625" defaultRowHeight="14.4" x14ac:dyDescent="0.3"/>
  <cols>
    <col min="1" max="1" width="3" customWidth="1"/>
    <col min="2" max="2" width="32" customWidth="1"/>
    <col min="3" max="9" width="22" customWidth="1"/>
    <col min="10" max="10" width="3" customWidth="1"/>
  </cols>
  <sheetData>
    <row r="2" spans="2:9" ht="30" customHeight="1" x14ac:dyDescent="0.3">
      <c r="B2" s="98" t="s">
        <v>0</v>
      </c>
      <c r="C2" s="84"/>
      <c r="D2" s="84"/>
      <c r="E2" s="84"/>
      <c r="F2" s="84"/>
      <c r="G2" s="84"/>
      <c r="H2" s="84"/>
      <c r="I2" s="84"/>
    </row>
    <row r="3" spans="2:9" ht="30" customHeight="1" x14ac:dyDescent="0.3">
      <c r="B3" s="84"/>
      <c r="C3" s="84"/>
      <c r="D3" s="84"/>
      <c r="E3" s="84"/>
      <c r="F3" s="84"/>
      <c r="G3" s="84"/>
      <c r="H3" s="84"/>
      <c r="I3" s="84"/>
    </row>
    <row r="4" spans="2:9" ht="21.75" customHeight="1" x14ac:dyDescent="0.3">
      <c r="B4" s="91" t="s">
        <v>1</v>
      </c>
      <c r="C4" s="84"/>
      <c r="D4" s="84"/>
      <c r="E4" s="84"/>
      <c r="F4" s="84"/>
      <c r="G4" s="84"/>
      <c r="H4" s="84"/>
      <c r="I4" s="84"/>
    </row>
    <row r="5" spans="2:9" ht="21.75" customHeight="1" x14ac:dyDescent="0.3">
      <c r="B5" s="84"/>
      <c r="C5" s="84"/>
      <c r="D5" s="84"/>
      <c r="E5" s="84"/>
      <c r="F5" s="84"/>
      <c r="G5" s="84"/>
      <c r="H5" s="84"/>
      <c r="I5" s="84"/>
    </row>
    <row r="7" spans="2:9" ht="21.75" customHeight="1" x14ac:dyDescent="0.3">
      <c r="B7" s="97" t="s">
        <v>2</v>
      </c>
      <c r="C7" s="84"/>
      <c r="D7" s="84"/>
      <c r="E7" s="84"/>
      <c r="F7" s="84"/>
      <c r="G7" s="84"/>
      <c r="H7" s="84"/>
      <c r="I7" s="84"/>
    </row>
    <row r="8" spans="2:9" ht="15" customHeight="1" x14ac:dyDescent="0.3">
      <c r="B8" s="1" t="s">
        <v>3</v>
      </c>
      <c r="C8" s="93" t="s">
        <v>4</v>
      </c>
      <c r="D8" s="86"/>
      <c r="E8" s="86"/>
      <c r="F8" s="86"/>
      <c r="G8" s="86"/>
      <c r="H8" s="86"/>
      <c r="I8" s="86"/>
    </row>
    <row r="9" spans="2:9" ht="15" customHeight="1" x14ac:dyDescent="0.3">
      <c r="B9" s="1" t="s">
        <v>5</v>
      </c>
      <c r="C9" s="93" t="s">
        <v>6</v>
      </c>
      <c r="D9" s="86"/>
      <c r="E9" s="86"/>
      <c r="F9" s="86"/>
      <c r="G9" s="86"/>
      <c r="H9" s="86"/>
      <c r="I9" s="86"/>
    </row>
    <row r="10" spans="2:9" ht="15" customHeight="1" x14ac:dyDescent="0.3">
      <c r="B10" s="1" t="s">
        <v>7</v>
      </c>
      <c r="C10" s="93" t="s">
        <v>8</v>
      </c>
      <c r="D10" s="86"/>
      <c r="E10" s="86"/>
      <c r="F10" s="86"/>
      <c r="G10" s="86"/>
      <c r="H10" s="86"/>
      <c r="I10" s="86"/>
    </row>
    <row r="11" spans="2:9" ht="15" customHeight="1" x14ac:dyDescent="0.3">
      <c r="B11" s="1" t="s">
        <v>9</v>
      </c>
      <c r="C11" s="93" t="s">
        <v>10</v>
      </c>
      <c r="D11" s="86"/>
      <c r="E11" s="86"/>
      <c r="F11" s="86"/>
      <c r="G11" s="86"/>
      <c r="H11" s="86"/>
      <c r="I11" s="86"/>
    </row>
    <row r="12" spans="2:9" ht="15" customHeight="1" x14ac:dyDescent="0.3">
      <c r="B12" s="1" t="s">
        <v>11</v>
      </c>
      <c r="C12" s="93" t="s">
        <v>12</v>
      </c>
      <c r="D12" s="86"/>
      <c r="E12" s="86"/>
      <c r="F12" s="86"/>
      <c r="G12" s="86"/>
      <c r="H12" s="86"/>
      <c r="I12" s="86"/>
    </row>
    <row r="13" spans="2:9" ht="15" customHeight="1" x14ac:dyDescent="0.3">
      <c r="B13" s="1" t="s">
        <v>13</v>
      </c>
      <c r="C13" s="93" t="s">
        <v>14</v>
      </c>
      <c r="D13" s="86"/>
      <c r="E13" s="86"/>
      <c r="F13" s="86"/>
      <c r="G13" s="86"/>
      <c r="H13" s="86"/>
      <c r="I13" s="86"/>
    </row>
    <row r="14" spans="2:9" ht="15" customHeight="1" x14ac:dyDescent="0.3">
      <c r="B14" s="1" t="s">
        <v>15</v>
      </c>
      <c r="C14" s="93" t="s">
        <v>16</v>
      </c>
      <c r="D14" s="86"/>
      <c r="E14" s="86"/>
      <c r="F14" s="86"/>
      <c r="G14" s="86"/>
      <c r="H14" s="86"/>
      <c r="I14" s="86"/>
    </row>
    <row r="15" spans="2:9" ht="15" customHeight="1" x14ac:dyDescent="0.3">
      <c r="B15" s="1" t="s">
        <v>17</v>
      </c>
      <c r="C15" s="93" t="s">
        <v>18</v>
      </c>
      <c r="D15" s="86"/>
      <c r="E15" s="86"/>
      <c r="F15" s="86"/>
      <c r="G15" s="86"/>
      <c r="H15" s="86"/>
      <c r="I15" s="86"/>
    </row>
    <row r="16" spans="2:9" ht="15" customHeight="1" x14ac:dyDescent="0.3">
      <c r="B16" s="1" t="s">
        <v>19</v>
      </c>
      <c r="C16" s="93" t="s">
        <v>20</v>
      </c>
      <c r="D16" s="86"/>
      <c r="E16" s="86"/>
      <c r="F16" s="86"/>
      <c r="G16" s="86"/>
      <c r="H16" s="86"/>
      <c r="I16" s="86"/>
    </row>
    <row r="17" spans="2:9" ht="15" customHeight="1" x14ac:dyDescent="0.3">
      <c r="B17" s="1" t="s">
        <v>21</v>
      </c>
      <c r="C17" s="93" t="s">
        <v>22</v>
      </c>
      <c r="D17" s="86"/>
      <c r="E17" s="86"/>
      <c r="F17" s="86"/>
      <c r="G17" s="86"/>
      <c r="H17" s="86"/>
      <c r="I17" s="86"/>
    </row>
    <row r="18" spans="2:9" ht="15" customHeight="1" x14ac:dyDescent="0.3">
      <c r="B18" s="1" t="s">
        <v>23</v>
      </c>
      <c r="C18" s="93" t="s">
        <v>24</v>
      </c>
      <c r="D18" s="86"/>
      <c r="E18" s="86"/>
      <c r="F18" s="86"/>
      <c r="G18" s="86"/>
      <c r="H18" s="86"/>
      <c r="I18" s="86"/>
    </row>
    <row r="19" spans="2:9" ht="15" customHeight="1" x14ac:dyDescent="0.3">
      <c r="B19" s="1" t="s">
        <v>25</v>
      </c>
      <c r="C19" s="93" t="s">
        <v>558</v>
      </c>
      <c r="D19" s="86"/>
      <c r="E19" s="86"/>
      <c r="F19" s="86"/>
      <c r="G19" s="86"/>
      <c r="H19" s="86"/>
      <c r="I19" s="86"/>
    </row>
    <row r="21" spans="2:9" ht="21.75" customHeight="1" x14ac:dyDescent="0.3">
      <c r="B21" s="97" t="s">
        <v>26</v>
      </c>
      <c r="C21" s="84"/>
      <c r="D21" s="84"/>
      <c r="E21" s="84"/>
      <c r="F21" s="84"/>
      <c r="G21" s="84"/>
      <c r="H21" s="84"/>
      <c r="I21" s="84"/>
    </row>
    <row r="22" spans="2:9" ht="15" customHeight="1" x14ac:dyDescent="0.3">
      <c r="B22" s="2" t="s">
        <v>27</v>
      </c>
      <c r="C22" s="93" t="s">
        <v>28</v>
      </c>
      <c r="D22" s="86"/>
      <c r="E22" s="86"/>
      <c r="F22" s="86"/>
      <c r="G22" s="86"/>
      <c r="H22" s="86"/>
      <c r="I22" s="86"/>
    </row>
    <row r="23" spans="2:9" ht="15" customHeight="1" x14ac:dyDescent="0.3">
      <c r="B23" s="2" t="s">
        <v>29</v>
      </c>
      <c r="C23" s="93" t="s">
        <v>30</v>
      </c>
      <c r="D23" s="86"/>
      <c r="E23" s="86"/>
      <c r="F23" s="86"/>
      <c r="G23" s="86"/>
      <c r="H23" s="86"/>
      <c r="I23" s="86"/>
    </row>
    <row r="24" spans="2:9" ht="15" customHeight="1" x14ac:dyDescent="0.3">
      <c r="B24" s="2" t="s">
        <v>559</v>
      </c>
      <c r="C24" s="93" t="s">
        <v>31</v>
      </c>
      <c r="D24" s="86"/>
      <c r="E24" s="86"/>
      <c r="F24" s="86"/>
      <c r="G24" s="86"/>
      <c r="H24" s="86"/>
      <c r="I24" s="86"/>
    </row>
    <row r="25" spans="2:9" ht="15" customHeight="1" x14ac:dyDescent="0.3">
      <c r="B25" s="2" t="s">
        <v>560</v>
      </c>
      <c r="C25" s="93" t="s">
        <v>32</v>
      </c>
      <c r="D25" s="86"/>
      <c r="E25" s="86"/>
      <c r="F25" s="86"/>
      <c r="G25" s="86"/>
      <c r="H25" s="86"/>
      <c r="I25" s="86"/>
    </row>
    <row r="26" spans="2:9" ht="15" customHeight="1" x14ac:dyDescent="0.3">
      <c r="B26" s="2" t="s">
        <v>561</v>
      </c>
      <c r="C26" s="93" t="s">
        <v>33</v>
      </c>
      <c r="D26" s="86"/>
      <c r="E26" s="86"/>
      <c r="F26" s="86"/>
      <c r="G26" s="86"/>
      <c r="H26" s="86"/>
      <c r="I26" s="86"/>
    </row>
    <row r="27" spans="2:9" ht="15" customHeight="1" x14ac:dyDescent="0.3">
      <c r="B27" s="2" t="s">
        <v>562</v>
      </c>
      <c r="C27" s="93" t="s">
        <v>34</v>
      </c>
      <c r="D27" s="86"/>
      <c r="E27" s="86"/>
      <c r="F27" s="86"/>
      <c r="G27" s="86"/>
      <c r="H27" s="86"/>
      <c r="I27" s="86"/>
    </row>
    <row r="28" spans="2:9" ht="15" customHeight="1" x14ac:dyDescent="0.3">
      <c r="B28" s="2" t="s">
        <v>563</v>
      </c>
      <c r="C28" s="93" t="s">
        <v>35</v>
      </c>
      <c r="D28" s="86"/>
      <c r="E28" s="86"/>
      <c r="F28" s="86"/>
      <c r="G28" s="86"/>
      <c r="H28" s="86"/>
      <c r="I28" s="86"/>
    </row>
    <row r="29" spans="2:9" ht="15" customHeight="1" x14ac:dyDescent="0.3">
      <c r="B29" s="2" t="s">
        <v>564</v>
      </c>
      <c r="C29" s="93" t="s">
        <v>36</v>
      </c>
      <c r="D29" s="86"/>
      <c r="E29" s="86"/>
      <c r="F29" s="86"/>
      <c r="G29" s="86"/>
      <c r="H29" s="86"/>
      <c r="I29" s="86"/>
    </row>
    <row r="30" spans="2:9" ht="15" customHeight="1" x14ac:dyDescent="0.3">
      <c r="B30" s="2" t="s">
        <v>37</v>
      </c>
      <c r="C30" s="93" t="s">
        <v>38</v>
      </c>
      <c r="D30" s="86"/>
      <c r="E30" s="86"/>
      <c r="F30" s="86"/>
      <c r="G30" s="86"/>
      <c r="H30" s="86"/>
      <c r="I30" s="86"/>
    </row>
    <row r="31" spans="2:9" ht="15" customHeight="1" x14ac:dyDescent="0.3">
      <c r="B31" s="2" t="s">
        <v>565</v>
      </c>
      <c r="C31" s="93" t="s">
        <v>39</v>
      </c>
      <c r="D31" s="86"/>
      <c r="E31" s="86"/>
      <c r="F31" s="86"/>
      <c r="G31" s="86"/>
      <c r="H31" s="86"/>
      <c r="I31" s="86"/>
    </row>
    <row r="33" spans="2:9" ht="21.75" customHeight="1" x14ac:dyDescent="0.3">
      <c r="B33" s="97" t="s">
        <v>40</v>
      </c>
      <c r="C33" s="84"/>
      <c r="D33" s="84"/>
      <c r="E33" s="84"/>
      <c r="F33" s="84"/>
      <c r="G33" s="84"/>
      <c r="H33" s="84"/>
      <c r="I33" s="84"/>
    </row>
    <row r="34" spans="2:9" ht="15" customHeight="1" x14ac:dyDescent="0.3">
      <c r="B34" s="3" t="s">
        <v>41</v>
      </c>
      <c r="C34" s="93" t="s">
        <v>42</v>
      </c>
      <c r="D34" s="86"/>
      <c r="E34" s="86"/>
      <c r="F34" s="86"/>
      <c r="G34" s="86"/>
      <c r="H34" s="86"/>
      <c r="I34" s="86"/>
    </row>
    <row r="35" spans="2:9" ht="15" customHeight="1" x14ac:dyDescent="0.3">
      <c r="B35" s="4" t="s">
        <v>43</v>
      </c>
      <c r="C35" s="93" t="s">
        <v>44</v>
      </c>
      <c r="D35" s="86"/>
      <c r="E35" s="86"/>
      <c r="F35" s="86"/>
      <c r="G35" s="86"/>
      <c r="H35" s="86"/>
      <c r="I35" s="86"/>
    </row>
    <row r="36" spans="2:9" ht="15" customHeight="1" x14ac:dyDescent="0.3">
      <c r="B36" s="5" t="s">
        <v>45</v>
      </c>
      <c r="C36" s="93" t="s">
        <v>46</v>
      </c>
      <c r="D36" s="86"/>
      <c r="E36" s="86"/>
      <c r="F36" s="86"/>
      <c r="G36" s="86"/>
      <c r="H36" s="86"/>
      <c r="I36" s="86"/>
    </row>
    <row r="37" spans="2:9" ht="15" customHeight="1" x14ac:dyDescent="0.3">
      <c r="B37" s="6" t="s">
        <v>47</v>
      </c>
      <c r="C37" s="93" t="s">
        <v>48</v>
      </c>
      <c r="D37" s="86"/>
      <c r="E37" s="86"/>
      <c r="F37" s="86"/>
      <c r="G37" s="86"/>
      <c r="H37" s="86"/>
      <c r="I37" s="86"/>
    </row>
    <row r="38" spans="2:9" ht="15" customHeight="1" x14ac:dyDescent="0.3">
      <c r="B38" s="7" t="s">
        <v>49</v>
      </c>
      <c r="C38" s="93" t="s">
        <v>50</v>
      </c>
      <c r="D38" s="86"/>
      <c r="E38" s="86"/>
      <c r="F38" s="86"/>
      <c r="G38" s="86"/>
      <c r="H38" s="86"/>
      <c r="I38" s="86"/>
    </row>
    <row r="39" spans="2:9" ht="15" customHeight="1" x14ac:dyDescent="0.3">
      <c r="B39" s="8" t="s">
        <v>51</v>
      </c>
      <c r="C39" s="93" t="s">
        <v>52</v>
      </c>
      <c r="D39" s="86"/>
      <c r="E39" s="86"/>
      <c r="F39" s="86"/>
      <c r="G39" s="86"/>
      <c r="H39" s="86"/>
      <c r="I39" s="86"/>
    </row>
    <row r="40" spans="2:9" ht="15" customHeight="1" x14ac:dyDescent="0.3">
      <c r="B40" s="9" t="s">
        <v>53</v>
      </c>
      <c r="C40" s="93" t="s">
        <v>54</v>
      </c>
      <c r="D40" s="86"/>
      <c r="E40" s="86"/>
      <c r="F40" s="86"/>
      <c r="G40" s="86"/>
      <c r="H40" s="86"/>
      <c r="I40" s="86"/>
    </row>
    <row r="42" spans="2:9" ht="27.75" customHeight="1" x14ac:dyDescent="0.3">
      <c r="B42" s="94" t="s">
        <v>55</v>
      </c>
      <c r="C42" s="89"/>
      <c r="D42" s="89"/>
      <c r="E42" s="89"/>
      <c r="F42" s="89"/>
      <c r="G42" s="89"/>
      <c r="H42" s="89"/>
      <c r="I42" s="89"/>
    </row>
    <row r="43" spans="2:9" ht="27.75" customHeight="1" x14ac:dyDescent="0.3">
      <c r="B43" s="90"/>
      <c r="C43" s="84"/>
      <c r="D43" s="84"/>
      <c r="E43" s="84"/>
      <c r="F43" s="84"/>
      <c r="G43" s="84"/>
      <c r="H43" s="84"/>
      <c r="I43" s="84"/>
    </row>
    <row r="44" spans="2:9" ht="27.75" customHeight="1" x14ac:dyDescent="0.3">
      <c r="B44" s="90"/>
      <c r="C44" s="84"/>
      <c r="D44" s="84"/>
      <c r="E44" s="84"/>
      <c r="F44" s="84"/>
      <c r="G44" s="84"/>
      <c r="H44" s="84"/>
      <c r="I44" s="84"/>
    </row>
  </sheetData>
  <mergeCells count="35">
    <mergeCell ref="B2:I3"/>
    <mergeCell ref="C12:I12"/>
    <mergeCell ref="C11:I11"/>
    <mergeCell ref="C27:I27"/>
    <mergeCell ref="B42:I44"/>
    <mergeCell ref="C15:I15"/>
    <mergeCell ref="B4:I5"/>
    <mergeCell ref="C14:I14"/>
    <mergeCell ref="C26:I26"/>
    <mergeCell ref="C35:I35"/>
    <mergeCell ref="C29:I29"/>
    <mergeCell ref="C10:I10"/>
    <mergeCell ref="C16:I16"/>
    <mergeCell ref="C25:I25"/>
    <mergeCell ref="C31:I31"/>
    <mergeCell ref="C22:I22"/>
    <mergeCell ref="C40:I40"/>
    <mergeCell ref="C9:I9"/>
    <mergeCell ref="B33:I33"/>
    <mergeCell ref="C36:I36"/>
    <mergeCell ref="C23:I23"/>
    <mergeCell ref="B7:I7"/>
    <mergeCell ref="C17:I17"/>
    <mergeCell ref="C39:I39"/>
    <mergeCell ref="C8:I8"/>
    <mergeCell ref="C38:I38"/>
    <mergeCell ref="C19:I19"/>
    <mergeCell ref="C37:I37"/>
    <mergeCell ref="C28:I28"/>
    <mergeCell ref="C13:I13"/>
    <mergeCell ref="B21:I21"/>
    <mergeCell ref="C18:I18"/>
    <mergeCell ref="C34:I34"/>
    <mergeCell ref="C24:I24"/>
    <mergeCell ref="C30:I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73"/>
  <sheetViews>
    <sheetView showGridLines="0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7" sqref="C7"/>
    </sheetView>
  </sheetViews>
  <sheetFormatPr defaultColWidth="8.6640625" defaultRowHeight="14.4" x14ac:dyDescent="0.3"/>
  <cols>
    <col min="1" max="1" width="3" customWidth="1"/>
    <col min="2" max="2" width="46.21875" bestFit="1" customWidth="1"/>
    <col min="3" max="8" width="14" customWidth="1"/>
    <col min="9" max="9" width="28" customWidth="1"/>
    <col min="10" max="10" width="3" customWidth="1"/>
  </cols>
  <sheetData>
    <row r="2" spans="2:9" ht="27.75" customHeight="1" x14ac:dyDescent="0.3">
      <c r="B2" s="98" t="s">
        <v>56</v>
      </c>
      <c r="C2" s="84"/>
      <c r="D2" s="84"/>
      <c r="E2" s="84"/>
      <c r="F2" s="84"/>
      <c r="G2" s="84"/>
      <c r="H2" s="84"/>
      <c r="I2" s="84"/>
    </row>
    <row r="3" spans="2:9" ht="19.5" customHeight="1" x14ac:dyDescent="0.3">
      <c r="B3" s="91" t="s">
        <v>57</v>
      </c>
      <c r="C3" s="84"/>
      <c r="D3" s="84"/>
      <c r="E3" s="84"/>
      <c r="F3" s="84"/>
      <c r="G3" s="84"/>
      <c r="H3" s="84"/>
      <c r="I3" s="84"/>
    </row>
    <row r="5" spans="2:9" ht="19.5" customHeight="1" x14ac:dyDescent="0.3">
      <c r="B5" s="92" t="s">
        <v>58</v>
      </c>
      <c r="C5" s="84"/>
      <c r="D5" s="84"/>
      <c r="E5" s="84"/>
      <c r="F5" s="84"/>
      <c r="G5" s="84"/>
      <c r="H5" s="84"/>
      <c r="I5" s="84"/>
    </row>
    <row r="6" spans="2:9" ht="15" customHeight="1" x14ac:dyDescent="0.3">
      <c r="B6" s="6" t="s">
        <v>59</v>
      </c>
      <c r="C6" s="10">
        <v>2</v>
      </c>
      <c r="D6" s="99" t="str">
        <f>CHOOSE(C6,"BASE CASE","UPSIDE CASE","DOWNSIDE CASE")</f>
        <v>UPSIDE CASE</v>
      </c>
      <c r="E6" s="86"/>
      <c r="F6" s="86"/>
      <c r="G6" s="86"/>
      <c r="H6" s="86"/>
      <c r="I6" s="86"/>
    </row>
    <row r="8" spans="2:9" ht="21.75" customHeight="1" x14ac:dyDescent="0.3">
      <c r="B8" s="11" t="s">
        <v>60</v>
      </c>
      <c r="C8" s="11" t="s">
        <v>61</v>
      </c>
      <c r="D8" s="11" t="s">
        <v>62</v>
      </c>
      <c r="E8" s="11" t="s">
        <v>63</v>
      </c>
      <c r="F8" s="12" t="s">
        <v>64</v>
      </c>
      <c r="G8" s="11" t="s">
        <v>65</v>
      </c>
      <c r="H8" s="87" t="s">
        <v>66</v>
      </c>
      <c r="I8" s="86"/>
    </row>
    <row r="10" spans="2:9" ht="19.5" customHeight="1" x14ac:dyDescent="0.3">
      <c r="B10" s="92" t="s">
        <v>67</v>
      </c>
      <c r="C10" s="84"/>
      <c r="D10" s="84"/>
      <c r="E10" s="84"/>
      <c r="F10" s="84"/>
      <c r="G10" s="84"/>
      <c r="H10" s="84"/>
      <c r="I10" s="84"/>
    </row>
    <row r="11" spans="2:9" ht="15" customHeight="1" x14ac:dyDescent="0.3">
      <c r="B11" s="4" t="s">
        <v>68</v>
      </c>
      <c r="C11" s="13">
        <v>6087501</v>
      </c>
      <c r="D11" s="13">
        <v>6087501</v>
      </c>
      <c r="E11" s="13">
        <v>6087501</v>
      </c>
      <c r="F11" s="14">
        <f t="shared" ref="F11:F17" si="0">CHOOSE($C$6,C11,D11,E11)</f>
        <v>6087501</v>
      </c>
      <c r="G11" s="15" t="s">
        <v>69</v>
      </c>
      <c r="H11" s="85" t="s">
        <v>70</v>
      </c>
      <c r="I11" s="86"/>
    </row>
    <row r="12" spans="2:9" ht="15" customHeight="1" x14ac:dyDescent="0.3">
      <c r="B12" s="4" t="s">
        <v>71</v>
      </c>
      <c r="C12" s="13">
        <v>560696</v>
      </c>
      <c r="D12" s="13">
        <v>560696</v>
      </c>
      <c r="E12" s="13">
        <v>560696</v>
      </c>
      <c r="F12" s="14">
        <f t="shared" si="0"/>
        <v>560696</v>
      </c>
      <c r="G12" s="15" t="s">
        <v>69</v>
      </c>
      <c r="H12" s="85" t="s">
        <v>72</v>
      </c>
      <c r="I12" s="86"/>
    </row>
    <row r="13" spans="2:9" ht="15" customHeight="1" x14ac:dyDescent="0.3">
      <c r="B13" s="4" t="s">
        <v>73</v>
      </c>
      <c r="C13" s="13">
        <v>7622153</v>
      </c>
      <c r="D13" s="13">
        <v>7622153</v>
      </c>
      <c r="E13" s="13">
        <v>7622153</v>
      </c>
      <c r="F13" s="14">
        <f t="shared" si="0"/>
        <v>7622153</v>
      </c>
      <c r="G13" s="15" t="s">
        <v>69</v>
      </c>
      <c r="H13" s="85" t="s">
        <v>72</v>
      </c>
      <c r="I13" s="86"/>
    </row>
    <row r="14" spans="2:9" ht="15" customHeight="1" x14ac:dyDescent="0.3">
      <c r="B14" s="4" t="s">
        <v>74</v>
      </c>
      <c r="C14" s="13">
        <v>4428934</v>
      </c>
      <c r="D14" s="13">
        <v>4428934</v>
      </c>
      <c r="E14" s="13">
        <v>4428934</v>
      </c>
      <c r="F14" s="14">
        <f t="shared" si="0"/>
        <v>4428934</v>
      </c>
      <c r="G14" s="15" t="s">
        <v>69</v>
      </c>
      <c r="H14" s="85" t="s">
        <v>75</v>
      </c>
      <c r="I14" s="86"/>
    </row>
    <row r="15" spans="2:9" ht="15" customHeight="1" x14ac:dyDescent="0.3">
      <c r="B15" s="4" t="s">
        <v>76</v>
      </c>
      <c r="C15" s="13">
        <v>7473905</v>
      </c>
      <c r="D15" s="13">
        <v>7473905</v>
      </c>
      <c r="E15" s="13">
        <v>7473905</v>
      </c>
      <c r="F15" s="14">
        <f t="shared" si="0"/>
        <v>7473905</v>
      </c>
      <c r="G15" s="15" t="s">
        <v>69</v>
      </c>
      <c r="H15" s="85" t="s">
        <v>72</v>
      </c>
      <c r="I15" s="86"/>
    </row>
    <row r="16" spans="2:9" ht="15" customHeight="1" x14ac:dyDescent="0.3">
      <c r="B16" s="4" t="s">
        <v>77</v>
      </c>
      <c r="C16" s="16">
        <v>1.9449999999999999E-2</v>
      </c>
      <c r="D16" s="16">
        <v>1.9449999999999999E-2</v>
      </c>
      <c r="E16" s="16">
        <v>1.9449999999999999E-2</v>
      </c>
      <c r="F16" s="17">
        <f t="shared" si="0"/>
        <v>1.9449999999999999E-2</v>
      </c>
      <c r="G16" s="15" t="s">
        <v>78</v>
      </c>
      <c r="H16" s="85" t="s">
        <v>79</v>
      </c>
      <c r="I16" s="86"/>
    </row>
    <row r="17" spans="2:9" ht="15" customHeight="1" x14ac:dyDescent="0.3">
      <c r="B17" s="4" t="s">
        <v>80</v>
      </c>
      <c r="C17" s="16">
        <v>0.28499999999999998</v>
      </c>
      <c r="D17" s="16">
        <v>0.28499999999999998</v>
      </c>
      <c r="E17" s="16">
        <v>0.28499999999999998</v>
      </c>
      <c r="F17" s="17">
        <f t="shared" si="0"/>
        <v>0.28499999999999998</v>
      </c>
      <c r="G17" s="15" t="s">
        <v>78</v>
      </c>
      <c r="H17" s="85" t="s">
        <v>81</v>
      </c>
      <c r="I17" s="86"/>
    </row>
    <row r="19" spans="2:9" ht="19.5" customHeight="1" x14ac:dyDescent="0.3">
      <c r="B19" s="92" t="s">
        <v>82</v>
      </c>
      <c r="C19" s="84"/>
      <c r="D19" s="84"/>
      <c r="E19" s="84"/>
      <c r="F19" s="84"/>
      <c r="G19" s="84"/>
      <c r="H19" s="84"/>
      <c r="I19" s="84"/>
    </row>
    <row r="20" spans="2:9" ht="15" customHeight="1" x14ac:dyDescent="0.3">
      <c r="B20" s="6" t="s">
        <v>83</v>
      </c>
      <c r="C20" s="16">
        <v>7.0000000000000007E-2</v>
      </c>
      <c r="D20" s="16">
        <v>7.4999999999999997E-2</v>
      </c>
      <c r="E20" s="16">
        <v>0.06</v>
      </c>
      <c r="F20" s="17">
        <f t="shared" ref="F20:F25" si="1">CHOOSE($C$6,C20,D20,E20)</f>
        <v>7.4999999999999997E-2</v>
      </c>
      <c r="G20" s="15" t="s">
        <v>78</v>
      </c>
      <c r="H20" s="85" t="s">
        <v>84</v>
      </c>
      <c r="I20" s="86"/>
    </row>
    <row r="21" spans="2:9" ht="15" customHeight="1" x14ac:dyDescent="0.3">
      <c r="B21" s="6" t="s">
        <v>85</v>
      </c>
      <c r="C21" s="13">
        <v>185</v>
      </c>
      <c r="D21" s="13">
        <v>210</v>
      </c>
      <c r="E21" s="13">
        <v>150</v>
      </c>
      <c r="F21" s="14">
        <f t="shared" si="1"/>
        <v>210</v>
      </c>
      <c r="G21" s="15" t="s">
        <v>86</v>
      </c>
      <c r="H21" s="85" t="s">
        <v>87</v>
      </c>
      <c r="I21" s="86"/>
    </row>
    <row r="22" spans="2:9" ht="15" customHeight="1" x14ac:dyDescent="0.3">
      <c r="B22" s="6" t="s">
        <v>88</v>
      </c>
      <c r="C22" s="13">
        <v>1250</v>
      </c>
      <c r="D22" s="13">
        <v>1500</v>
      </c>
      <c r="E22" s="13">
        <v>950</v>
      </c>
      <c r="F22" s="14">
        <f t="shared" si="1"/>
        <v>1500</v>
      </c>
      <c r="G22" s="15" t="s">
        <v>89</v>
      </c>
      <c r="H22" s="85" t="s">
        <v>90</v>
      </c>
      <c r="I22" s="86"/>
    </row>
    <row r="23" spans="2:9" ht="15" customHeight="1" x14ac:dyDescent="0.3">
      <c r="B23" s="4" t="s">
        <v>91</v>
      </c>
      <c r="C23" s="18">
        <v>18500</v>
      </c>
      <c r="D23" s="18">
        <v>22000</v>
      </c>
      <c r="E23" s="18">
        <v>15000</v>
      </c>
      <c r="F23" s="19">
        <f t="shared" si="1"/>
        <v>22000</v>
      </c>
      <c r="G23" s="15" t="s">
        <v>92</v>
      </c>
      <c r="H23" s="85" t="s">
        <v>93</v>
      </c>
      <c r="I23" s="86"/>
    </row>
    <row r="24" spans="2:9" ht="15" customHeight="1" x14ac:dyDescent="0.3">
      <c r="B24" s="4" t="s">
        <v>94</v>
      </c>
      <c r="C24" s="18">
        <v>12000</v>
      </c>
      <c r="D24" s="18">
        <v>13500</v>
      </c>
      <c r="E24" s="18">
        <v>10500</v>
      </c>
      <c r="F24" s="19">
        <f t="shared" si="1"/>
        <v>13500</v>
      </c>
      <c r="G24" s="15" t="s">
        <v>92</v>
      </c>
      <c r="H24" s="85" t="s">
        <v>95</v>
      </c>
      <c r="I24" s="86"/>
    </row>
    <row r="25" spans="2:9" ht="15" customHeight="1" x14ac:dyDescent="0.3">
      <c r="B25" s="4" t="s">
        <v>96</v>
      </c>
      <c r="C25" s="16">
        <v>0.55000000000000004</v>
      </c>
      <c r="D25" s="16">
        <v>0.65</v>
      </c>
      <c r="E25" s="16">
        <v>0.45</v>
      </c>
      <c r="F25" s="17">
        <f t="shared" si="1"/>
        <v>0.65</v>
      </c>
      <c r="G25" s="15" t="s">
        <v>78</v>
      </c>
      <c r="H25" s="85" t="s">
        <v>97</v>
      </c>
      <c r="I25" s="86"/>
    </row>
    <row r="27" spans="2:9" ht="19.5" customHeight="1" x14ac:dyDescent="0.3">
      <c r="B27" s="92" t="s">
        <v>98</v>
      </c>
      <c r="C27" s="84"/>
      <c r="D27" s="84"/>
      <c r="E27" s="84"/>
      <c r="F27" s="84"/>
      <c r="G27" s="84"/>
      <c r="H27" s="84"/>
      <c r="I27" s="84"/>
    </row>
    <row r="28" spans="2:9" ht="15" customHeight="1" x14ac:dyDescent="0.3">
      <c r="B28" s="4" t="s">
        <v>99</v>
      </c>
      <c r="C28" s="13">
        <v>28</v>
      </c>
      <c r="D28" s="13">
        <v>32</v>
      </c>
      <c r="E28" s="13">
        <v>24</v>
      </c>
      <c r="F28" s="14">
        <f t="shared" ref="F28:F34" si="2">CHOOSE($C$6,C28,D28,E28)</f>
        <v>32</v>
      </c>
      <c r="G28" s="15" t="s">
        <v>100</v>
      </c>
      <c r="H28" s="85" t="s">
        <v>101</v>
      </c>
      <c r="I28" s="86"/>
    </row>
    <row r="29" spans="2:9" ht="15" customHeight="1" x14ac:dyDescent="0.3">
      <c r="B29" s="4" t="s">
        <v>102</v>
      </c>
      <c r="C29" s="13">
        <v>8</v>
      </c>
      <c r="D29" s="13">
        <v>9</v>
      </c>
      <c r="E29" s="13">
        <v>7</v>
      </c>
      <c r="F29" s="14">
        <f t="shared" si="2"/>
        <v>9</v>
      </c>
      <c r="G29" s="15" t="s">
        <v>100</v>
      </c>
      <c r="H29" s="85"/>
      <c r="I29" s="86"/>
    </row>
    <row r="30" spans="2:9" ht="15" customHeight="1" x14ac:dyDescent="0.3">
      <c r="B30" s="4" t="s">
        <v>103</v>
      </c>
      <c r="C30" s="13">
        <v>6</v>
      </c>
      <c r="D30" s="13">
        <v>7</v>
      </c>
      <c r="E30" s="13">
        <v>5</v>
      </c>
      <c r="F30" s="14">
        <f t="shared" si="2"/>
        <v>7</v>
      </c>
      <c r="G30" s="15" t="s">
        <v>100</v>
      </c>
      <c r="H30" s="85"/>
      <c r="I30" s="86"/>
    </row>
    <row r="31" spans="2:9" ht="15" customHeight="1" x14ac:dyDescent="0.3">
      <c r="B31" s="4" t="s">
        <v>104</v>
      </c>
      <c r="C31" s="13">
        <v>7</v>
      </c>
      <c r="D31" s="13">
        <v>8</v>
      </c>
      <c r="E31" s="13">
        <v>6</v>
      </c>
      <c r="F31" s="14">
        <f t="shared" si="2"/>
        <v>8</v>
      </c>
      <c r="G31" s="15" t="s">
        <v>100</v>
      </c>
      <c r="H31" s="85"/>
      <c r="I31" s="86"/>
    </row>
    <row r="32" spans="2:9" ht="15" customHeight="1" x14ac:dyDescent="0.3">
      <c r="B32" s="4" t="s">
        <v>105</v>
      </c>
      <c r="C32" s="13">
        <v>4</v>
      </c>
      <c r="D32" s="13">
        <v>4</v>
      </c>
      <c r="E32" s="13">
        <v>3</v>
      </c>
      <c r="F32" s="14">
        <f t="shared" si="2"/>
        <v>4</v>
      </c>
      <c r="G32" s="15" t="s">
        <v>100</v>
      </c>
      <c r="H32" s="85" t="s">
        <v>106</v>
      </c>
      <c r="I32" s="86"/>
    </row>
    <row r="33" spans="2:9" ht="15" customHeight="1" x14ac:dyDescent="0.3">
      <c r="B33" s="4" t="s">
        <v>107</v>
      </c>
      <c r="C33" s="13">
        <v>3</v>
      </c>
      <c r="D33" s="13">
        <v>3</v>
      </c>
      <c r="E33" s="13">
        <v>3</v>
      </c>
      <c r="F33" s="14">
        <f t="shared" si="2"/>
        <v>3</v>
      </c>
      <c r="G33" s="15" t="s">
        <v>100</v>
      </c>
      <c r="H33" s="85"/>
      <c r="I33" s="86"/>
    </row>
    <row r="34" spans="2:9" ht="15" customHeight="1" x14ac:dyDescent="0.3">
      <c r="B34" s="4" t="s">
        <v>108</v>
      </c>
      <c r="C34" s="18">
        <v>95000</v>
      </c>
      <c r="D34" s="18">
        <v>95000</v>
      </c>
      <c r="E34" s="18">
        <v>95000</v>
      </c>
      <c r="F34" s="19">
        <f t="shared" si="2"/>
        <v>95000</v>
      </c>
      <c r="G34" s="15" t="s">
        <v>92</v>
      </c>
      <c r="H34" s="85" t="s">
        <v>109</v>
      </c>
      <c r="I34" s="86"/>
    </row>
    <row r="36" spans="2:9" ht="19.5" customHeight="1" x14ac:dyDescent="0.3">
      <c r="B36" s="92" t="s">
        <v>110</v>
      </c>
      <c r="C36" s="84"/>
      <c r="D36" s="84"/>
      <c r="E36" s="84"/>
      <c r="F36" s="84"/>
      <c r="G36" s="84"/>
      <c r="H36" s="84"/>
      <c r="I36" s="84"/>
    </row>
    <row r="37" spans="2:9" ht="15" customHeight="1" x14ac:dyDescent="0.3">
      <c r="B37" s="6" t="s">
        <v>111</v>
      </c>
      <c r="C37" s="16">
        <v>0.28499999999999998</v>
      </c>
      <c r="D37" s="16">
        <v>0.27500000000000002</v>
      </c>
      <c r="E37" s="16">
        <v>0.29499999999999998</v>
      </c>
      <c r="F37" s="17">
        <f t="shared" ref="F37:F44" si="3">CHOOSE($C$6,C37,D37,E37)</f>
        <v>0.27500000000000002</v>
      </c>
      <c r="G37" s="15" t="s">
        <v>78</v>
      </c>
      <c r="H37" s="85" t="s">
        <v>112</v>
      </c>
      <c r="I37" s="86"/>
    </row>
    <row r="38" spans="2:9" ht="15" customHeight="1" x14ac:dyDescent="0.3">
      <c r="B38" s="4" t="s">
        <v>113</v>
      </c>
      <c r="C38" s="16">
        <v>3.5000000000000003E-2</v>
      </c>
      <c r="D38" s="16">
        <v>0.03</v>
      </c>
      <c r="E38" s="16">
        <v>4.4999999999999998E-2</v>
      </c>
      <c r="F38" s="17">
        <f t="shared" si="3"/>
        <v>0.03</v>
      </c>
      <c r="G38" s="15" t="s">
        <v>78</v>
      </c>
      <c r="H38" s="85" t="s">
        <v>114</v>
      </c>
      <c r="I38" s="86"/>
    </row>
    <row r="39" spans="2:9" ht="15" customHeight="1" x14ac:dyDescent="0.3">
      <c r="B39" s="4" t="s">
        <v>115</v>
      </c>
      <c r="C39" s="18">
        <v>2400</v>
      </c>
      <c r="D39" s="18">
        <v>2200</v>
      </c>
      <c r="E39" s="18">
        <v>2700</v>
      </c>
      <c r="F39" s="19">
        <f t="shared" si="3"/>
        <v>2200</v>
      </c>
      <c r="G39" s="15" t="s">
        <v>92</v>
      </c>
      <c r="H39" s="85" t="s">
        <v>116</v>
      </c>
      <c r="I39" s="86"/>
    </row>
    <row r="40" spans="2:9" ht="15" customHeight="1" x14ac:dyDescent="0.3">
      <c r="B40" s="4" t="s">
        <v>117</v>
      </c>
      <c r="C40" s="16">
        <v>0.04</v>
      </c>
      <c r="D40" s="16">
        <v>0.03</v>
      </c>
      <c r="E40" s="16">
        <v>0.06</v>
      </c>
      <c r="F40" s="17">
        <f t="shared" si="3"/>
        <v>0.03</v>
      </c>
      <c r="G40" s="15" t="s">
        <v>78</v>
      </c>
      <c r="H40" s="85" t="s">
        <v>118</v>
      </c>
      <c r="I40" s="86"/>
    </row>
    <row r="41" spans="2:9" ht="15" customHeight="1" x14ac:dyDescent="0.3">
      <c r="B41" s="4" t="s">
        <v>119</v>
      </c>
      <c r="C41" s="18">
        <v>4500</v>
      </c>
      <c r="D41" s="18">
        <v>4500</v>
      </c>
      <c r="E41" s="18">
        <v>4500</v>
      </c>
      <c r="F41" s="19">
        <f t="shared" si="3"/>
        <v>4500</v>
      </c>
      <c r="G41" s="15" t="s">
        <v>92</v>
      </c>
      <c r="H41" s="85" t="s">
        <v>120</v>
      </c>
      <c r="I41" s="86"/>
    </row>
    <row r="42" spans="2:9" ht="15" customHeight="1" x14ac:dyDescent="0.3">
      <c r="B42" s="4" t="s">
        <v>121</v>
      </c>
      <c r="C42" s="13">
        <v>850</v>
      </c>
      <c r="D42" s="13">
        <v>850</v>
      </c>
      <c r="E42" s="13">
        <v>920</v>
      </c>
      <c r="F42" s="14">
        <f t="shared" si="3"/>
        <v>850</v>
      </c>
      <c r="G42" s="15" t="s">
        <v>69</v>
      </c>
      <c r="H42" s="85" t="s">
        <v>122</v>
      </c>
      <c r="I42" s="86"/>
    </row>
    <row r="43" spans="2:9" ht="15" customHeight="1" x14ac:dyDescent="0.3">
      <c r="B43" s="4" t="s">
        <v>123</v>
      </c>
      <c r="C43" s="18">
        <v>2200</v>
      </c>
      <c r="D43" s="18">
        <v>2500</v>
      </c>
      <c r="E43" s="18">
        <v>1800</v>
      </c>
      <c r="F43" s="19">
        <f t="shared" si="3"/>
        <v>2500</v>
      </c>
      <c r="G43" s="15" t="s">
        <v>92</v>
      </c>
      <c r="H43" s="85"/>
      <c r="I43" s="86"/>
    </row>
    <row r="44" spans="2:9" ht="15" customHeight="1" x14ac:dyDescent="0.3">
      <c r="B44" s="4" t="s">
        <v>124</v>
      </c>
      <c r="C44" s="13">
        <v>425</v>
      </c>
      <c r="D44" s="13">
        <v>425</v>
      </c>
      <c r="E44" s="13">
        <v>475</v>
      </c>
      <c r="F44" s="14">
        <f t="shared" si="3"/>
        <v>425</v>
      </c>
      <c r="G44" s="15" t="s">
        <v>69</v>
      </c>
      <c r="H44" s="85"/>
      <c r="I44" s="86"/>
    </row>
    <row r="46" spans="2:9" ht="19.5" customHeight="1" x14ac:dyDescent="0.3">
      <c r="B46" s="92" t="s">
        <v>125</v>
      </c>
      <c r="C46" s="84"/>
      <c r="D46" s="84"/>
      <c r="E46" s="84"/>
      <c r="F46" s="84"/>
      <c r="G46" s="84"/>
      <c r="H46" s="84"/>
      <c r="I46" s="84"/>
    </row>
    <row r="47" spans="2:9" ht="15" customHeight="1" x14ac:dyDescent="0.3">
      <c r="B47" s="6" t="s">
        <v>126</v>
      </c>
      <c r="C47" s="16">
        <v>0.625</v>
      </c>
      <c r="D47" s="16">
        <v>0.625</v>
      </c>
      <c r="E47" s="16">
        <v>0.58499999999999996</v>
      </c>
      <c r="F47" s="17">
        <f>CHOOSE($C$6,C47,D47,E47)</f>
        <v>0.625</v>
      </c>
      <c r="G47" s="15" t="s">
        <v>78</v>
      </c>
      <c r="H47" s="85" t="s">
        <v>127</v>
      </c>
      <c r="I47" s="86"/>
    </row>
    <row r="48" spans="2:9" ht="15" customHeight="1" x14ac:dyDescent="0.3">
      <c r="B48" s="4" t="s">
        <v>128</v>
      </c>
      <c r="C48" s="16">
        <v>0.3</v>
      </c>
      <c r="D48" s="16">
        <v>0.32</v>
      </c>
      <c r="E48" s="16">
        <v>0.28000000000000003</v>
      </c>
      <c r="F48" s="17">
        <f>CHOOSE($C$6,C48,D48,E48)</f>
        <v>0.32</v>
      </c>
      <c r="G48" s="15" t="s">
        <v>78</v>
      </c>
      <c r="H48" s="85" t="s">
        <v>129</v>
      </c>
      <c r="I48" s="86"/>
    </row>
    <row r="49" spans="2:9" ht="15" customHeight="1" x14ac:dyDescent="0.3">
      <c r="B49" s="4" t="s">
        <v>130</v>
      </c>
      <c r="C49" s="16">
        <v>0.15</v>
      </c>
      <c r="D49" s="16">
        <v>0.15</v>
      </c>
      <c r="E49" s="16">
        <v>0.15</v>
      </c>
      <c r="F49" s="17">
        <f>CHOOSE($C$6,C49,D49,E49)</f>
        <v>0.15</v>
      </c>
      <c r="G49" s="15" t="s">
        <v>78</v>
      </c>
      <c r="H49" s="85" t="s">
        <v>131</v>
      </c>
      <c r="I49" s="86"/>
    </row>
    <row r="50" spans="2:9" ht="15" customHeight="1" x14ac:dyDescent="0.3">
      <c r="B50" s="4" t="s">
        <v>132</v>
      </c>
      <c r="C50" s="16">
        <v>0.85</v>
      </c>
      <c r="D50" s="16">
        <v>0.85</v>
      </c>
      <c r="E50" s="16">
        <v>0.85</v>
      </c>
      <c r="F50" s="17">
        <f>CHOOSE($C$6,C50,D50,E50)</f>
        <v>0.85</v>
      </c>
      <c r="G50" s="15" t="s">
        <v>78</v>
      </c>
      <c r="H50" s="85" t="s">
        <v>133</v>
      </c>
      <c r="I50" s="86"/>
    </row>
    <row r="52" spans="2:9" ht="19.5" customHeight="1" x14ac:dyDescent="0.3">
      <c r="B52" s="92" t="s">
        <v>134</v>
      </c>
      <c r="C52" s="84"/>
      <c r="D52" s="84"/>
      <c r="E52" s="84"/>
      <c r="F52" s="84"/>
      <c r="G52" s="84"/>
      <c r="H52" s="84"/>
      <c r="I52" s="84"/>
    </row>
    <row r="53" spans="2:9" ht="15" customHeight="1" x14ac:dyDescent="0.3">
      <c r="B53" s="4" t="s">
        <v>135</v>
      </c>
      <c r="C53" s="13">
        <v>36</v>
      </c>
      <c r="D53" s="13">
        <v>32</v>
      </c>
      <c r="E53" s="13">
        <v>42</v>
      </c>
      <c r="F53" s="14">
        <f>CHOOSE($C$6,C53,D53,E53)</f>
        <v>32</v>
      </c>
      <c r="G53" s="15" t="s">
        <v>136</v>
      </c>
      <c r="H53" s="85" t="s">
        <v>137</v>
      </c>
      <c r="I53" s="86"/>
    </row>
    <row r="54" spans="2:9" ht="15" customHeight="1" x14ac:dyDescent="0.3">
      <c r="B54" s="6" t="s">
        <v>138</v>
      </c>
      <c r="C54" s="13">
        <v>165</v>
      </c>
      <c r="D54" s="13">
        <v>140</v>
      </c>
      <c r="E54" s="13">
        <v>200</v>
      </c>
      <c r="F54" s="14">
        <f>CHOOSE($C$6,C54,D54,E54)</f>
        <v>140</v>
      </c>
      <c r="G54" s="15" t="s">
        <v>139</v>
      </c>
      <c r="H54" s="85" t="s">
        <v>140</v>
      </c>
      <c r="I54" s="86"/>
    </row>
    <row r="55" spans="2:9" ht="15" customHeight="1" x14ac:dyDescent="0.3">
      <c r="B55" s="4" t="s">
        <v>141</v>
      </c>
      <c r="C55" s="16">
        <v>0.3</v>
      </c>
      <c r="D55" s="16">
        <v>0.25</v>
      </c>
      <c r="E55" s="16">
        <v>0.38</v>
      </c>
      <c r="F55" s="17">
        <f>CHOOSE($C$6,C55,D55,E55)</f>
        <v>0.25</v>
      </c>
      <c r="G55" s="15" t="s">
        <v>78</v>
      </c>
      <c r="H55" s="85" t="s">
        <v>142</v>
      </c>
      <c r="I55" s="86"/>
    </row>
    <row r="56" spans="2:9" ht="15" customHeight="1" x14ac:dyDescent="0.3">
      <c r="B56" s="4" t="s">
        <v>143</v>
      </c>
      <c r="C56" s="16">
        <v>0.15</v>
      </c>
      <c r="D56" s="16">
        <v>0.12</v>
      </c>
      <c r="E56" s="16">
        <v>0.2</v>
      </c>
      <c r="F56" s="17">
        <f>CHOOSE($C$6,C56,D56,E56)</f>
        <v>0.12</v>
      </c>
      <c r="G56" s="15" t="s">
        <v>78</v>
      </c>
      <c r="H56" s="85"/>
      <c r="I56" s="86"/>
    </row>
    <row r="57" spans="2:9" ht="15" customHeight="1" x14ac:dyDescent="0.3">
      <c r="B57" s="4" t="s">
        <v>144</v>
      </c>
      <c r="C57" s="13">
        <v>14</v>
      </c>
      <c r="D57" s="13">
        <v>14</v>
      </c>
      <c r="E57" s="13">
        <v>14</v>
      </c>
      <c r="F57" s="14">
        <f>CHOOSE($C$6,C57,D57,E57)</f>
        <v>14</v>
      </c>
      <c r="G57" s="15" t="s">
        <v>145</v>
      </c>
      <c r="H57" s="85" t="s">
        <v>146</v>
      </c>
      <c r="I57" s="86"/>
    </row>
    <row r="59" spans="2:9" ht="19.5" customHeight="1" x14ac:dyDescent="0.3">
      <c r="B59" s="92" t="s">
        <v>147</v>
      </c>
      <c r="C59" s="84"/>
      <c r="D59" s="84"/>
      <c r="E59" s="84"/>
      <c r="F59" s="84"/>
      <c r="G59" s="84"/>
      <c r="H59" s="84"/>
      <c r="I59" s="84"/>
    </row>
    <row r="60" spans="2:9" ht="15" customHeight="1" x14ac:dyDescent="0.3">
      <c r="B60" s="6" t="s">
        <v>148</v>
      </c>
      <c r="C60" s="16">
        <v>0.04</v>
      </c>
      <c r="D60" s="16">
        <v>7.0000000000000007E-2</v>
      </c>
      <c r="E60" s="16">
        <v>0.01</v>
      </c>
      <c r="F60" s="17">
        <f>CHOOSE($C$6,C60,D60,E60)</f>
        <v>7.0000000000000007E-2</v>
      </c>
      <c r="G60" s="15" t="s">
        <v>149</v>
      </c>
      <c r="H60" s="85" t="s">
        <v>150</v>
      </c>
      <c r="I60" s="86"/>
    </row>
    <row r="61" spans="2:9" ht="15" customHeight="1" x14ac:dyDescent="0.3">
      <c r="B61" s="4" t="s">
        <v>151</v>
      </c>
      <c r="C61" s="16">
        <v>0.05</v>
      </c>
      <c r="D61" s="16">
        <v>7.0000000000000007E-2</v>
      </c>
      <c r="E61" s="16">
        <v>2.5000000000000001E-2</v>
      </c>
      <c r="F61" s="17">
        <f>CHOOSE($C$6,C61,D61,E61)</f>
        <v>7.0000000000000007E-2</v>
      </c>
      <c r="G61" s="15" t="s">
        <v>149</v>
      </c>
      <c r="H61" s="85" t="s">
        <v>152</v>
      </c>
      <c r="I61" s="86"/>
    </row>
    <row r="62" spans="2:9" ht="15" customHeight="1" x14ac:dyDescent="0.3">
      <c r="B62" s="6" t="s">
        <v>153</v>
      </c>
      <c r="C62" s="16">
        <v>0.02</v>
      </c>
      <c r="D62" s="16">
        <v>0.04</v>
      </c>
      <c r="E62" s="16">
        <v>-0.02</v>
      </c>
      <c r="F62" s="17">
        <f>CHOOSE($C$6,C62,D62,E62)</f>
        <v>0.04</v>
      </c>
      <c r="G62" s="15" t="s">
        <v>149</v>
      </c>
      <c r="H62" s="85" t="s">
        <v>154</v>
      </c>
      <c r="I62" s="86"/>
    </row>
    <row r="64" spans="2:9" ht="19.5" customHeight="1" x14ac:dyDescent="0.3">
      <c r="B64" s="92" t="s">
        <v>155</v>
      </c>
      <c r="C64" s="84"/>
      <c r="D64" s="84"/>
      <c r="E64" s="84"/>
      <c r="F64" s="84"/>
      <c r="G64" s="84"/>
      <c r="H64" s="84"/>
      <c r="I64" s="84"/>
    </row>
    <row r="65" spans="2:9" ht="15" customHeight="1" x14ac:dyDescent="0.3">
      <c r="B65" s="4" t="s">
        <v>156</v>
      </c>
      <c r="C65" s="13">
        <v>75</v>
      </c>
      <c r="D65" s="13">
        <v>65</v>
      </c>
      <c r="E65" s="13">
        <v>95</v>
      </c>
      <c r="F65" s="14">
        <f>CHOOSE($C$6,C65,D65,E65)</f>
        <v>65</v>
      </c>
      <c r="G65" s="15" t="s">
        <v>139</v>
      </c>
      <c r="H65" s="85" t="s">
        <v>157</v>
      </c>
      <c r="I65" s="86"/>
    </row>
    <row r="66" spans="2:9" ht="15" customHeight="1" x14ac:dyDescent="0.3">
      <c r="B66" s="4" t="s">
        <v>158</v>
      </c>
      <c r="C66" s="13">
        <v>45</v>
      </c>
      <c r="D66" s="13">
        <v>40</v>
      </c>
      <c r="E66" s="13">
        <v>55</v>
      </c>
      <c r="F66" s="14">
        <f>CHOOSE($C$6,C66,D66,E66)</f>
        <v>40</v>
      </c>
      <c r="G66" s="15" t="s">
        <v>139</v>
      </c>
      <c r="H66" s="85"/>
      <c r="I66" s="86"/>
    </row>
    <row r="67" spans="2:9" ht="15" customHeight="1" x14ac:dyDescent="0.3">
      <c r="B67" s="4" t="s">
        <v>159</v>
      </c>
      <c r="C67" s="16">
        <v>0.15</v>
      </c>
      <c r="D67" s="16">
        <v>0.2</v>
      </c>
      <c r="E67" s="16">
        <v>0.1</v>
      </c>
      <c r="F67" s="17">
        <f>CHOOSE($C$6,C67,D67,E67)</f>
        <v>0.2</v>
      </c>
      <c r="G67" s="15" t="s">
        <v>78</v>
      </c>
      <c r="H67" s="85" t="s">
        <v>160</v>
      </c>
      <c r="I67" s="86"/>
    </row>
    <row r="69" spans="2:9" ht="19.5" customHeight="1" x14ac:dyDescent="0.3">
      <c r="B69" s="92" t="s">
        <v>161</v>
      </c>
      <c r="C69" s="84"/>
      <c r="D69" s="84"/>
      <c r="E69" s="84"/>
      <c r="F69" s="84"/>
      <c r="G69" s="84"/>
      <c r="H69" s="84"/>
      <c r="I69" s="84"/>
    </row>
    <row r="70" spans="2:9" ht="15" customHeight="1" x14ac:dyDescent="0.3">
      <c r="B70" s="4" t="s">
        <v>162</v>
      </c>
      <c r="C70" s="16">
        <v>0.08</v>
      </c>
      <c r="D70" s="16">
        <v>0.08</v>
      </c>
      <c r="E70" s="16">
        <v>0.08</v>
      </c>
      <c r="F70" s="17">
        <f>CHOOSE($C$6,C70,D70,E70)</f>
        <v>0.08</v>
      </c>
      <c r="G70" s="15" t="s">
        <v>78</v>
      </c>
      <c r="H70" s="85" t="s">
        <v>163</v>
      </c>
      <c r="I70" s="86"/>
    </row>
    <row r="71" spans="2:9" ht="15" customHeight="1" x14ac:dyDescent="0.3">
      <c r="B71" s="4" t="s">
        <v>164</v>
      </c>
      <c r="C71" s="18">
        <v>14000</v>
      </c>
      <c r="D71" s="18">
        <v>14000</v>
      </c>
      <c r="E71" s="18">
        <v>14000</v>
      </c>
      <c r="F71" s="19">
        <f>CHOOSE($C$6,C71,D71,E71)</f>
        <v>14000</v>
      </c>
      <c r="G71" s="15" t="s">
        <v>92</v>
      </c>
      <c r="H71" s="85" t="s">
        <v>165</v>
      </c>
      <c r="I71" s="86"/>
    </row>
    <row r="72" spans="2:9" ht="15" customHeight="1" x14ac:dyDescent="0.3">
      <c r="B72" s="4" t="s">
        <v>166</v>
      </c>
      <c r="C72" s="13">
        <v>150</v>
      </c>
      <c r="D72" s="13">
        <v>150</v>
      </c>
      <c r="E72" s="13">
        <v>150</v>
      </c>
      <c r="F72" s="14">
        <f>CHOOSE($C$6,C72,D72,E72)</f>
        <v>150</v>
      </c>
      <c r="G72" s="15" t="s">
        <v>139</v>
      </c>
      <c r="H72" s="85" t="s">
        <v>167</v>
      </c>
      <c r="I72" s="86"/>
    </row>
    <row r="73" spans="2:9" ht="15" customHeight="1" x14ac:dyDescent="0.3">
      <c r="B73" s="4" t="s">
        <v>168</v>
      </c>
      <c r="C73" s="13">
        <v>90</v>
      </c>
      <c r="D73" s="13">
        <v>90</v>
      </c>
      <c r="E73" s="13">
        <v>90</v>
      </c>
      <c r="F73" s="14">
        <f>CHOOSE($C$6,C73,D73,E73)</f>
        <v>90</v>
      </c>
      <c r="G73" s="15" t="s">
        <v>139</v>
      </c>
      <c r="H73" s="85"/>
      <c r="I73" s="86"/>
    </row>
  </sheetData>
  <mergeCells count="61">
    <mergeCell ref="H13:I13"/>
    <mergeCell ref="H66:I66"/>
    <mergeCell ref="H65:I65"/>
    <mergeCell ref="H24:I24"/>
    <mergeCell ref="H42:I42"/>
    <mergeCell ref="H62:I62"/>
    <mergeCell ref="H15:I15"/>
    <mergeCell ref="H33:I33"/>
    <mergeCell ref="B64:I64"/>
    <mergeCell ref="H73:I73"/>
    <mergeCell ref="B2:I2"/>
    <mergeCell ref="H60:I60"/>
    <mergeCell ref="H49:I49"/>
    <mergeCell ref="H61:I61"/>
    <mergeCell ref="H70:I70"/>
    <mergeCell ref="H17:I17"/>
    <mergeCell ref="H11:I11"/>
    <mergeCell ref="H16:I16"/>
    <mergeCell ref="B69:I69"/>
    <mergeCell ref="H32:I32"/>
    <mergeCell ref="H72:I72"/>
    <mergeCell ref="B10:I10"/>
    <mergeCell ref="H71:I71"/>
    <mergeCell ref="B5:I5"/>
    <mergeCell ref="B19:I19"/>
    <mergeCell ref="H37:I37"/>
    <mergeCell ref="H57:I57"/>
    <mergeCell ref="B3:I3"/>
    <mergeCell ref="H41:I41"/>
    <mergeCell ref="B27:I27"/>
    <mergeCell ref="H25:I25"/>
    <mergeCell ref="H21:I21"/>
    <mergeCell ref="H12:I12"/>
    <mergeCell ref="H8:I8"/>
    <mergeCell ref="H23:I23"/>
    <mergeCell ref="B36:I36"/>
    <mergeCell ref="H14:I14"/>
    <mergeCell ref="H30:I30"/>
    <mergeCell ref="D6:I6"/>
    <mergeCell ref="H48:I48"/>
    <mergeCell ref="H56:I56"/>
    <mergeCell ref="H39:I39"/>
    <mergeCell ref="H34:I34"/>
    <mergeCell ref="B52:I52"/>
    <mergeCell ref="H53:I53"/>
    <mergeCell ref="H67:I67"/>
    <mergeCell ref="H20:I20"/>
    <mergeCell ref="H38:I38"/>
    <mergeCell ref="H29:I29"/>
    <mergeCell ref="H54:I54"/>
    <mergeCell ref="H43:I43"/>
    <mergeCell ref="H22:I22"/>
    <mergeCell ref="H28:I28"/>
    <mergeCell ref="H47:I47"/>
    <mergeCell ref="B59:I59"/>
    <mergeCell ref="H55:I55"/>
    <mergeCell ref="H50:I50"/>
    <mergeCell ref="H31:I31"/>
    <mergeCell ref="B46:I46"/>
    <mergeCell ref="H44:I44"/>
    <mergeCell ref="H40:I4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3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38" sqref="E38"/>
    </sheetView>
  </sheetViews>
  <sheetFormatPr defaultColWidth="8.6640625" defaultRowHeight="14.4" x14ac:dyDescent="0.3"/>
  <cols>
    <col min="1" max="1" width="3" customWidth="1"/>
    <col min="2" max="2" width="38" customWidth="1"/>
    <col min="3" max="14" width="11" customWidth="1"/>
    <col min="15" max="18" width="13" customWidth="1"/>
    <col min="19" max="19" width="50" customWidth="1"/>
    <col min="20" max="20" width="3" customWidth="1"/>
  </cols>
  <sheetData>
    <row r="2" spans="2:19" ht="27.75" customHeight="1" x14ac:dyDescent="0.3">
      <c r="B2" s="98" t="s">
        <v>169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</row>
    <row r="3" spans="2:19" ht="19.5" customHeight="1" x14ac:dyDescent="0.3">
      <c r="B3" s="91" t="s">
        <v>170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</row>
    <row r="5" spans="2:19" ht="27.75" customHeight="1" x14ac:dyDescent="0.3">
      <c r="B5" s="11" t="s">
        <v>171</v>
      </c>
      <c r="C5" s="11" t="s">
        <v>172</v>
      </c>
      <c r="D5" s="11" t="s">
        <v>173</v>
      </c>
      <c r="E5" s="11" t="s">
        <v>174</v>
      </c>
      <c r="F5" s="11" t="s">
        <v>175</v>
      </c>
      <c r="G5" s="11" t="s">
        <v>176</v>
      </c>
      <c r="H5" s="11" t="s">
        <v>177</v>
      </c>
      <c r="I5" s="11" t="s">
        <v>178</v>
      </c>
      <c r="J5" s="11" t="s">
        <v>179</v>
      </c>
      <c r="K5" s="11" t="s">
        <v>180</v>
      </c>
      <c r="L5" s="11" t="s">
        <v>181</v>
      </c>
      <c r="M5" s="11" t="s">
        <v>182</v>
      </c>
      <c r="N5" s="11" t="s">
        <v>183</v>
      </c>
      <c r="O5" s="11" t="s">
        <v>184</v>
      </c>
      <c r="P5" s="11" t="s">
        <v>185</v>
      </c>
      <c r="Q5" s="20" t="s">
        <v>186</v>
      </c>
      <c r="R5" s="20" t="s">
        <v>187</v>
      </c>
      <c r="S5" s="20" t="s">
        <v>188</v>
      </c>
    </row>
    <row r="7" spans="2:19" ht="19.5" customHeight="1" x14ac:dyDescent="0.3">
      <c r="B7" s="92" t="s">
        <v>189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</row>
    <row r="8" spans="2:19" ht="21.75" customHeight="1" x14ac:dyDescent="0.3">
      <c r="B8" s="4" t="s">
        <v>190</v>
      </c>
      <c r="C8" s="13">
        <v>1180</v>
      </c>
      <c r="D8" s="13">
        <v>1240</v>
      </c>
      <c r="E8" s="13">
        <v>1310</v>
      </c>
      <c r="F8" s="13">
        <v>1380</v>
      </c>
      <c r="G8" s="13">
        <v>1290</v>
      </c>
      <c r="H8" s="13">
        <v>1420</v>
      </c>
      <c r="I8" s="13">
        <v>1305</v>
      </c>
      <c r="J8" s="13">
        <v>1265</v>
      </c>
      <c r="K8" s="13">
        <v>1340</v>
      </c>
      <c r="L8" s="13">
        <v>1410</v>
      </c>
      <c r="M8" s="13">
        <v>1395</v>
      </c>
      <c r="N8" s="13">
        <v>1450</v>
      </c>
      <c r="O8" s="14">
        <f t="shared" ref="O8:O13" si="0">SUM(C8:N8)</f>
        <v>15985</v>
      </c>
      <c r="P8" s="13">
        <v>14815</v>
      </c>
      <c r="Q8" s="21">
        <f t="shared" ref="Q8:Q13" si="1">O8-P8</f>
        <v>1170</v>
      </c>
      <c r="R8" s="22">
        <f t="shared" ref="R8:R13" si="2">IFERROR(O8/P8-1,0)</f>
        <v>7.8974012824839734E-2</v>
      </c>
      <c r="S8" s="23" t="s">
        <v>191</v>
      </c>
    </row>
    <row r="9" spans="2:19" ht="21.75" customHeight="1" x14ac:dyDescent="0.3">
      <c r="B9" s="4" t="s">
        <v>192</v>
      </c>
      <c r="C9" s="13">
        <v>785</v>
      </c>
      <c r="D9" s="13">
        <v>790</v>
      </c>
      <c r="E9" s="13">
        <v>770</v>
      </c>
      <c r="F9" s="13">
        <v>795</v>
      </c>
      <c r="G9" s="13">
        <v>800</v>
      </c>
      <c r="H9" s="13">
        <v>815</v>
      </c>
      <c r="I9" s="13">
        <v>770</v>
      </c>
      <c r="J9" s="13">
        <v>765</v>
      </c>
      <c r="K9" s="13">
        <v>780</v>
      </c>
      <c r="L9" s="13">
        <v>800</v>
      </c>
      <c r="M9" s="13">
        <v>810</v>
      </c>
      <c r="N9" s="13">
        <v>815</v>
      </c>
      <c r="O9" s="14">
        <f t="shared" si="0"/>
        <v>9495</v>
      </c>
      <c r="P9" s="13">
        <v>9600</v>
      </c>
      <c r="Q9" s="21">
        <f t="shared" si="1"/>
        <v>-105</v>
      </c>
      <c r="R9" s="22">
        <f t="shared" si="2"/>
        <v>-1.0937500000000044E-2</v>
      </c>
      <c r="S9" s="23" t="s">
        <v>193</v>
      </c>
    </row>
    <row r="10" spans="2:19" ht="15" customHeight="1" x14ac:dyDescent="0.3">
      <c r="B10" s="4" t="s">
        <v>194</v>
      </c>
      <c r="C10" s="13">
        <v>80</v>
      </c>
      <c r="D10" s="13">
        <v>85</v>
      </c>
      <c r="E10" s="13">
        <v>100</v>
      </c>
      <c r="F10" s="13">
        <v>110</v>
      </c>
      <c r="G10" s="13">
        <v>95</v>
      </c>
      <c r="H10" s="13">
        <v>90</v>
      </c>
      <c r="I10" s="13">
        <v>85</v>
      </c>
      <c r="J10" s="13">
        <v>90</v>
      </c>
      <c r="K10" s="13">
        <v>95</v>
      </c>
      <c r="L10" s="13">
        <v>100</v>
      </c>
      <c r="M10" s="13">
        <v>95</v>
      </c>
      <c r="N10" s="13">
        <v>95</v>
      </c>
      <c r="O10" s="14">
        <f t="shared" si="0"/>
        <v>1120</v>
      </c>
      <c r="P10" s="13">
        <v>1200</v>
      </c>
      <c r="Q10" s="21">
        <f t="shared" si="1"/>
        <v>-80</v>
      </c>
      <c r="R10" s="22">
        <f t="shared" si="2"/>
        <v>-6.6666666666666652E-2</v>
      </c>
      <c r="S10" s="23" t="s">
        <v>195</v>
      </c>
    </row>
    <row r="11" spans="2:19" ht="15" customHeight="1" x14ac:dyDescent="0.3">
      <c r="B11" s="4" t="s">
        <v>196</v>
      </c>
      <c r="C11" s="13">
        <v>125</v>
      </c>
      <c r="D11" s="13">
        <v>130</v>
      </c>
      <c r="E11" s="13">
        <v>135</v>
      </c>
      <c r="F11" s="13">
        <v>140</v>
      </c>
      <c r="G11" s="13">
        <v>130</v>
      </c>
      <c r="H11" s="13">
        <v>135</v>
      </c>
      <c r="I11" s="13">
        <v>130</v>
      </c>
      <c r="J11" s="13">
        <v>130</v>
      </c>
      <c r="K11" s="13">
        <v>135</v>
      </c>
      <c r="L11" s="13">
        <v>140</v>
      </c>
      <c r="M11" s="13">
        <v>140</v>
      </c>
      <c r="N11" s="13">
        <v>140</v>
      </c>
      <c r="O11" s="14">
        <f t="shared" si="0"/>
        <v>1610</v>
      </c>
      <c r="P11" s="13">
        <v>1620</v>
      </c>
      <c r="Q11" s="21">
        <f t="shared" si="1"/>
        <v>-10</v>
      </c>
      <c r="R11" s="22">
        <f t="shared" si="2"/>
        <v>-6.1728395061728669E-3</v>
      </c>
      <c r="S11" s="23" t="s">
        <v>197</v>
      </c>
    </row>
    <row r="12" spans="2:19" ht="21.75" customHeight="1" x14ac:dyDescent="0.3">
      <c r="B12" s="4" t="s">
        <v>198</v>
      </c>
      <c r="C12" s="13">
        <v>475</v>
      </c>
      <c r="D12" s="13">
        <v>490</v>
      </c>
      <c r="E12" s="13">
        <v>505</v>
      </c>
      <c r="F12" s="13">
        <v>510</v>
      </c>
      <c r="G12" s="13">
        <v>495</v>
      </c>
      <c r="H12" s="13">
        <v>510</v>
      </c>
      <c r="I12" s="13">
        <v>485</v>
      </c>
      <c r="J12" s="13">
        <v>485</v>
      </c>
      <c r="K12" s="13">
        <v>500</v>
      </c>
      <c r="L12" s="13">
        <v>510</v>
      </c>
      <c r="M12" s="13">
        <v>510</v>
      </c>
      <c r="N12" s="13">
        <v>520</v>
      </c>
      <c r="O12" s="14">
        <f t="shared" si="0"/>
        <v>5995</v>
      </c>
      <c r="P12" s="13">
        <v>5880</v>
      </c>
      <c r="Q12" s="21">
        <f t="shared" si="1"/>
        <v>115</v>
      </c>
      <c r="R12" s="22">
        <f t="shared" si="2"/>
        <v>1.9557823129251695E-2</v>
      </c>
      <c r="S12" s="23" t="s">
        <v>199</v>
      </c>
    </row>
    <row r="13" spans="2:19" ht="21.75" customHeight="1" x14ac:dyDescent="0.3">
      <c r="B13" s="24" t="s">
        <v>200</v>
      </c>
      <c r="C13" s="25">
        <f t="shared" ref="C13:N13" si="3">SUM(C8:C12)</f>
        <v>2645</v>
      </c>
      <c r="D13" s="25">
        <f t="shared" si="3"/>
        <v>2735</v>
      </c>
      <c r="E13" s="25">
        <f t="shared" si="3"/>
        <v>2820</v>
      </c>
      <c r="F13" s="25">
        <f t="shared" si="3"/>
        <v>2935</v>
      </c>
      <c r="G13" s="25">
        <f t="shared" si="3"/>
        <v>2810</v>
      </c>
      <c r="H13" s="25">
        <f t="shared" si="3"/>
        <v>2970</v>
      </c>
      <c r="I13" s="25">
        <f t="shared" si="3"/>
        <v>2775</v>
      </c>
      <c r="J13" s="25">
        <f t="shared" si="3"/>
        <v>2735</v>
      </c>
      <c r="K13" s="25">
        <f t="shared" si="3"/>
        <v>2850</v>
      </c>
      <c r="L13" s="25">
        <f t="shared" si="3"/>
        <v>2960</v>
      </c>
      <c r="M13" s="25">
        <f t="shared" si="3"/>
        <v>2950</v>
      </c>
      <c r="N13" s="25">
        <f t="shared" si="3"/>
        <v>3020</v>
      </c>
      <c r="O13" s="25">
        <f t="shared" si="0"/>
        <v>34205</v>
      </c>
      <c r="P13" s="25">
        <f>SUM(P8:P12)</f>
        <v>33115</v>
      </c>
      <c r="Q13" s="25">
        <f t="shared" si="1"/>
        <v>1090</v>
      </c>
      <c r="R13" s="26">
        <f t="shared" si="2"/>
        <v>3.291559716140724E-2</v>
      </c>
      <c r="S13" s="27" t="s">
        <v>201</v>
      </c>
    </row>
    <row r="15" spans="2:19" ht="19.5" customHeight="1" x14ac:dyDescent="0.3">
      <c r="B15" s="92" t="s">
        <v>202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</row>
    <row r="16" spans="2:19" ht="21.75" customHeight="1" x14ac:dyDescent="0.3">
      <c r="B16" s="4" t="s">
        <v>203</v>
      </c>
      <c r="C16" s="13">
        <v>445</v>
      </c>
      <c r="D16" s="13">
        <v>445</v>
      </c>
      <c r="E16" s="13">
        <v>450</v>
      </c>
      <c r="F16" s="13">
        <v>458</v>
      </c>
      <c r="G16" s="13">
        <v>462</v>
      </c>
      <c r="H16" s="13">
        <v>465</v>
      </c>
      <c r="I16" s="13">
        <v>468</v>
      </c>
      <c r="J16" s="13">
        <v>470</v>
      </c>
      <c r="K16" s="13">
        <v>475</v>
      </c>
      <c r="L16" s="13">
        <v>480</v>
      </c>
      <c r="M16" s="13">
        <v>488</v>
      </c>
      <c r="N16" s="13">
        <v>495</v>
      </c>
      <c r="O16" s="14">
        <f t="shared" ref="O16:O26" si="4">SUM(C16:N16)</f>
        <v>5601</v>
      </c>
      <c r="P16" s="13">
        <v>5560</v>
      </c>
      <c r="Q16" s="21">
        <f t="shared" ref="Q16:Q26" si="5">P16-O16</f>
        <v>-41</v>
      </c>
      <c r="R16" s="22">
        <f t="shared" ref="R16:R26" si="6">IFERROR((P16-O16)/P16,0)</f>
        <v>-7.3741007194244607E-3</v>
      </c>
      <c r="S16" s="23" t="s">
        <v>204</v>
      </c>
    </row>
    <row r="17" spans="2:19" ht="21.75" customHeight="1" x14ac:dyDescent="0.3">
      <c r="B17" s="4" t="s">
        <v>205</v>
      </c>
      <c r="C17" s="13">
        <v>127</v>
      </c>
      <c r="D17" s="13">
        <v>127</v>
      </c>
      <c r="E17" s="13">
        <v>128</v>
      </c>
      <c r="F17" s="13">
        <v>131</v>
      </c>
      <c r="G17" s="13">
        <v>132</v>
      </c>
      <c r="H17" s="13">
        <v>133</v>
      </c>
      <c r="I17" s="13">
        <v>133</v>
      </c>
      <c r="J17" s="13">
        <v>134</v>
      </c>
      <c r="K17" s="13">
        <v>135</v>
      </c>
      <c r="L17" s="13">
        <v>137</v>
      </c>
      <c r="M17" s="13">
        <v>139</v>
      </c>
      <c r="N17" s="13">
        <v>141</v>
      </c>
      <c r="O17" s="14">
        <f t="shared" si="4"/>
        <v>1597</v>
      </c>
      <c r="P17" s="13">
        <v>1586</v>
      </c>
      <c r="Q17" s="21">
        <f t="shared" si="5"/>
        <v>-11</v>
      </c>
      <c r="R17" s="22">
        <f t="shared" si="6"/>
        <v>-6.9356872635561164E-3</v>
      </c>
      <c r="S17" s="23" t="s">
        <v>206</v>
      </c>
    </row>
    <row r="18" spans="2:19" ht="15" customHeight="1" x14ac:dyDescent="0.3">
      <c r="B18" s="28" t="s">
        <v>207</v>
      </c>
      <c r="C18" s="29">
        <f t="shared" ref="C18:N18" si="7">C16+C17</f>
        <v>572</v>
      </c>
      <c r="D18" s="29">
        <f t="shared" si="7"/>
        <v>572</v>
      </c>
      <c r="E18" s="29">
        <f t="shared" si="7"/>
        <v>578</v>
      </c>
      <c r="F18" s="29">
        <f t="shared" si="7"/>
        <v>589</v>
      </c>
      <c r="G18" s="29">
        <f t="shared" si="7"/>
        <v>594</v>
      </c>
      <c r="H18" s="29">
        <f t="shared" si="7"/>
        <v>598</v>
      </c>
      <c r="I18" s="29">
        <f t="shared" si="7"/>
        <v>601</v>
      </c>
      <c r="J18" s="29">
        <f t="shared" si="7"/>
        <v>604</v>
      </c>
      <c r="K18" s="29">
        <f t="shared" si="7"/>
        <v>610</v>
      </c>
      <c r="L18" s="29">
        <f t="shared" si="7"/>
        <v>617</v>
      </c>
      <c r="M18" s="29">
        <f t="shared" si="7"/>
        <v>627</v>
      </c>
      <c r="N18" s="29">
        <f t="shared" si="7"/>
        <v>636</v>
      </c>
      <c r="O18" s="30">
        <f t="shared" si="4"/>
        <v>7198</v>
      </c>
      <c r="P18" s="29">
        <f>P16+P17</f>
        <v>7146</v>
      </c>
      <c r="Q18" s="29">
        <f t="shared" si="5"/>
        <v>-52</v>
      </c>
      <c r="R18" s="31">
        <f t="shared" si="6"/>
        <v>-7.2767982087881336E-3</v>
      </c>
    </row>
    <row r="19" spans="2:19" ht="21.75" customHeight="1" x14ac:dyDescent="0.3">
      <c r="B19" s="4" t="s">
        <v>208</v>
      </c>
      <c r="C19" s="13">
        <v>305</v>
      </c>
      <c r="D19" s="13">
        <v>320</v>
      </c>
      <c r="E19" s="13">
        <v>335</v>
      </c>
      <c r="F19" s="13">
        <v>345</v>
      </c>
      <c r="G19" s="13">
        <v>325</v>
      </c>
      <c r="H19" s="13">
        <v>350</v>
      </c>
      <c r="I19" s="13">
        <v>320</v>
      </c>
      <c r="J19" s="13">
        <v>318</v>
      </c>
      <c r="K19" s="13">
        <v>340</v>
      </c>
      <c r="L19" s="13">
        <v>355</v>
      </c>
      <c r="M19" s="13">
        <v>360</v>
      </c>
      <c r="N19" s="13">
        <v>370</v>
      </c>
      <c r="O19" s="14">
        <f t="shared" si="4"/>
        <v>4043</v>
      </c>
      <c r="P19" s="13">
        <v>4008</v>
      </c>
      <c r="Q19" s="21">
        <f t="shared" si="5"/>
        <v>-35</v>
      </c>
      <c r="R19" s="22">
        <f t="shared" si="6"/>
        <v>-8.7325349301397206E-3</v>
      </c>
      <c r="S19" s="23" t="s">
        <v>209</v>
      </c>
    </row>
    <row r="20" spans="2:19" ht="15" customHeight="1" x14ac:dyDescent="0.3">
      <c r="B20" s="4" t="s">
        <v>210</v>
      </c>
      <c r="C20" s="13">
        <v>355</v>
      </c>
      <c r="D20" s="13">
        <v>360</v>
      </c>
      <c r="E20" s="13">
        <v>365</v>
      </c>
      <c r="F20" s="13">
        <v>370</v>
      </c>
      <c r="G20" s="13">
        <v>372</v>
      </c>
      <c r="H20" s="13">
        <v>375</v>
      </c>
      <c r="I20" s="13">
        <v>376</v>
      </c>
      <c r="J20" s="13">
        <v>380</v>
      </c>
      <c r="K20" s="13">
        <v>380</v>
      </c>
      <c r="L20" s="13">
        <v>385</v>
      </c>
      <c r="M20" s="13">
        <v>390</v>
      </c>
      <c r="N20" s="13">
        <v>395</v>
      </c>
      <c r="O20" s="14">
        <f t="shared" si="4"/>
        <v>4503</v>
      </c>
      <c r="P20" s="13">
        <v>4500</v>
      </c>
      <c r="Q20" s="21">
        <f t="shared" si="5"/>
        <v>-3</v>
      </c>
      <c r="R20" s="22">
        <f t="shared" si="6"/>
        <v>-6.6666666666666664E-4</v>
      </c>
      <c r="S20" s="23" t="s">
        <v>211</v>
      </c>
    </row>
    <row r="21" spans="2:19" ht="21.75" customHeight="1" x14ac:dyDescent="0.3">
      <c r="B21" s="4" t="s">
        <v>212</v>
      </c>
      <c r="C21" s="13">
        <v>810</v>
      </c>
      <c r="D21" s="13">
        <v>835</v>
      </c>
      <c r="E21" s="13">
        <v>875</v>
      </c>
      <c r="F21" s="13">
        <v>915</v>
      </c>
      <c r="G21" s="13">
        <v>855</v>
      </c>
      <c r="H21" s="13">
        <v>930</v>
      </c>
      <c r="I21" s="13">
        <v>845</v>
      </c>
      <c r="J21" s="13">
        <v>835</v>
      </c>
      <c r="K21" s="13">
        <v>890</v>
      </c>
      <c r="L21" s="13">
        <v>930</v>
      </c>
      <c r="M21" s="13">
        <v>940</v>
      </c>
      <c r="N21" s="13">
        <v>980</v>
      </c>
      <c r="O21" s="14">
        <f t="shared" si="4"/>
        <v>10640</v>
      </c>
      <c r="P21" s="13">
        <v>10710</v>
      </c>
      <c r="Q21" s="21">
        <f t="shared" si="5"/>
        <v>70</v>
      </c>
      <c r="R21" s="22">
        <f t="shared" si="6"/>
        <v>6.5359477124183009E-3</v>
      </c>
      <c r="S21" s="23" t="s">
        <v>213</v>
      </c>
    </row>
    <row r="22" spans="2:19" ht="15" customHeight="1" x14ac:dyDescent="0.3">
      <c r="B22" s="4" t="s">
        <v>214</v>
      </c>
      <c r="C22" s="13">
        <v>22</v>
      </c>
      <c r="D22" s="13">
        <v>22</v>
      </c>
      <c r="E22" s="13">
        <v>23</v>
      </c>
      <c r="F22" s="13">
        <v>23</v>
      </c>
      <c r="G22" s="13">
        <v>23</v>
      </c>
      <c r="H22" s="13">
        <v>24</v>
      </c>
      <c r="I22" s="13">
        <v>24</v>
      </c>
      <c r="J22" s="13">
        <v>24</v>
      </c>
      <c r="K22" s="13">
        <v>25</v>
      </c>
      <c r="L22" s="13">
        <v>25</v>
      </c>
      <c r="M22" s="13">
        <v>25</v>
      </c>
      <c r="N22" s="13">
        <v>26</v>
      </c>
      <c r="O22" s="14">
        <f t="shared" si="4"/>
        <v>286</v>
      </c>
      <c r="P22" s="13">
        <v>282</v>
      </c>
      <c r="Q22" s="21">
        <f t="shared" si="5"/>
        <v>-4</v>
      </c>
      <c r="R22" s="22">
        <f t="shared" si="6"/>
        <v>-1.4184397163120567E-2</v>
      </c>
      <c r="S22" s="23" t="s">
        <v>215</v>
      </c>
    </row>
    <row r="23" spans="2:19" ht="15" customHeight="1" x14ac:dyDescent="0.3">
      <c r="B23" s="4" t="s">
        <v>216</v>
      </c>
      <c r="C23" s="13">
        <v>9</v>
      </c>
      <c r="D23" s="13">
        <v>11</v>
      </c>
      <c r="E23" s="13">
        <v>12</v>
      </c>
      <c r="F23" s="13">
        <v>14</v>
      </c>
      <c r="G23" s="13">
        <v>10</v>
      </c>
      <c r="H23" s="13">
        <v>12</v>
      </c>
      <c r="I23" s="13">
        <v>10</v>
      </c>
      <c r="J23" s="13">
        <v>11</v>
      </c>
      <c r="K23" s="13">
        <v>13</v>
      </c>
      <c r="L23" s="13">
        <v>14</v>
      </c>
      <c r="M23" s="13">
        <v>13</v>
      </c>
      <c r="N23" s="13">
        <v>14</v>
      </c>
      <c r="O23" s="14">
        <f t="shared" si="4"/>
        <v>143</v>
      </c>
      <c r="P23" s="13">
        <v>140</v>
      </c>
      <c r="Q23" s="21">
        <f t="shared" si="5"/>
        <v>-3</v>
      </c>
      <c r="R23" s="22">
        <f t="shared" si="6"/>
        <v>-2.1428571428571429E-2</v>
      </c>
      <c r="S23" s="23" t="s">
        <v>217</v>
      </c>
    </row>
    <row r="24" spans="2:19" ht="15" customHeight="1" x14ac:dyDescent="0.3">
      <c r="B24" s="4" t="s">
        <v>218</v>
      </c>
      <c r="C24" s="13">
        <v>71</v>
      </c>
      <c r="D24" s="13">
        <v>71</v>
      </c>
      <c r="E24" s="13">
        <v>71</v>
      </c>
      <c r="F24" s="13">
        <v>71</v>
      </c>
      <c r="G24" s="13">
        <v>71</v>
      </c>
      <c r="H24" s="13">
        <v>71</v>
      </c>
      <c r="I24" s="13">
        <v>71</v>
      </c>
      <c r="J24" s="13">
        <v>71</v>
      </c>
      <c r="K24" s="13">
        <v>71</v>
      </c>
      <c r="L24" s="13">
        <v>71</v>
      </c>
      <c r="M24" s="13">
        <v>71</v>
      </c>
      <c r="N24" s="13">
        <v>70</v>
      </c>
      <c r="O24" s="14">
        <f t="shared" si="4"/>
        <v>851</v>
      </c>
      <c r="P24" s="13">
        <v>852</v>
      </c>
      <c r="Q24" s="21">
        <f t="shared" si="5"/>
        <v>1</v>
      </c>
      <c r="R24" s="22">
        <f t="shared" si="6"/>
        <v>1.1737089201877935E-3</v>
      </c>
      <c r="S24" s="23" t="s">
        <v>219</v>
      </c>
    </row>
    <row r="25" spans="2:19" ht="15" customHeight="1" x14ac:dyDescent="0.3">
      <c r="B25" s="4" t="s">
        <v>220</v>
      </c>
      <c r="C25" s="13">
        <v>35</v>
      </c>
      <c r="D25" s="13">
        <v>35</v>
      </c>
      <c r="E25" s="13">
        <v>36</v>
      </c>
      <c r="F25" s="13">
        <v>36</v>
      </c>
      <c r="G25" s="13">
        <v>36</v>
      </c>
      <c r="H25" s="13">
        <v>37</v>
      </c>
      <c r="I25" s="13">
        <v>36</v>
      </c>
      <c r="J25" s="13">
        <v>36</v>
      </c>
      <c r="K25" s="13">
        <v>37</v>
      </c>
      <c r="L25" s="13">
        <v>38</v>
      </c>
      <c r="M25" s="13">
        <v>38</v>
      </c>
      <c r="N25" s="13">
        <v>38</v>
      </c>
      <c r="O25" s="14">
        <f t="shared" si="4"/>
        <v>438</v>
      </c>
      <c r="P25" s="13">
        <v>427</v>
      </c>
      <c r="Q25" s="21">
        <f t="shared" si="5"/>
        <v>-11</v>
      </c>
      <c r="R25" s="22">
        <f t="shared" si="6"/>
        <v>-2.576112412177986E-2</v>
      </c>
      <c r="S25" s="23" t="s">
        <v>221</v>
      </c>
    </row>
    <row r="26" spans="2:19" ht="15" customHeight="1" x14ac:dyDescent="0.3">
      <c r="B26" s="4" t="s">
        <v>222</v>
      </c>
      <c r="C26" s="13">
        <v>285</v>
      </c>
      <c r="D26" s="13">
        <v>290</v>
      </c>
      <c r="E26" s="13">
        <v>295</v>
      </c>
      <c r="F26" s="13">
        <v>298</v>
      </c>
      <c r="G26" s="13">
        <v>295</v>
      </c>
      <c r="H26" s="13">
        <v>305</v>
      </c>
      <c r="I26" s="13">
        <v>290</v>
      </c>
      <c r="J26" s="13">
        <v>288</v>
      </c>
      <c r="K26" s="13">
        <v>295</v>
      </c>
      <c r="L26" s="13">
        <v>305</v>
      </c>
      <c r="M26" s="13">
        <v>310</v>
      </c>
      <c r="N26" s="13">
        <v>315</v>
      </c>
      <c r="O26" s="14">
        <f t="shared" si="4"/>
        <v>3571</v>
      </c>
      <c r="P26" s="13">
        <v>3559</v>
      </c>
      <c r="Q26" s="21">
        <f t="shared" si="5"/>
        <v>-12</v>
      </c>
      <c r="R26" s="22">
        <f t="shared" si="6"/>
        <v>-3.3717336330429896E-3</v>
      </c>
      <c r="S26" s="23" t="s">
        <v>223</v>
      </c>
    </row>
    <row r="28" spans="2:19" ht="21.75" customHeight="1" x14ac:dyDescent="0.3">
      <c r="B28" s="24" t="s">
        <v>224</v>
      </c>
      <c r="C28" s="25">
        <f t="shared" ref="C28:N28" si="8">C18+SUM(C19:C26)</f>
        <v>2464</v>
      </c>
      <c r="D28" s="25">
        <f t="shared" si="8"/>
        <v>2516</v>
      </c>
      <c r="E28" s="25">
        <f t="shared" si="8"/>
        <v>2590</v>
      </c>
      <c r="F28" s="25">
        <f t="shared" si="8"/>
        <v>2661</v>
      </c>
      <c r="G28" s="25">
        <f t="shared" si="8"/>
        <v>2581</v>
      </c>
      <c r="H28" s="25">
        <f t="shared" si="8"/>
        <v>2702</v>
      </c>
      <c r="I28" s="25">
        <f t="shared" si="8"/>
        <v>2573</v>
      </c>
      <c r="J28" s="25">
        <f t="shared" si="8"/>
        <v>2567</v>
      </c>
      <c r="K28" s="25">
        <f t="shared" si="8"/>
        <v>2661</v>
      </c>
      <c r="L28" s="25">
        <f t="shared" si="8"/>
        <v>2740</v>
      </c>
      <c r="M28" s="25">
        <f t="shared" si="8"/>
        <v>2774</v>
      </c>
      <c r="N28" s="25">
        <f t="shared" si="8"/>
        <v>2844</v>
      </c>
      <c r="O28" s="25">
        <f>SUM(C28:N28)</f>
        <v>31673</v>
      </c>
      <c r="P28" s="25">
        <f>P18+SUM(P19:P26)</f>
        <v>31624</v>
      </c>
      <c r="Q28" s="25">
        <f>P28-O28</f>
        <v>-49</v>
      </c>
      <c r="R28" s="26">
        <f>IFERROR((P28-O28)/P28,0)</f>
        <v>-1.5494561092840881E-3</v>
      </c>
      <c r="S28" s="27" t="s">
        <v>225</v>
      </c>
    </row>
    <row r="30" spans="2:19" ht="19.5" customHeight="1" x14ac:dyDescent="0.3">
      <c r="B30" s="92" t="s">
        <v>226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</row>
    <row r="31" spans="2:19" ht="21.75" customHeight="1" x14ac:dyDescent="0.3">
      <c r="B31" s="32" t="s">
        <v>227</v>
      </c>
      <c r="C31" s="33">
        <f t="shared" ref="C31:P31" si="9">C13-C28</f>
        <v>181</v>
      </c>
      <c r="D31" s="33">
        <f t="shared" si="9"/>
        <v>219</v>
      </c>
      <c r="E31" s="33">
        <f t="shared" si="9"/>
        <v>230</v>
      </c>
      <c r="F31" s="33">
        <f t="shared" si="9"/>
        <v>274</v>
      </c>
      <c r="G31" s="33">
        <f t="shared" si="9"/>
        <v>229</v>
      </c>
      <c r="H31" s="33">
        <f t="shared" si="9"/>
        <v>268</v>
      </c>
      <c r="I31" s="33">
        <f t="shared" si="9"/>
        <v>202</v>
      </c>
      <c r="J31" s="33">
        <f t="shared" si="9"/>
        <v>168</v>
      </c>
      <c r="K31" s="33">
        <f t="shared" si="9"/>
        <v>189</v>
      </c>
      <c r="L31" s="33">
        <f t="shared" si="9"/>
        <v>220</v>
      </c>
      <c r="M31" s="33">
        <f t="shared" si="9"/>
        <v>176</v>
      </c>
      <c r="N31" s="33">
        <f t="shared" si="9"/>
        <v>176</v>
      </c>
      <c r="O31" s="33">
        <f t="shared" si="9"/>
        <v>2532</v>
      </c>
      <c r="P31" s="33">
        <f t="shared" si="9"/>
        <v>1491</v>
      </c>
      <c r="Q31" s="33">
        <f>O31-P31</f>
        <v>1041</v>
      </c>
      <c r="R31" s="34">
        <f>IFERROR((O31-P31)/ABS(P31),0)</f>
        <v>0.69818913480885314</v>
      </c>
      <c r="S31" s="35" t="s">
        <v>228</v>
      </c>
    </row>
    <row r="32" spans="2:19" ht="15" customHeight="1" x14ac:dyDescent="0.3">
      <c r="B32" s="6" t="s">
        <v>229</v>
      </c>
      <c r="C32" s="36">
        <f t="shared" ref="C32:P32" si="10">IFERROR(C31/C13,0)</f>
        <v>6.8431001890359167E-2</v>
      </c>
      <c r="D32" s="36">
        <f t="shared" si="10"/>
        <v>8.0073126142595971E-2</v>
      </c>
      <c r="E32" s="36">
        <f t="shared" si="10"/>
        <v>8.1560283687943269E-2</v>
      </c>
      <c r="F32" s="36">
        <f t="shared" si="10"/>
        <v>9.3356047700170364E-2</v>
      </c>
      <c r="G32" s="36">
        <f t="shared" si="10"/>
        <v>8.1494661921708192E-2</v>
      </c>
      <c r="H32" s="36">
        <f t="shared" si="10"/>
        <v>9.0235690235690239E-2</v>
      </c>
      <c r="I32" s="36">
        <f t="shared" si="10"/>
        <v>7.2792792792792799E-2</v>
      </c>
      <c r="J32" s="36">
        <f t="shared" si="10"/>
        <v>6.142595978062157E-2</v>
      </c>
      <c r="K32" s="36">
        <f t="shared" si="10"/>
        <v>6.6315789473684217E-2</v>
      </c>
      <c r="L32" s="36">
        <f t="shared" si="10"/>
        <v>7.4324324324324328E-2</v>
      </c>
      <c r="M32" s="36">
        <f t="shared" si="10"/>
        <v>5.9661016949152545E-2</v>
      </c>
      <c r="N32" s="36">
        <f t="shared" si="10"/>
        <v>5.8278145695364242E-2</v>
      </c>
      <c r="O32" s="36">
        <f t="shared" si="10"/>
        <v>7.4024265458266333E-2</v>
      </c>
      <c r="P32" s="36">
        <f t="shared" si="10"/>
        <v>4.5024913181337764E-2</v>
      </c>
      <c r="Q32" s="36">
        <f>O32-P32</f>
        <v>2.8999352276928569E-2</v>
      </c>
      <c r="R32" s="37"/>
      <c r="S32" s="37"/>
    </row>
    <row r="34" spans="2:19" ht="19.5" customHeight="1" x14ac:dyDescent="0.3">
      <c r="B34" s="100" t="s">
        <v>230</v>
      </c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</row>
    <row r="35" spans="2:19" ht="30" customHeight="1" x14ac:dyDescent="0.3">
      <c r="B35" s="88" t="s">
        <v>231</v>
      </c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</row>
    <row r="36" spans="2:19" ht="30" customHeight="1" x14ac:dyDescent="0.3">
      <c r="B36" s="90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</row>
    <row r="37" spans="2:19" ht="30" customHeight="1" x14ac:dyDescent="0.3">
      <c r="B37" s="90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</row>
  </sheetData>
  <mergeCells count="7">
    <mergeCell ref="B3:S3"/>
    <mergeCell ref="B2:S2"/>
    <mergeCell ref="B34:S34"/>
    <mergeCell ref="B35:S37"/>
    <mergeCell ref="B30:S30"/>
    <mergeCell ref="B15:S15"/>
    <mergeCell ref="B7:S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39"/>
  <sheetViews>
    <sheetView showGridLines="0" zoomScaleNormal="100" workbookViewId="0">
      <pane xSplit="1" ySplit="5" topLeftCell="B7" activePane="bottomRight" state="frozen"/>
      <selection pane="topRight" activeCell="B1" sqref="B1"/>
      <selection pane="bottomLeft" activeCell="A6" sqref="A6"/>
      <selection pane="bottomRight" activeCell="J15" sqref="J15"/>
    </sheetView>
  </sheetViews>
  <sheetFormatPr defaultColWidth="8.6640625" defaultRowHeight="14.4" x14ac:dyDescent="0.3"/>
  <cols>
    <col min="1" max="1" width="3" customWidth="1"/>
    <col min="2" max="2" width="38" customWidth="1"/>
    <col min="3" max="6" width="16" customWidth="1"/>
    <col min="7" max="7" width="30" customWidth="1"/>
  </cols>
  <sheetData>
    <row r="2" spans="2:7" ht="27.75" customHeight="1" x14ac:dyDescent="0.3">
      <c r="B2" s="98" t="s">
        <v>232</v>
      </c>
      <c r="C2" s="84"/>
      <c r="D2" s="84"/>
      <c r="E2" s="84"/>
      <c r="F2" s="84"/>
    </row>
    <row r="3" spans="2:7" ht="19.5" customHeight="1" x14ac:dyDescent="0.3">
      <c r="B3" s="91" t="s">
        <v>233</v>
      </c>
      <c r="C3" s="84"/>
      <c r="D3" s="84"/>
      <c r="E3" s="84"/>
      <c r="F3" s="84"/>
    </row>
    <row r="5" spans="2:7" ht="21.75" customHeight="1" x14ac:dyDescent="0.3">
      <c r="B5" s="11" t="s">
        <v>171</v>
      </c>
      <c r="C5" s="11" t="s">
        <v>234</v>
      </c>
      <c r="D5" s="11" t="s">
        <v>184</v>
      </c>
      <c r="E5" s="11" t="s">
        <v>235</v>
      </c>
      <c r="F5" s="11" t="s">
        <v>236</v>
      </c>
      <c r="G5" s="11" t="s">
        <v>237</v>
      </c>
    </row>
    <row r="7" spans="2:7" ht="19.5" customHeight="1" x14ac:dyDescent="0.3">
      <c r="B7" s="92" t="s">
        <v>238</v>
      </c>
      <c r="C7" s="84"/>
      <c r="D7" s="84"/>
      <c r="E7" s="84"/>
      <c r="F7" s="84"/>
      <c r="G7" s="84"/>
    </row>
    <row r="8" spans="2:7" ht="21.75" customHeight="1" x14ac:dyDescent="0.3">
      <c r="B8" s="4" t="s">
        <v>190</v>
      </c>
      <c r="C8" s="13">
        <v>14650</v>
      </c>
      <c r="D8" s="38">
        <f>'3. Budget Vs. Actual'!O8</f>
        <v>15985</v>
      </c>
      <c r="E8" s="39">
        <f>'3. Budget Vs. Actual'!O8*(1+'2. Assumptions'!$F$61)</f>
        <v>17103.95</v>
      </c>
      <c r="F8" s="22">
        <f t="shared" ref="F8:F13" si="0">IFERROR(D8/C8-1,0)</f>
        <v>9.1126279863481319E-2</v>
      </c>
      <c r="G8" s="23" t="s">
        <v>239</v>
      </c>
    </row>
    <row r="9" spans="2:7" ht="15" customHeight="1" x14ac:dyDescent="0.3">
      <c r="B9" s="4" t="s">
        <v>192</v>
      </c>
      <c r="C9" s="13">
        <v>9180</v>
      </c>
      <c r="D9" s="38">
        <f>'3. Budget Vs. Actual'!O9</f>
        <v>9495</v>
      </c>
      <c r="E9" s="39">
        <f>'3. Budget Vs. Actual'!O9*(1+'2. Assumptions'!$F$62)</f>
        <v>9874.8000000000011</v>
      </c>
      <c r="F9" s="22">
        <f t="shared" si="0"/>
        <v>3.4313725490196179E-2</v>
      </c>
      <c r="G9" s="23" t="s">
        <v>240</v>
      </c>
    </row>
    <row r="10" spans="2:7" ht="15" customHeight="1" x14ac:dyDescent="0.3">
      <c r="B10" s="4" t="s">
        <v>194</v>
      </c>
      <c r="C10" s="13">
        <v>1080</v>
      </c>
      <c r="D10" s="38">
        <f>'3. Budget Vs. Actual'!O10</f>
        <v>1120</v>
      </c>
      <c r="E10" s="39">
        <f>'3. Budget Vs. Actual'!O10*1.03</f>
        <v>1153.6000000000001</v>
      </c>
      <c r="F10" s="22">
        <f t="shared" si="0"/>
        <v>3.7037037037036979E-2</v>
      </c>
      <c r="G10" s="23" t="s">
        <v>241</v>
      </c>
    </row>
    <row r="11" spans="2:7" ht="15" customHeight="1" x14ac:dyDescent="0.3">
      <c r="B11" s="4" t="s">
        <v>196</v>
      </c>
      <c r="C11" s="13">
        <v>1565</v>
      </c>
      <c r="D11" s="38">
        <f>'3. Budget Vs. Actual'!O11</f>
        <v>1610</v>
      </c>
      <c r="E11" s="39">
        <f>'3. Budget Vs. Actual'!O11*1.02</f>
        <v>1642.2</v>
      </c>
      <c r="F11" s="22">
        <f t="shared" si="0"/>
        <v>2.8753993610223683E-2</v>
      </c>
      <c r="G11" s="23" t="s">
        <v>242</v>
      </c>
    </row>
    <row r="12" spans="2:7" ht="15" customHeight="1" x14ac:dyDescent="0.3">
      <c r="B12" s="4" t="s">
        <v>198</v>
      </c>
      <c r="C12" s="13">
        <v>5650</v>
      </c>
      <c r="D12" s="38">
        <f>'3. Budget Vs. Actual'!O12</f>
        <v>5995</v>
      </c>
      <c r="E12" s="39">
        <f>'3. Budget Vs. Actual'!O12*(1+'2. Assumptions'!$F$60)</f>
        <v>6414.6500000000005</v>
      </c>
      <c r="F12" s="22">
        <f t="shared" si="0"/>
        <v>6.1061946902654762E-2</v>
      </c>
      <c r="G12" s="23" t="s">
        <v>243</v>
      </c>
    </row>
    <row r="13" spans="2:7" ht="15" customHeight="1" x14ac:dyDescent="0.3">
      <c r="B13" s="24" t="s">
        <v>244</v>
      </c>
      <c r="C13" s="25">
        <f>SUM(C8:C12)</f>
        <v>32125</v>
      </c>
      <c r="D13" s="25">
        <f>SUM(D8:D12)</f>
        <v>34205</v>
      </c>
      <c r="E13" s="25">
        <f>SUM(E8:E12)</f>
        <v>36189.199999999997</v>
      </c>
      <c r="F13" s="26">
        <f t="shared" si="0"/>
        <v>6.4747081712062338E-2</v>
      </c>
      <c r="G13" s="40"/>
    </row>
    <row r="15" spans="2:7" ht="19.5" customHeight="1" x14ac:dyDescent="0.3">
      <c r="B15" s="92" t="s">
        <v>245</v>
      </c>
      <c r="C15" s="84"/>
      <c r="D15" s="84"/>
      <c r="E15" s="84"/>
      <c r="F15" s="84"/>
      <c r="G15" s="84"/>
    </row>
    <row r="16" spans="2:7" ht="15" customHeight="1" x14ac:dyDescent="0.3">
      <c r="B16" s="4" t="s">
        <v>203</v>
      </c>
      <c r="C16" s="13">
        <v>5350</v>
      </c>
      <c r="D16" s="38">
        <f>'3. Budget Vs. Actual'!O16</f>
        <v>5601</v>
      </c>
      <c r="E16" s="39">
        <f>'3. Budget Vs. Actual'!O16*(1+'2. Assumptions'!$F$38)</f>
        <v>5769.03</v>
      </c>
      <c r="F16" s="22">
        <f t="shared" ref="F16:F26" si="1">IFERROR(D16/C16-1,0)</f>
        <v>4.6915887850467186E-2</v>
      </c>
      <c r="G16" s="23" t="s">
        <v>246</v>
      </c>
    </row>
    <row r="17" spans="2:7" ht="15" customHeight="1" x14ac:dyDescent="0.3">
      <c r="B17" s="4" t="s">
        <v>247</v>
      </c>
      <c r="C17" s="13">
        <v>1525</v>
      </c>
      <c r="D17" s="38">
        <f>'3. Budget Vs. Actual'!O17</f>
        <v>1597</v>
      </c>
      <c r="E17" s="39">
        <f>E16*'2. Assumptions'!$F$37</f>
        <v>1586.48325</v>
      </c>
      <c r="F17" s="22">
        <f t="shared" si="1"/>
        <v>4.7213114754098395E-2</v>
      </c>
      <c r="G17" s="23" t="s">
        <v>248</v>
      </c>
    </row>
    <row r="18" spans="2:7" ht="15" customHeight="1" x14ac:dyDescent="0.3">
      <c r="B18" s="28" t="s">
        <v>207</v>
      </c>
      <c r="C18" s="29">
        <f>C16+C17</f>
        <v>6875</v>
      </c>
      <c r="D18" s="29">
        <f>D16+D17</f>
        <v>7198</v>
      </c>
      <c r="E18" s="29">
        <f>E16+E17</f>
        <v>7355.51325</v>
      </c>
      <c r="F18" s="31">
        <f t="shared" si="1"/>
        <v>4.6981818181818236E-2</v>
      </c>
      <c r="G18" s="41"/>
    </row>
    <row r="19" spans="2:7" ht="15" customHeight="1" x14ac:dyDescent="0.3">
      <c r="B19" s="4" t="s">
        <v>208</v>
      </c>
      <c r="C19" s="13">
        <v>2810</v>
      </c>
      <c r="D19" s="38">
        <f>'3. Budget Vs. Actual'!O19</f>
        <v>4043</v>
      </c>
      <c r="E19" s="39">
        <f>'3. Budget Vs. Actual'!O19*(1+'2. Assumptions'!$F$40)*(1+'2. Assumptions'!$F$60)</f>
        <v>4455.7903000000006</v>
      </c>
      <c r="F19" s="22">
        <f t="shared" si="1"/>
        <v>0.43879003558718854</v>
      </c>
      <c r="G19" s="23" t="s">
        <v>249</v>
      </c>
    </row>
    <row r="20" spans="2:7" ht="15" customHeight="1" x14ac:dyDescent="0.3">
      <c r="B20" s="4" t="s">
        <v>250</v>
      </c>
      <c r="C20" s="13">
        <v>2010</v>
      </c>
      <c r="D20" s="38">
        <f>'3. Budget Vs. Actual'!O20</f>
        <v>4503</v>
      </c>
      <c r="E20" s="39">
        <f>'3. Budget Vs. Actual'!O20*(1+'2. Assumptions'!$F$38)</f>
        <v>4638.09</v>
      </c>
      <c r="F20" s="22">
        <f t="shared" si="1"/>
        <v>1.2402985074626867</v>
      </c>
      <c r="G20" s="23" t="s">
        <v>251</v>
      </c>
    </row>
    <row r="21" spans="2:7" ht="15" customHeight="1" x14ac:dyDescent="0.3">
      <c r="B21" s="4" t="s">
        <v>252</v>
      </c>
      <c r="C21" s="13">
        <v>1080</v>
      </c>
      <c r="D21" s="38">
        <f>'3. Budget Vs. Actual'!O21</f>
        <v>10640</v>
      </c>
      <c r="E21" s="39">
        <f>'3. Budget Vs. Actual'!O21*(1+'2. Assumptions'!$F$40)</f>
        <v>10959.2</v>
      </c>
      <c r="F21" s="22">
        <f t="shared" si="1"/>
        <v>8.8518518518518512</v>
      </c>
      <c r="G21" s="23" t="s">
        <v>253</v>
      </c>
    </row>
    <row r="22" spans="2:7" ht="15" customHeight="1" x14ac:dyDescent="0.3">
      <c r="B22" s="4" t="s">
        <v>254</v>
      </c>
      <c r="C22" s="13">
        <v>282</v>
      </c>
      <c r="D22" s="38">
        <f>'3. Budget Vs. Actual'!O22</f>
        <v>286</v>
      </c>
      <c r="E22" s="39">
        <f>'3. Budget Vs. Actual'!O22*1.05</f>
        <v>300.3</v>
      </c>
      <c r="F22" s="22">
        <f t="shared" si="1"/>
        <v>1.4184397163120588E-2</v>
      </c>
      <c r="G22" s="23" t="s">
        <v>255</v>
      </c>
    </row>
    <row r="23" spans="2:7" ht="15" customHeight="1" x14ac:dyDescent="0.3">
      <c r="B23" s="4" t="s">
        <v>216</v>
      </c>
      <c r="C23" s="13">
        <v>138</v>
      </c>
      <c r="D23" s="38">
        <f>'3. Budget Vs. Actual'!O23</f>
        <v>143</v>
      </c>
      <c r="E23" s="39">
        <f>'3. Budget Vs. Actual'!O23*1.03</f>
        <v>147.29</v>
      </c>
      <c r="F23" s="22">
        <f t="shared" si="1"/>
        <v>3.6231884057970953E-2</v>
      </c>
      <c r="G23" s="23" t="s">
        <v>256</v>
      </c>
    </row>
    <row r="24" spans="2:7" ht="15" customHeight="1" x14ac:dyDescent="0.3">
      <c r="B24" s="4" t="s">
        <v>257</v>
      </c>
      <c r="C24" s="13">
        <v>845</v>
      </c>
      <c r="D24" s="38">
        <f>'3. Budget Vs. Actual'!O24</f>
        <v>851</v>
      </c>
      <c r="E24" s="39">
        <f>'3. Budget Vs. Actual'!O24*1.025</f>
        <v>872.27499999999998</v>
      </c>
      <c r="F24" s="22">
        <f t="shared" si="1"/>
        <v>7.1005917159763232E-3</v>
      </c>
      <c r="G24" s="23" t="s">
        <v>258</v>
      </c>
    </row>
    <row r="25" spans="2:7" ht="15" customHeight="1" x14ac:dyDescent="0.3">
      <c r="B25" s="4" t="s">
        <v>259</v>
      </c>
      <c r="C25" s="13">
        <v>415</v>
      </c>
      <c r="D25" s="38">
        <f>'3. Budget Vs. Actual'!O25</f>
        <v>438</v>
      </c>
      <c r="E25" s="39">
        <f>'3. Budget Vs. Actual'!O25*1.04</f>
        <v>455.52000000000004</v>
      </c>
      <c r="F25" s="22">
        <f t="shared" si="1"/>
        <v>5.5421686746987886E-2</v>
      </c>
      <c r="G25" s="23" t="s">
        <v>260</v>
      </c>
    </row>
    <row r="26" spans="2:7" ht="15" customHeight="1" x14ac:dyDescent="0.3">
      <c r="B26" s="4" t="s">
        <v>261</v>
      </c>
      <c r="C26" s="13">
        <v>2240</v>
      </c>
      <c r="D26" s="38">
        <f>'3. Budget Vs. Actual'!O26</f>
        <v>3571</v>
      </c>
      <c r="E26" s="39">
        <f>'3. Budget Vs. Actual'!O26*(1+'2. Assumptions'!$F$60)</f>
        <v>3820.9700000000003</v>
      </c>
      <c r="F26" s="22">
        <f t="shared" si="1"/>
        <v>0.59419642857142851</v>
      </c>
      <c r="G26" s="23" t="s">
        <v>262</v>
      </c>
    </row>
    <row r="28" spans="2:7" ht="15" customHeight="1" x14ac:dyDescent="0.3">
      <c r="B28" s="24" t="s">
        <v>263</v>
      </c>
      <c r="C28" s="25">
        <f>C18+SUM(C19:C26)</f>
        <v>16695</v>
      </c>
      <c r="D28" s="25">
        <f>D18+SUM(D19:D26)</f>
        <v>31673</v>
      </c>
      <c r="E28" s="25">
        <f>E18+SUM(E19:E26)</f>
        <v>33004.948550000001</v>
      </c>
      <c r="F28" s="26">
        <f>IFERROR(D28/C28-1,0)</f>
        <v>0.8971548367774782</v>
      </c>
      <c r="G28" s="40"/>
    </row>
    <row r="30" spans="2:7" ht="19.5" customHeight="1" x14ac:dyDescent="0.3">
      <c r="B30" s="92" t="s">
        <v>264</v>
      </c>
      <c r="C30" s="84"/>
      <c r="D30" s="84"/>
      <c r="E30" s="84"/>
      <c r="F30" s="84"/>
      <c r="G30" s="84"/>
    </row>
    <row r="31" spans="2:7" ht="15" customHeight="1" x14ac:dyDescent="0.3">
      <c r="B31" s="32" t="s">
        <v>265</v>
      </c>
      <c r="C31" s="33">
        <f>C13-C28</f>
        <v>15430</v>
      </c>
      <c r="D31" s="33">
        <f>D13-D28</f>
        <v>2532</v>
      </c>
      <c r="E31" s="33">
        <f>E13-E28</f>
        <v>3184.2514499999961</v>
      </c>
      <c r="F31" s="34">
        <f>IFERROR(D31/C31-1,0)</f>
        <v>-0.83590408295528196</v>
      </c>
      <c r="G31" s="42"/>
    </row>
    <row r="32" spans="2:7" ht="15" customHeight="1" x14ac:dyDescent="0.3">
      <c r="B32" s="6" t="s">
        <v>229</v>
      </c>
      <c r="C32" s="36">
        <f>IFERROR(C31/C13,0)</f>
        <v>0.4803112840466926</v>
      </c>
      <c r="D32" s="36">
        <f>IFERROR(D31/D13,0)</f>
        <v>7.4024265458266333E-2</v>
      </c>
      <c r="E32" s="36">
        <f>IFERROR(E31/E13,0)</f>
        <v>8.7988998098880222E-2</v>
      </c>
      <c r="F32" s="37"/>
      <c r="G32" s="43" t="s">
        <v>266</v>
      </c>
    </row>
    <row r="34" spans="2:7" ht="19.5" customHeight="1" x14ac:dyDescent="0.3">
      <c r="B34" s="92" t="s">
        <v>267</v>
      </c>
      <c r="C34" s="84"/>
      <c r="D34" s="84"/>
      <c r="E34" s="84"/>
      <c r="F34" s="84"/>
      <c r="G34" s="84"/>
    </row>
    <row r="35" spans="2:7" ht="15" customHeight="1" x14ac:dyDescent="0.3">
      <c r="B35" s="1" t="s">
        <v>268</v>
      </c>
      <c r="C35" s="37"/>
      <c r="D35" s="44">
        <f>IFERROR(D8/D13,0)</f>
        <v>0.46732933781610875</v>
      </c>
      <c r="E35" s="37"/>
      <c r="F35" s="37"/>
      <c r="G35" s="37"/>
    </row>
    <row r="36" spans="2:7" ht="15" customHeight="1" x14ac:dyDescent="0.3">
      <c r="B36" s="1" t="s">
        <v>269</v>
      </c>
      <c r="C36" s="37"/>
      <c r="D36" s="44">
        <f>IFERROR(D9/D13,0)</f>
        <v>0.27759099546849875</v>
      </c>
      <c r="E36" s="37"/>
      <c r="F36" s="37"/>
      <c r="G36" s="37"/>
    </row>
    <row r="37" spans="2:7" ht="15" customHeight="1" x14ac:dyDescent="0.3">
      <c r="B37" s="1" t="s">
        <v>270</v>
      </c>
      <c r="C37" s="37"/>
      <c r="D37" s="44">
        <f>IFERROR(D12/D13,0)</f>
        <v>0.17526677386347025</v>
      </c>
      <c r="E37" s="37"/>
      <c r="F37" s="37"/>
      <c r="G37" s="37"/>
    </row>
    <row r="38" spans="2:7" ht="15" customHeight="1" x14ac:dyDescent="0.3">
      <c r="B38" s="1" t="s">
        <v>271</v>
      </c>
      <c r="C38" s="37"/>
      <c r="D38" s="44">
        <f>IFERROR(D18/D28,0)</f>
        <v>0.22725981119565561</v>
      </c>
      <c r="E38" s="37"/>
      <c r="F38" s="37"/>
      <c r="G38" s="37"/>
    </row>
    <row r="39" spans="2:7" ht="15" customHeight="1" x14ac:dyDescent="0.3">
      <c r="B39" s="1" t="s">
        <v>272</v>
      </c>
      <c r="C39" s="37"/>
      <c r="D39" s="44">
        <f>IFERROR((D19+D20+D21)/D28,0)</f>
        <v>0.60575253370378557</v>
      </c>
      <c r="E39" s="37"/>
      <c r="F39" s="37"/>
      <c r="G39" s="37"/>
    </row>
  </sheetData>
  <mergeCells count="6">
    <mergeCell ref="B34:G34"/>
    <mergeCell ref="B2:F2"/>
    <mergeCell ref="B3:F3"/>
    <mergeCell ref="B30:G30"/>
    <mergeCell ref="B15:G15"/>
    <mergeCell ref="B7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6"/>
  <sheetViews>
    <sheetView showGridLines="0" tabSelected="1" zoomScaleNormal="100" workbookViewId="0">
      <pane xSplit="2" ySplit="7" topLeftCell="C10" activePane="bottomRight" state="frozen"/>
      <selection pane="topRight" activeCell="C1" sqref="C1"/>
      <selection pane="bottomLeft" activeCell="A8" sqref="A8"/>
      <selection pane="bottomRight" activeCell="H13" sqref="H13"/>
    </sheetView>
  </sheetViews>
  <sheetFormatPr defaultColWidth="8.6640625" defaultRowHeight="14.4" x14ac:dyDescent="0.3"/>
  <cols>
    <col min="1" max="1" width="3" customWidth="1"/>
    <col min="2" max="2" width="36" customWidth="1"/>
    <col min="3" max="8" width="14" customWidth="1"/>
    <col min="9" max="9" width="30" customWidth="1"/>
  </cols>
  <sheetData>
    <row r="2" spans="2:9" ht="27.75" customHeight="1" x14ac:dyDescent="0.3">
      <c r="B2" s="98" t="s">
        <v>273</v>
      </c>
      <c r="C2" s="84"/>
      <c r="D2" s="84"/>
      <c r="E2" s="84"/>
      <c r="F2" s="84"/>
      <c r="G2" s="84"/>
      <c r="H2" s="84"/>
    </row>
    <row r="3" spans="2:9" ht="19.5" customHeight="1" x14ac:dyDescent="0.3">
      <c r="B3" s="91" t="s">
        <v>274</v>
      </c>
      <c r="C3" s="84"/>
      <c r="D3" s="84"/>
      <c r="E3" s="84"/>
      <c r="F3" s="84"/>
      <c r="G3" s="84"/>
      <c r="H3" s="84"/>
    </row>
    <row r="5" spans="2:9" ht="15" customHeight="1" x14ac:dyDescent="0.3">
      <c r="B5" s="45" t="s">
        <v>275</v>
      </c>
      <c r="C5" s="99" t="str">
        <f>'2. Assumptions'!D6</f>
        <v>UPSIDE CASE</v>
      </c>
      <c r="D5" s="86"/>
      <c r="E5" s="86"/>
      <c r="F5" s="86"/>
      <c r="G5" s="86"/>
      <c r="H5" s="86"/>
    </row>
    <row r="7" spans="2:9" ht="21.75" customHeight="1" x14ac:dyDescent="0.3">
      <c r="B7" s="11" t="s">
        <v>276</v>
      </c>
      <c r="C7" s="11" t="s">
        <v>277</v>
      </c>
      <c r="D7" s="11" t="s">
        <v>278</v>
      </c>
      <c r="E7" s="11" t="s">
        <v>279</v>
      </c>
      <c r="F7" s="11" t="s">
        <v>280</v>
      </c>
      <c r="G7" s="11" t="s">
        <v>281</v>
      </c>
      <c r="H7" s="11" t="s">
        <v>282</v>
      </c>
      <c r="I7" s="11" t="s">
        <v>237</v>
      </c>
    </row>
    <row r="9" spans="2:9" ht="19.5" customHeight="1" x14ac:dyDescent="0.3">
      <c r="B9" s="92" t="s">
        <v>283</v>
      </c>
      <c r="C9" s="84"/>
      <c r="D9" s="84"/>
      <c r="E9" s="84"/>
      <c r="F9" s="84"/>
      <c r="G9" s="84"/>
      <c r="H9" s="84"/>
      <c r="I9" s="84"/>
    </row>
    <row r="10" spans="2:9" ht="15" customHeight="1" x14ac:dyDescent="0.3">
      <c r="B10" s="4" t="s">
        <v>88</v>
      </c>
      <c r="C10" s="38">
        <f>'2. Assumptions'!$F$22</f>
        <v>1500</v>
      </c>
      <c r="D10" s="39">
        <f>C10*(1+'2. Assumptions'!$F$60)</f>
        <v>1605</v>
      </c>
      <c r="E10" s="39">
        <f>D10*(1+'2. Assumptions'!$F$60)</f>
        <v>1717.3500000000001</v>
      </c>
      <c r="F10" s="39">
        <f>E10*(1+'2. Assumptions'!$F$60)</f>
        <v>1837.5645000000002</v>
      </c>
      <c r="G10" s="39">
        <f>F10*(1+'2. Assumptions'!$F$60)</f>
        <v>1966.1940150000003</v>
      </c>
      <c r="H10" s="22">
        <f>IFERROR((G10/C10)^(1/4)-1,0)</f>
        <v>7.0000000000000062E-2</v>
      </c>
      <c r="I10" s="43" t="s">
        <v>284</v>
      </c>
    </row>
    <row r="11" spans="2:9" ht="15" customHeight="1" x14ac:dyDescent="0.3">
      <c r="B11" s="46" t="s">
        <v>285</v>
      </c>
      <c r="C11" s="39">
        <f>C10*'2. Assumptions'!$F$25</f>
        <v>975</v>
      </c>
      <c r="D11" s="39">
        <f>D10*'2. Assumptions'!$F$25</f>
        <v>1043.25</v>
      </c>
      <c r="E11" s="39">
        <f>E10*'2. Assumptions'!$F$25</f>
        <v>1116.2775000000001</v>
      </c>
      <c r="F11" s="39">
        <f>F10*'2. Assumptions'!$F$25</f>
        <v>1194.4169250000002</v>
      </c>
      <c r="G11" s="39">
        <f>G10*'2. Assumptions'!$F$25</f>
        <v>1278.0261097500002</v>
      </c>
      <c r="H11" s="22">
        <f>IFERROR((G11/C11)^(1/4)-1,0)</f>
        <v>7.0000000000000062E-2</v>
      </c>
      <c r="I11" s="43" t="s">
        <v>286</v>
      </c>
    </row>
    <row r="12" spans="2:9" ht="15" customHeight="1" x14ac:dyDescent="0.3">
      <c r="B12" s="46" t="s">
        <v>287</v>
      </c>
      <c r="C12" s="39">
        <f>C10*(1-'2. Assumptions'!$F$25)</f>
        <v>525</v>
      </c>
      <c r="D12" s="39">
        <f>D10*(1-'2. Assumptions'!$F$25)</f>
        <v>561.75</v>
      </c>
      <c r="E12" s="39">
        <f>E10*(1-'2. Assumptions'!$F$25)</f>
        <v>601.07249999999999</v>
      </c>
      <c r="F12" s="39">
        <f>F10*(1-'2. Assumptions'!$F$25)</f>
        <v>643.14757500000007</v>
      </c>
      <c r="G12" s="39">
        <f>G10*(1-'2. Assumptions'!$F$25)</f>
        <v>688.1679052500001</v>
      </c>
      <c r="H12" s="22">
        <f>IFERROR((G12/C12)^(1/4)-1,0)</f>
        <v>7.0000000000000062E-2</v>
      </c>
      <c r="I12" s="43" t="s">
        <v>288</v>
      </c>
    </row>
    <row r="13" spans="2:9" ht="15" customHeight="1" x14ac:dyDescent="0.3">
      <c r="B13" s="4" t="s">
        <v>289</v>
      </c>
      <c r="C13" s="47">
        <f>'2. Assumptions'!$F$23</f>
        <v>22000</v>
      </c>
      <c r="D13" s="48">
        <f>C13*(1+'2. Assumptions'!$F$61)</f>
        <v>23540</v>
      </c>
      <c r="E13" s="48">
        <f>D13*(1+'2. Assumptions'!$F$61)</f>
        <v>25187.800000000003</v>
      </c>
      <c r="F13" s="48">
        <f>E13*(1+'2. Assumptions'!$F$61)</f>
        <v>26950.946000000004</v>
      </c>
      <c r="G13" s="48">
        <f>F13*(1+'2. Assumptions'!$F$61)</f>
        <v>28837.512220000004</v>
      </c>
      <c r="H13" s="22">
        <f>IFERROR((G13/C13)^(1/4)-1,0)</f>
        <v>7.0000000000000062E-2</v>
      </c>
      <c r="I13" s="43" t="s">
        <v>290</v>
      </c>
    </row>
    <row r="14" spans="2:9" ht="15" customHeight="1" x14ac:dyDescent="0.3">
      <c r="B14" s="4" t="s">
        <v>291</v>
      </c>
      <c r="C14" s="47">
        <f>'2. Assumptions'!$F$24</f>
        <v>13500</v>
      </c>
      <c r="D14" s="48">
        <f>C14*(1+'2. Assumptions'!$F$62)</f>
        <v>14040</v>
      </c>
      <c r="E14" s="48">
        <f>D14*(1+'2. Assumptions'!$F$62)</f>
        <v>14601.6</v>
      </c>
      <c r="F14" s="48">
        <f>E14*(1+'2. Assumptions'!$F$62)</f>
        <v>15185.664000000001</v>
      </c>
      <c r="G14" s="48">
        <f>F14*(1+'2. Assumptions'!$F$62)</f>
        <v>15793.090560000001</v>
      </c>
      <c r="H14" s="22">
        <f>IFERROR((G14/C14)^(1/4)-1,0)</f>
        <v>4.0000000000000036E-2</v>
      </c>
      <c r="I14" s="43" t="s">
        <v>292</v>
      </c>
    </row>
    <row r="16" spans="2:9" ht="19.5" customHeight="1" x14ac:dyDescent="0.3">
      <c r="B16" s="92" t="s">
        <v>293</v>
      </c>
      <c r="C16" s="84"/>
      <c r="D16" s="84"/>
      <c r="E16" s="84"/>
      <c r="F16" s="84"/>
      <c r="G16" s="84"/>
      <c r="H16" s="84"/>
      <c r="I16" s="84"/>
    </row>
    <row r="17" spans="2:9" ht="15" customHeight="1" x14ac:dyDescent="0.3">
      <c r="B17" s="4" t="s">
        <v>190</v>
      </c>
      <c r="C17" s="39">
        <f t="shared" ref="C17:G18" si="0">C11*C13/1000</f>
        <v>21450</v>
      </c>
      <c r="D17" s="39">
        <f t="shared" si="0"/>
        <v>24558.105</v>
      </c>
      <c r="E17" s="39">
        <f t="shared" si="0"/>
        <v>28116.574414500006</v>
      </c>
      <c r="F17" s="39">
        <f t="shared" si="0"/>
        <v>32190.666047161063</v>
      </c>
      <c r="G17" s="39">
        <f t="shared" si="0"/>
        <v>36855.093557394699</v>
      </c>
      <c r="H17" s="22">
        <f>IFERROR((G17/C17)^(1/4)-1,0)</f>
        <v>0.14490000000000003</v>
      </c>
      <c r="I17" s="43" t="s">
        <v>294</v>
      </c>
    </row>
    <row r="18" spans="2:9" ht="15" customHeight="1" x14ac:dyDescent="0.3">
      <c r="B18" s="4" t="s">
        <v>295</v>
      </c>
      <c r="C18" s="39">
        <f t="shared" si="0"/>
        <v>7087.5</v>
      </c>
      <c r="D18" s="39">
        <f t="shared" si="0"/>
        <v>7886.97</v>
      </c>
      <c r="E18" s="39">
        <f t="shared" si="0"/>
        <v>8776.6202159999993</v>
      </c>
      <c r="F18" s="39">
        <f t="shared" si="0"/>
        <v>9766.6229763648007</v>
      </c>
      <c r="G18" s="39">
        <f t="shared" si="0"/>
        <v>10868.298048098752</v>
      </c>
      <c r="H18" s="22">
        <f>IFERROR((G18/C18)^(1/4)-1,0)</f>
        <v>0.11280000000000001</v>
      </c>
      <c r="I18" s="43" t="s">
        <v>294</v>
      </c>
    </row>
    <row r="19" spans="2:9" ht="15" customHeight="1" x14ac:dyDescent="0.3">
      <c r="B19" s="4" t="s">
        <v>296</v>
      </c>
      <c r="C19" s="38">
        <f>'4. Program P&amp;L'!E10</f>
        <v>1153.6000000000001</v>
      </c>
      <c r="D19" s="39">
        <f>C19*1.03</f>
        <v>1188.2080000000001</v>
      </c>
      <c r="E19" s="39">
        <f>D19*1.03</f>
        <v>1223.8542400000001</v>
      </c>
      <c r="F19" s="39">
        <f>E19*1.03</f>
        <v>1260.5698672000001</v>
      </c>
      <c r="G19" s="39">
        <f>F19*1.03</f>
        <v>1298.3869632160001</v>
      </c>
      <c r="H19" s="22">
        <f>IFERROR((G19/C19)^(1/4)-1,0)</f>
        <v>3.0000000000000027E-2</v>
      </c>
      <c r="I19" s="43" t="s">
        <v>297</v>
      </c>
    </row>
    <row r="20" spans="2:9" ht="15" customHeight="1" x14ac:dyDescent="0.3">
      <c r="B20" s="4" t="s">
        <v>198</v>
      </c>
      <c r="C20" s="39">
        <f>(C17*'2. Assumptions'!$F$48+C18*'2. Assumptions'!$F$47)*'2. Assumptions'!$F$50</f>
        <v>9599.6343749999996</v>
      </c>
      <c r="D20" s="39">
        <f>(D17*'2. Assumptions'!$F$48+D18*'2. Assumptions'!$F$47)*'2. Assumptions'!$F$50</f>
        <v>10869.7573725</v>
      </c>
      <c r="E20" s="39">
        <f>(E17*'2. Assumptions'!$F$48+E18*'2. Assumptions'!$F$47)*'2. Assumptions'!$F$50</f>
        <v>12310.287730494001</v>
      </c>
      <c r="F20" s="39">
        <f>(F17*'2. Assumptions'!$F$48+F18*'2. Assumptions'!$F$47)*'2. Assumptions'!$F$50</f>
        <v>13944.37962102161</v>
      </c>
      <c r="G20" s="39">
        <f>(G17*'2. Assumptions'!$F$48+G18*'2. Assumptions'!$F$47)*'2. Assumptions'!$F$50</f>
        <v>15798.368785663819</v>
      </c>
      <c r="H20" s="22">
        <f>IFERROR((G20/C20)^(1/4)-1,0)</f>
        <v>0.13263346392251973</v>
      </c>
      <c r="I20" s="43" t="s">
        <v>298</v>
      </c>
    </row>
    <row r="21" spans="2:9" ht="15" customHeight="1" x14ac:dyDescent="0.3">
      <c r="B21" s="24" t="s">
        <v>244</v>
      </c>
      <c r="C21" s="25">
        <f>SUM(C17:C20)</f>
        <v>39290.734375</v>
      </c>
      <c r="D21" s="25">
        <f>SUM(D17:D20)</f>
        <v>44503.040372500007</v>
      </c>
      <c r="E21" s="25">
        <f>SUM(E17:E20)</f>
        <v>50427.336600994007</v>
      </c>
      <c r="F21" s="25">
        <f>SUM(F17:F20)</f>
        <v>57162.238511747477</v>
      </c>
      <c r="G21" s="25">
        <f>SUM(G17:G20)</f>
        <v>64820.147354373272</v>
      </c>
      <c r="H21" s="26">
        <f>IFERROR((G21/C21)^(1/4)-1,0)</f>
        <v>0.13332629950370678</v>
      </c>
      <c r="I21" s="40"/>
    </row>
    <row r="23" spans="2:9" ht="19.5" customHeight="1" x14ac:dyDescent="0.3">
      <c r="B23" s="92" t="s">
        <v>299</v>
      </c>
      <c r="C23" s="84"/>
      <c r="D23" s="84"/>
      <c r="E23" s="84"/>
      <c r="F23" s="84"/>
      <c r="G23" s="84"/>
      <c r="H23" s="84"/>
      <c r="I23" s="84"/>
    </row>
    <row r="24" spans="2:9" ht="15" customHeight="1" x14ac:dyDescent="0.3">
      <c r="B24" s="4" t="s">
        <v>300</v>
      </c>
      <c r="C24" s="49">
        <f>SUM('2. Assumptions'!$F$28:$F$33)</f>
        <v>63</v>
      </c>
      <c r="D24" s="50">
        <f>C24*1.025</f>
        <v>64.574999999999989</v>
      </c>
      <c r="E24" s="50">
        <f>D24*1.025</f>
        <v>66.189374999999984</v>
      </c>
      <c r="F24" s="50">
        <f>E24*1.025</f>
        <v>67.844109374999974</v>
      </c>
      <c r="G24" s="50">
        <f>F24*1.025</f>
        <v>69.540212109374963</v>
      </c>
      <c r="H24" s="22">
        <f t="shared" ref="H24:H30" si="1">IFERROR((G24/C24)^(1/4)-1,0)</f>
        <v>2.4999999999999911E-2</v>
      </c>
      <c r="I24" s="43" t="s">
        <v>301</v>
      </c>
    </row>
    <row r="25" spans="2:9" ht="15" customHeight="1" x14ac:dyDescent="0.3">
      <c r="B25" s="4" t="s">
        <v>203</v>
      </c>
      <c r="C25" s="39">
        <f>C24*'2. Assumptions'!$F$34/1000</f>
        <v>5985</v>
      </c>
      <c r="D25" s="39">
        <f>C25*(D24/C24)*(1+'2. Assumptions'!$F$38)</f>
        <v>6318.6637499999988</v>
      </c>
      <c r="E25" s="39">
        <f>D25*(E24/D24)*(1+'2. Assumptions'!$F$38)</f>
        <v>6670.9292540624983</v>
      </c>
      <c r="F25" s="39">
        <f>E25*(F24/E24)*(1+'2. Assumptions'!$F$38)</f>
        <v>7042.8335599764823</v>
      </c>
      <c r="G25" s="39">
        <f>F25*(G24/F24)*(1+'2. Assumptions'!$F$38)</f>
        <v>7435.4715309451713</v>
      </c>
      <c r="H25" s="22">
        <f t="shared" si="1"/>
        <v>5.5749999999999966E-2</v>
      </c>
      <c r="I25" s="43" t="s">
        <v>302</v>
      </c>
    </row>
    <row r="26" spans="2:9" ht="15" customHeight="1" x14ac:dyDescent="0.3">
      <c r="B26" s="4" t="s">
        <v>247</v>
      </c>
      <c r="C26" s="39">
        <f>C25*'2. Assumptions'!$F$37</f>
        <v>1645.8750000000002</v>
      </c>
      <c r="D26" s="39">
        <f>D25*'2. Assumptions'!$F$37</f>
        <v>1737.6325312499998</v>
      </c>
      <c r="E26" s="39">
        <f>E25*'2. Assumptions'!$F$37</f>
        <v>1834.5055448671872</v>
      </c>
      <c r="F26" s="39">
        <f>F25*'2. Assumptions'!$F$37</f>
        <v>1936.7792289935328</v>
      </c>
      <c r="G26" s="39">
        <f>G25*'2. Assumptions'!$F$37</f>
        <v>2044.7546710099223</v>
      </c>
      <c r="H26" s="22">
        <f t="shared" si="1"/>
        <v>5.5749999999999966E-2</v>
      </c>
      <c r="I26" s="43" t="s">
        <v>303</v>
      </c>
    </row>
    <row r="27" spans="2:9" ht="15" customHeight="1" x14ac:dyDescent="0.3">
      <c r="B27" s="28" t="s">
        <v>207</v>
      </c>
      <c r="C27" s="29">
        <f>C25+C26</f>
        <v>7630.875</v>
      </c>
      <c r="D27" s="29">
        <f>D25+D26</f>
        <v>8056.2962812499991</v>
      </c>
      <c r="E27" s="29">
        <f>E25+E26</f>
        <v>8505.4347989296857</v>
      </c>
      <c r="F27" s="29">
        <f>F25+F26</f>
        <v>8979.6127889700147</v>
      </c>
      <c r="G27" s="29">
        <f>G25+G26</f>
        <v>9480.2262019550944</v>
      </c>
      <c r="H27" s="31">
        <f t="shared" si="1"/>
        <v>5.5749999999999966E-2</v>
      </c>
      <c r="I27" s="41"/>
    </row>
    <row r="28" spans="2:9" ht="15" customHeight="1" x14ac:dyDescent="0.3">
      <c r="B28" s="4" t="s">
        <v>208</v>
      </c>
      <c r="C28" s="39">
        <f>C10*'2. Assumptions'!$F$39/1000</f>
        <v>3300</v>
      </c>
      <c r="D28" s="39">
        <f>C28*(D10/C10)*(1+'2. Assumptions'!$F$40)</f>
        <v>3636.9300000000003</v>
      </c>
      <c r="E28" s="39">
        <f>D28*(E10/D10)*(1+'2. Assumptions'!$F$40)</f>
        <v>4008.2605530000005</v>
      </c>
      <c r="F28" s="39">
        <f>E28*(F10/E10)*(1+'2. Assumptions'!$F$40)</f>
        <v>4417.5039554613013</v>
      </c>
      <c r="G28" s="39">
        <f>F28*(G10/F10)*(1+'2. Assumptions'!$F$40)</f>
        <v>4868.5311093138998</v>
      </c>
      <c r="H28" s="22">
        <f t="shared" si="1"/>
        <v>0.10210000000000008</v>
      </c>
      <c r="I28" s="43" t="s">
        <v>304</v>
      </c>
    </row>
    <row r="29" spans="2:9" ht="15" customHeight="1" x14ac:dyDescent="0.3">
      <c r="B29" s="4" t="s">
        <v>305</v>
      </c>
      <c r="C29" s="38">
        <f>'4. Program P&amp;L'!E20+'4. Program P&amp;L'!E21+'4. Program P&amp;L'!E22+'4. Program P&amp;L'!E23+'4. Program P&amp;L'!E24+'4. Program P&amp;L'!E25+'4. Program P&amp;L'!E26</f>
        <v>21193.645000000004</v>
      </c>
      <c r="D29" s="39">
        <f>C29*1.035</f>
        <v>21935.422575000004</v>
      </c>
      <c r="E29" s="39">
        <f>D29*1.035</f>
        <v>22703.162365125001</v>
      </c>
      <c r="F29" s="39">
        <f>E29*1.035</f>
        <v>23497.773047904375</v>
      </c>
      <c r="G29" s="39">
        <f>F29*1.035</f>
        <v>24320.195104581027</v>
      </c>
      <c r="H29" s="22">
        <f t="shared" si="1"/>
        <v>3.499999999999992E-2</v>
      </c>
      <c r="I29" s="43" t="s">
        <v>306</v>
      </c>
    </row>
    <row r="30" spans="2:9" ht="15" customHeight="1" x14ac:dyDescent="0.3">
      <c r="B30" s="24" t="s">
        <v>263</v>
      </c>
      <c r="C30" s="25">
        <f>C27+C28+C29</f>
        <v>32124.520000000004</v>
      </c>
      <c r="D30" s="25">
        <f>D27+D28+D29</f>
        <v>33628.648856250002</v>
      </c>
      <c r="E30" s="25">
        <f>E27+E28+E29</f>
        <v>35216.857717054685</v>
      </c>
      <c r="F30" s="25">
        <f>F27+F28+F29</f>
        <v>36894.889792335693</v>
      </c>
      <c r="G30" s="25">
        <f>G27+G28+G29</f>
        <v>38668.952415850021</v>
      </c>
      <c r="H30" s="26">
        <f t="shared" si="1"/>
        <v>4.7445511034989618E-2</v>
      </c>
      <c r="I30" s="40"/>
    </row>
    <row r="32" spans="2:9" ht="19.5" customHeight="1" x14ac:dyDescent="0.3">
      <c r="B32" s="92" t="s">
        <v>264</v>
      </c>
      <c r="C32" s="84"/>
      <c r="D32" s="84"/>
      <c r="E32" s="84"/>
      <c r="F32" s="84"/>
      <c r="G32" s="84"/>
      <c r="H32" s="84"/>
      <c r="I32" s="84"/>
    </row>
    <row r="33" spans="2:9" ht="15" customHeight="1" x14ac:dyDescent="0.3">
      <c r="B33" s="32" t="s">
        <v>265</v>
      </c>
      <c r="C33" s="33">
        <f>C21-C30</f>
        <v>7166.2143749999959</v>
      </c>
      <c r="D33" s="33">
        <f>D21-D30</f>
        <v>10874.391516250005</v>
      </c>
      <c r="E33" s="33">
        <f>E21-E30</f>
        <v>15210.478883939322</v>
      </c>
      <c r="F33" s="33">
        <f>F21-F30</f>
        <v>20267.348719411784</v>
      </c>
      <c r="G33" s="33">
        <f>G21-G30</f>
        <v>26151.194938523251</v>
      </c>
      <c r="H33" s="34">
        <f>IFERROR((G33/C33)^(1/4)-1,0)</f>
        <v>0.38213490692858554</v>
      </c>
      <c r="I33" s="42"/>
    </row>
    <row r="34" spans="2:9" ht="15" customHeight="1" x14ac:dyDescent="0.3">
      <c r="B34" s="6" t="s">
        <v>229</v>
      </c>
      <c r="C34" s="36">
        <f>IFERROR(C33/C21,0)</f>
        <v>0.18238942307883488</v>
      </c>
      <c r="D34" s="36">
        <f>IFERROR(D33/D21,0)</f>
        <v>0.2443516538472206</v>
      </c>
      <c r="E34" s="36">
        <f>IFERROR(E33/E21,0)</f>
        <v>0.3016316131127873</v>
      </c>
      <c r="F34" s="36">
        <f>IFERROR(F33/F21,0)</f>
        <v>0.35455834563313365</v>
      </c>
      <c r="G34" s="36">
        <f>IFERROR(G33/G21,0)</f>
        <v>0.40344238644744285</v>
      </c>
      <c r="H34" s="37"/>
      <c r="I34" s="43" t="s">
        <v>307</v>
      </c>
    </row>
    <row r="35" spans="2:9" ht="15" customHeight="1" x14ac:dyDescent="0.3">
      <c r="B35" s="6" t="s">
        <v>308</v>
      </c>
      <c r="C35" s="51">
        <f>IFERROR(C30*1000/C10,0)</f>
        <v>21416.346666666668</v>
      </c>
      <c r="D35" s="51">
        <f>IFERROR(D30*1000/D10,0)</f>
        <v>20952.429193925236</v>
      </c>
      <c r="E35" s="51">
        <f>IFERROR(E30*1000/E10,0)</f>
        <v>20506.511612108588</v>
      </c>
      <c r="F35" s="51">
        <f>IFERROR(F30*1000/F10,0)</f>
        <v>20078.146803737058</v>
      </c>
      <c r="G35" s="51">
        <f>IFERROR(G30*1000/G10,0)</f>
        <v>19666.905768630375</v>
      </c>
      <c r="H35" s="37"/>
      <c r="I35" s="43" t="s">
        <v>309</v>
      </c>
    </row>
    <row r="36" spans="2:9" ht="15" customHeight="1" x14ac:dyDescent="0.3">
      <c r="B36" s="6" t="s">
        <v>310</v>
      </c>
      <c r="C36" s="51">
        <f>IFERROR(C21*1000/C10,0)</f>
        <v>26193.822916666668</v>
      </c>
      <c r="D36" s="51">
        <f>IFERROR(D21*1000/D10,0)</f>
        <v>27727.751010903434</v>
      </c>
      <c r="E36" s="51">
        <f>IFERROR(E21*1000/E10,0)</f>
        <v>29363.459167318251</v>
      </c>
      <c r="F36" s="51">
        <f>IFERROR(F21*1000/F10,0)</f>
        <v>31107.609290311972</v>
      </c>
      <c r="G36" s="51">
        <f>IFERROR(G21*1000/G10,0)</f>
        <v>32967.320040577615</v>
      </c>
      <c r="H36" s="37"/>
      <c r="I36" s="43" t="s">
        <v>311</v>
      </c>
    </row>
  </sheetData>
  <mergeCells count="7">
    <mergeCell ref="B32:I32"/>
    <mergeCell ref="B9:I9"/>
    <mergeCell ref="C5:H5"/>
    <mergeCell ref="B16:I16"/>
    <mergeCell ref="B2:H2"/>
    <mergeCell ref="B23:I23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52"/>
  <sheetViews>
    <sheetView showGridLines="0" zoomScaleNormal="100" workbookViewId="0">
      <pane xSplit="1" ySplit="5" topLeftCell="B39" activePane="bottomRight" state="frozen"/>
      <selection pane="topRight" activeCell="B1" sqref="B1"/>
      <selection pane="bottomLeft" activeCell="A6" sqref="A6"/>
      <selection pane="bottomRight" activeCell="H57" sqref="H57"/>
    </sheetView>
  </sheetViews>
  <sheetFormatPr defaultColWidth="8.6640625" defaultRowHeight="14.4" x14ac:dyDescent="0.3"/>
  <cols>
    <col min="1" max="1" width="3" customWidth="1"/>
    <col min="2" max="2" width="43" bestFit="1" customWidth="1"/>
    <col min="3" max="11" width="13" customWidth="1"/>
    <col min="12" max="12" width="28" customWidth="1"/>
  </cols>
  <sheetData>
    <row r="2" spans="2:12" ht="27.75" customHeight="1" x14ac:dyDescent="0.3">
      <c r="B2" s="98" t="s">
        <v>312</v>
      </c>
      <c r="C2" s="84"/>
      <c r="D2" s="84"/>
      <c r="E2" s="84"/>
      <c r="F2" s="84"/>
      <c r="G2" s="84"/>
      <c r="H2" s="84"/>
      <c r="I2" s="84"/>
      <c r="J2" s="84"/>
      <c r="K2" s="84"/>
    </row>
    <row r="3" spans="2:12" ht="19.5" customHeight="1" x14ac:dyDescent="0.3">
      <c r="B3" s="91" t="s">
        <v>313</v>
      </c>
      <c r="C3" s="84"/>
      <c r="D3" s="84"/>
      <c r="E3" s="84"/>
      <c r="F3" s="84"/>
      <c r="G3" s="84"/>
      <c r="H3" s="84"/>
      <c r="I3" s="84"/>
      <c r="J3" s="84"/>
      <c r="K3" s="84"/>
    </row>
    <row r="5" spans="2:12" ht="19.5" customHeight="1" x14ac:dyDescent="0.3">
      <c r="B5" s="92" t="s">
        <v>314</v>
      </c>
      <c r="C5" s="84"/>
      <c r="D5" s="84"/>
      <c r="E5" s="84"/>
      <c r="F5" s="84"/>
      <c r="G5" s="84"/>
      <c r="H5" s="84"/>
      <c r="I5" s="84"/>
      <c r="J5" s="84"/>
      <c r="K5" s="84"/>
      <c r="L5" s="84"/>
    </row>
    <row r="7" spans="2:12" ht="27.75" customHeight="1" x14ac:dyDescent="0.3">
      <c r="B7" s="11" t="s">
        <v>315</v>
      </c>
      <c r="C7" s="11" t="s">
        <v>316</v>
      </c>
      <c r="D7" s="11" t="s">
        <v>317</v>
      </c>
      <c r="E7" s="11" t="s">
        <v>318</v>
      </c>
      <c r="F7" s="11" t="s">
        <v>319</v>
      </c>
      <c r="G7" s="11" t="s">
        <v>320</v>
      </c>
      <c r="H7" s="11" t="s">
        <v>321</v>
      </c>
      <c r="I7" s="11" t="s">
        <v>322</v>
      </c>
      <c r="J7" s="11" t="s">
        <v>323</v>
      </c>
      <c r="K7" s="11" t="s">
        <v>324</v>
      </c>
      <c r="L7" s="11" t="s">
        <v>325</v>
      </c>
    </row>
    <row r="8" spans="2:12" ht="15" customHeight="1" x14ac:dyDescent="0.3">
      <c r="B8" s="4" t="s">
        <v>326</v>
      </c>
      <c r="C8" s="52" t="s">
        <v>327</v>
      </c>
      <c r="D8" s="52" t="s">
        <v>328</v>
      </c>
      <c r="E8" s="13">
        <v>85</v>
      </c>
      <c r="F8" s="18">
        <v>28500</v>
      </c>
      <c r="G8" s="13">
        <v>36</v>
      </c>
      <c r="H8" s="48">
        <f t="shared" ref="H8:H17" si="0">E8*F8</f>
        <v>2422500</v>
      </c>
      <c r="I8" s="48">
        <f>E8*18000</f>
        <v>1530000</v>
      </c>
      <c r="J8" s="53">
        <f t="shared" ref="J8:J17" si="1">H8-I8</f>
        <v>892500</v>
      </c>
      <c r="K8" s="44">
        <f t="shared" ref="K8:K17" si="2">IFERROR((H8-I8)/H8,0)</f>
        <v>0.36842105263157893</v>
      </c>
      <c r="L8" s="54" t="str">
        <f t="shared" ref="L8:L17" si="3">IF(K8&gt;=0.3,"Strong Activate",IF(K8&gt;=0.15,"Activate",IF(K8&gt;=0,"Marginal Review","DECLINE / Renegotiate")))</f>
        <v>Strong Activate</v>
      </c>
    </row>
    <row r="9" spans="2:12" ht="15" customHeight="1" x14ac:dyDescent="0.3">
      <c r="B9" s="4" t="s">
        <v>329</v>
      </c>
      <c r="C9" s="52" t="s">
        <v>327</v>
      </c>
      <c r="D9" s="52" t="s">
        <v>330</v>
      </c>
      <c r="E9" s="13">
        <v>45</v>
      </c>
      <c r="F9" s="18">
        <v>42000</v>
      </c>
      <c r="G9" s="13">
        <v>30</v>
      </c>
      <c r="H9" s="48">
        <f t="shared" si="0"/>
        <v>1890000</v>
      </c>
      <c r="I9" s="48">
        <f>E9*28000</f>
        <v>1260000</v>
      </c>
      <c r="J9" s="53">
        <f t="shared" si="1"/>
        <v>630000</v>
      </c>
      <c r="K9" s="44">
        <f t="shared" si="2"/>
        <v>0.33333333333333331</v>
      </c>
      <c r="L9" s="54" t="str">
        <f t="shared" si="3"/>
        <v>Strong Activate</v>
      </c>
    </row>
    <row r="10" spans="2:12" ht="15" customHeight="1" x14ac:dyDescent="0.3">
      <c r="B10" s="4" t="s">
        <v>331</v>
      </c>
      <c r="C10" s="52" t="s">
        <v>327</v>
      </c>
      <c r="D10" s="52" t="s">
        <v>332</v>
      </c>
      <c r="E10" s="13">
        <v>32</v>
      </c>
      <c r="F10" s="18">
        <v>35000</v>
      </c>
      <c r="G10" s="13">
        <v>42</v>
      </c>
      <c r="H10" s="48">
        <f t="shared" si="0"/>
        <v>1120000</v>
      </c>
      <c r="I10" s="48">
        <f>E10*22000</f>
        <v>704000</v>
      </c>
      <c r="J10" s="53">
        <f t="shared" si="1"/>
        <v>416000</v>
      </c>
      <c r="K10" s="44">
        <f t="shared" si="2"/>
        <v>0.37142857142857144</v>
      </c>
      <c r="L10" s="54" t="str">
        <f t="shared" si="3"/>
        <v>Strong Activate</v>
      </c>
    </row>
    <row r="11" spans="2:12" ht="15" customHeight="1" x14ac:dyDescent="0.3">
      <c r="B11" s="4" t="s">
        <v>333</v>
      </c>
      <c r="C11" s="52" t="s">
        <v>327</v>
      </c>
      <c r="D11" s="52" t="s">
        <v>330</v>
      </c>
      <c r="E11" s="13">
        <v>55</v>
      </c>
      <c r="F11" s="18">
        <v>24000</v>
      </c>
      <c r="G11" s="13">
        <v>36</v>
      </c>
      <c r="H11" s="48">
        <f t="shared" si="0"/>
        <v>1320000</v>
      </c>
      <c r="I11" s="48">
        <f>E11*16500</f>
        <v>907500</v>
      </c>
      <c r="J11" s="53">
        <f t="shared" si="1"/>
        <v>412500</v>
      </c>
      <c r="K11" s="44">
        <f t="shared" si="2"/>
        <v>0.3125</v>
      </c>
      <c r="L11" s="54" t="str">
        <f t="shared" si="3"/>
        <v>Strong Activate</v>
      </c>
    </row>
    <row r="12" spans="2:12" ht="15" customHeight="1" x14ac:dyDescent="0.3">
      <c r="B12" s="4" t="s">
        <v>334</v>
      </c>
      <c r="C12" s="52" t="s">
        <v>327</v>
      </c>
      <c r="D12" s="52" t="s">
        <v>330</v>
      </c>
      <c r="E12" s="13">
        <v>28</v>
      </c>
      <c r="F12" s="18">
        <v>31000</v>
      </c>
      <c r="G12" s="13">
        <v>30</v>
      </c>
      <c r="H12" s="48">
        <f t="shared" si="0"/>
        <v>868000</v>
      </c>
      <c r="I12" s="48">
        <f>E12*21500</f>
        <v>602000</v>
      </c>
      <c r="J12" s="53">
        <f t="shared" si="1"/>
        <v>266000</v>
      </c>
      <c r="K12" s="44">
        <f t="shared" si="2"/>
        <v>0.30645161290322581</v>
      </c>
      <c r="L12" s="54" t="str">
        <f t="shared" si="3"/>
        <v>Strong Activate</v>
      </c>
    </row>
    <row r="13" spans="2:12" ht="15" customHeight="1" x14ac:dyDescent="0.3">
      <c r="B13" s="4" t="s">
        <v>335</v>
      </c>
      <c r="C13" s="52" t="s">
        <v>336</v>
      </c>
      <c r="D13" s="52" t="s">
        <v>328</v>
      </c>
      <c r="E13" s="13">
        <v>120</v>
      </c>
      <c r="F13" s="18">
        <v>11500</v>
      </c>
      <c r="G13" s="13">
        <v>48</v>
      </c>
      <c r="H13" s="48">
        <f t="shared" si="0"/>
        <v>1380000</v>
      </c>
      <c r="I13" s="48">
        <f>E13*9500</f>
        <v>1140000</v>
      </c>
      <c r="J13" s="53">
        <f t="shared" si="1"/>
        <v>240000</v>
      </c>
      <c r="K13" s="44">
        <f t="shared" si="2"/>
        <v>0.17391304347826086</v>
      </c>
      <c r="L13" s="54" t="str">
        <f t="shared" si="3"/>
        <v>Activate</v>
      </c>
    </row>
    <row r="14" spans="2:12" ht="15" customHeight="1" x14ac:dyDescent="0.3">
      <c r="B14" s="4" t="s">
        <v>337</v>
      </c>
      <c r="C14" s="52" t="s">
        <v>336</v>
      </c>
      <c r="D14" s="52" t="s">
        <v>328</v>
      </c>
      <c r="E14" s="13">
        <v>95</v>
      </c>
      <c r="F14" s="18">
        <v>12500</v>
      </c>
      <c r="G14" s="13">
        <v>42</v>
      </c>
      <c r="H14" s="48">
        <f t="shared" si="0"/>
        <v>1187500</v>
      </c>
      <c r="I14" s="48">
        <f>E14*9800</f>
        <v>931000</v>
      </c>
      <c r="J14" s="53">
        <f t="shared" si="1"/>
        <v>256500</v>
      </c>
      <c r="K14" s="44">
        <f t="shared" si="2"/>
        <v>0.216</v>
      </c>
      <c r="L14" s="54" t="str">
        <f t="shared" si="3"/>
        <v>Activate</v>
      </c>
    </row>
    <row r="15" spans="2:12" ht="15" customHeight="1" x14ac:dyDescent="0.3">
      <c r="B15" s="4" t="s">
        <v>338</v>
      </c>
      <c r="C15" s="52" t="s">
        <v>339</v>
      </c>
      <c r="D15" s="52" t="s">
        <v>330</v>
      </c>
      <c r="E15" s="13">
        <v>38</v>
      </c>
      <c r="F15" s="18">
        <v>9500</v>
      </c>
      <c r="G15" s="13">
        <v>36</v>
      </c>
      <c r="H15" s="48">
        <f t="shared" si="0"/>
        <v>361000</v>
      </c>
      <c r="I15" s="48">
        <f>E15*11500</f>
        <v>437000</v>
      </c>
      <c r="J15" s="53">
        <f t="shared" si="1"/>
        <v>-76000</v>
      </c>
      <c r="K15" s="44">
        <f t="shared" si="2"/>
        <v>-0.21052631578947367</v>
      </c>
      <c r="L15" s="54" t="str">
        <f t="shared" si="3"/>
        <v>DECLINE / Renegotiate</v>
      </c>
    </row>
    <row r="16" spans="2:12" ht="15" customHeight="1" x14ac:dyDescent="0.3">
      <c r="B16" s="4" t="s">
        <v>340</v>
      </c>
      <c r="C16" s="52" t="s">
        <v>341</v>
      </c>
      <c r="D16" s="52" t="s">
        <v>330</v>
      </c>
      <c r="E16" s="13">
        <v>75</v>
      </c>
      <c r="F16" s="18">
        <v>10500</v>
      </c>
      <c r="G16" s="13">
        <v>30</v>
      </c>
      <c r="H16" s="48">
        <f t="shared" si="0"/>
        <v>787500</v>
      </c>
      <c r="I16" s="48">
        <f>E16*9200</f>
        <v>690000</v>
      </c>
      <c r="J16" s="53">
        <f t="shared" si="1"/>
        <v>97500</v>
      </c>
      <c r="K16" s="44">
        <f t="shared" si="2"/>
        <v>0.12380952380952381</v>
      </c>
      <c r="L16" s="54" t="str">
        <f t="shared" si="3"/>
        <v>Marginal Review</v>
      </c>
    </row>
    <row r="17" spans="2:12" ht="15" customHeight="1" x14ac:dyDescent="0.3">
      <c r="B17" s="4" t="s">
        <v>342</v>
      </c>
      <c r="C17" s="52" t="s">
        <v>339</v>
      </c>
      <c r="D17" s="52" t="s">
        <v>343</v>
      </c>
      <c r="E17" s="13">
        <v>24</v>
      </c>
      <c r="F17" s="18">
        <v>8500</v>
      </c>
      <c r="G17" s="13">
        <v>24</v>
      </c>
      <c r="H17" s="48">
        <f t="shared" si="0"/>
        <v>204000</v>
      </c>
      <c r="I17" s="48">
        <f>E17*11000</f>
        <v>264000</v>
      </c>
      <c r="J17" s="53">
        <f t="shared" si="1"/>
        <v>-60000</v>
      </c>
      <c r="K17" s="44">
        <f t="shared" si="2"/>
        <v>-0.29411764705882354</v>
      </c>
      <c r="L17" s="54" t="str">
        <f t="shared" si="3"/>
        <v>DECLINE / Renegotiate</v>
      </c>
    </row>
    <row r="18" spans="2:12" ht="15" customHeight="1" x14ac:dyDescent="0.3">
      <c r="B18" s="24" t="s">
        <v>344</v>
      </c>
      <c r="C18" s="40"/>
      <c r="D18" s="40"/>
      <c r="E18" s="25">
        <f>SUM(E8:E17)</f>
        <v>597</v>
      </c>
      <c r="F18" s="55">
        <f>IFERROR(SUMPRODUCT(E8:E17,F8:F17)/E18,0)</f>
        <v>19330.820770519262</v>
      </c>
      <c r="G18" s="56">
        <f>IFERROR(SUMPRODUCT(E8:E17,G8:G17)/E18,0)</f>
        <v>37.718592964824118</v>
      </c>
      <c r="H18" s="55">
        <f>SUM(H8:H17)</f>
        <v>11540500</v>
      </c>
      <c r="I18" s="55">
        <f>SUM(I8:I17)</f>
        <v>8465500</v>
      </c>
      <c r="J18" s="55">
        <f>SUM(J8:J17)</f>
        <v>3075000</v>
      </c>
      <c r="K18" s="26">
        <f>IFERROR(J18/H18,0)</f>
        <v>0.26645292664962522</v>
      </c>
      <c r="L18" s="57" t="s">
        <v>345</v>
      </c>
    </row>
    <row r="20" spans="2:12" ht="19.5" customHeight="1" x14ac:dyDescent="0.3">
      <c r="B20" s="92" t="s">
        <v>346</v>
      </c>
      <c r="C20" s="84"/>
      <c r="D20" s="84"/>
      <c r="E20" s="84"/>
      <c r="F20" s="84"/>
      <c r="G20" s="84"/>
      <c r="H20" s="84"/>
      <c r="I20" s="84"/>
      <c r="J20" s="84"/>
      <c r="K20" s="84"/>
      <c r="L20" s="84"/>
    </row>
    <row r="22" spans="2:12" ht="21.75" customHeight="1" x14ac:dyDescent="0.3">
      <c r="B22" s="11" t="s">
        <v>347</v>
      </c>
      <c r="C22" s="11" t="s">
        <v>348</v>
      </c>
      <c r="D22" s="11" t="s">
        <v>349</v>
      </c>
      <c r="E22" s="11" t="s">
        <v>350</v>
      </c>
      <c r="F22" s="11" t="s">
        <v>351</v>
      </c>
      <c r="G22" s="11" t="s">
        <v>352</v>
      </c>
      <c r="H22" s="11" t="s">
        <v>353</v>
      </c>
      <c r="I22" s="87" t="s">
        <v>237</v>
      </c>
      <c r="J22" s="86"/>
      <c r="K22" s="86"/>
      <c r="L22" s="86"/>
    </row>
    <row r="23" spans="2:12" ht="15" customHeight="1" x14ac:dyDescent="0.3">
      <c r="B23" s="4" t="s">
        <v>354</v>
      </c>
      <c r="C23" s="18">
        <v>-85000</v>
      </c>
      <c r="D23" s="48">
        <v>0</v>
      </c>
      <c r="E23" s="48">
        <v>0</v>
      </c>
      <c r="F23" s="48">
        <v>0</v>
      </c>
      <c r="G23" s="48">
        <v>0</v>
      </c>
      <c r="H23" s="48">
        <f t="shared" ref="H23:H29" si="4">SUM(C23:G23)</f>
        <v>-85000</v>
      </c>
      <c r="I23" s="85" t="s">
        <v>355</v>
      </c>
      <c r="J23" s="86"/>
      <c r="K23" s="86"/>
      <c r="L23" s="86"/>
    </row>
    <row r="24" spans="2:12" ht="15" customHeight="1" x14ac:dyDescent="0.3">
      <c r="B24" s="4" t="s">
        <v>356</v>
      </c>
      <c r="C24" s="18">
        <v>75000</v>
      </c>
      <c r="D24" s="48">
        <v>0</v>
      </c>
      <c r="E24" s="48">
        <v>0</v>
      </c>
      <c r="F24" s="48">
        <v>0</v>
      </c>
      <c r="G24" s="48">
        <v>0</v>
      </c>
      <c r="H24" s="48">
        <f t="shared" si="4"/>
        <v>75000</v>
      </c>
      <c r="I24" s="85" t="s">
        <v>357</v>
      </c>
      <c r="J24" s="86"/>
      <c r="K24" s="86"/>
      <c r="L24" s="86"/>
    </row>
    <row r="25" spans="2:12" ht="15" customHeight="1" x14ac:dyDescent="0.3">
      <c r="B25" s="4" t="s">
        <v>358</v>
      </c>
      <c r="C25" s="13">
        <v>0</v>
      </c>
      <c r="D25" s="13">
        <v>25</v>
      </c>
      <c r="E25" s="13">
        <v>35</v>
      </c>
      <c r="F25" s="13">
        <v>25</v>
      </c>
      <c r="G25" s="13">
        <v>0</v>
      </c>
      <c r="H25" s="39">
        <f t="shared" si="4"/>
        <v>85</v>
      </c>
      <c r="I25" s="85" t="s">
        <v>359</v>
      </c>
      <c r="J25" s="86"/>
      <c r="K25" s="86"/>
      <c r="L25" s="86"/>
    </row>
    <row r="26" spans="2:12" ht="15" customHeight="1" x14ac:dyDescent="0.3">
      <c r="B26" s="4" t="s">
        <v>360</v>
      </c>
      <c r="C26" s="48">
        <f>C25*F8</f>
        <v>0</v>
      </c>
      <c r="D26" s="48">
        <f>D25*F8</f>
        <v>712500</v>
      </c>
      <c r="E26" s="48">
        <f>E25*F8</f>
        <v>997500</v>
      </c>
      <c r="F26" s="48">
        <f>F25*F8</f>
        <v>712500</v>
      </c>
      <c r="G26" s="48">
        <f>G25*F8</f>
        <v>0</v>
      </c>
      <c r="H26" s="53">
        <f t="shared" si="4"/>
        <v>2422500</v>
      </c>
      <c r="I26" s="85" t="s">
        <v>361</v>
      </c>
      <c r="J26" s="86"/>
      <c r="K26" s="86"/>
      <c r="L26" s="86"/>
    </row>
    <row r="27" spans="2:12" ht="15" customHeight="1" x14ac:dyDescent="0.3">
      <c r="B27" s="4" t="s">
        <v>362</v>
      </c>
      <c r="C27" s="48">
        <v>0</v>
      </c>
      <c r="D27" s="48">
        <v>0</v>
      </c>
      <c r="E27" s="48">
        <v>0</v>
      </c>
      <c r="F27" s="48">
        <v>0</v>
      </c>
      <c r="G27" s="18">
        <v>50000</v>
      </c>
      <c r="H27" s="48">
        <f t="shared" si="4"/>
        <v>50000</v>
      </c>
      <c r="I27" s="85" t="s">
        <v>363</v>
      </c>
      <c r="J27" s="86"/>
      <c r="K27" s="86"/>
      <c r="L27" s="86"/>
    </row>
    <row r="28" spans="2:12" ht="15" customHeight="1" x14ac:dyDescent="0.3">
      <c r="B28" s="4" t="s">
        <v>364</v>
      </c>
      <c r="C28" s="48">
        <f>-C25*18000</f>
        <v>0</v>
      </c>
      <c r="D28" s="48">
        <f>-D25*18000</f>
        <v>-450000</v>
      </c>
      <c r="E28" s="48">
        <f>-E25*18000</f>
        <v>-630000</v>
      </c>
      <c r="F28" s="48">
        <f>-F25*18000</f>
        <v>-450000</v>
      </c>
      <c r="G28" s="48">
        <f>-G25*18000</f>
        <v>0</v>
      </c>
      <c r="H28" s="48">
        <f t="shared" si="4"/>
        <v>-1530000</v>
      </c>
      <c r="I28" s="85" t="s">
        <v>365</v>
      </c>
      <c r="J28" s="86"/>
      <c r="K28" s="86"/>
      <c r="L28" s="86"/>
    </row>
    <row r="29" spans="2:12" ht="15" customHeight="1" x14ac:dyDescent="0.3">
      <c r="B29" s="4" t="s">
        <v>366</v>
      </c>
      <c r="C29" s="18">
        <v>-25000</v>
      </c>
      <c r="D29" s="18">
        <v>-85000</v>
      </c>
      <c r="E29" s="18">
        <v>-110000</v>
      </c>
      <c r="F29" s="18">
        <v>-95000</v>
      </c>
      <c r="G29" s="18">
        <v>-30000</v>
      </c>
      <c r="H29" s="48">
        <f t="shared" si="4"/>
        <v>-345000</v>
      </c>
      <c r="I29" s="85" t="s">
        <v>367</v>
      </c>
      <c r="J29" s="86"/>
      <c r="K29" s="86"/>
      <c r="L29" s="86"/>
    </row>
    <row r="30" spans="2:12" ht="15" customHeight="1" x14ac:dyDescent="0.3">
      <c r="B30" s="32" t="s">
        <v>368</v>
      </c>
      <c r="C30" s="58">
        <f t="shared" ref="C30:H30" si="5">SUM(C23:C29)</f>
        <v>-35000</v>
      </c>
      <c r="D30" s="58">
        <f t="shared" si="5"/>
        <v>177525</v>
      </c>
      <c r="E30" s="58">
        <f t="shared" si="5"/>
        <v>257535</v>
      </c>
      <c r="F30" s="58">
        <f t="shared" si="5"/>
        <v>167525</v>
      </c>
      <c r="G30" s="58">
        <f t="shared" si="5"/>
        <v>20000</v>
      </c>
      <c r="H30" s="58">
        <f t="shared" si="5"/>
        <v>587585</v>
      </c>
      <c r="I30" s="101"/>
      <c r="J30" s="102"/>
      <c r="K30" s="102"/>
      <c r="L30" s="102"/>
    </row>
    <row r="32" spans="2:12" ht="19.5" customHeight="1" x14ac:dyDescent="0.3">
      <c r="B32" s="92" t="s">
        <v>369</v>
      </c>
      <c r="C32" s="84"/>
      <c r="D32" s="84"/>
      <c r="E32" s="84"/>
      <c r="F32" s="84"/>
      <c r="G32" s="84"/>
      <c r="H32" s="84"/>
      <c r="I32" s="84"/>
      <c r="J32" s="84"/>
      <c r="K32" s="84"/>
      <c r="L32" s="84"/>
    </row>
    <row r="33" spans="2:12" ht="15" customHeight="1" x14ac:dyDescent="0.3">
      <c r="B33" s="1" t="s">
        <v>370</v>
      </c>
      <c r="C33" s="59">
        <v>0.08</v>
      </c>
      <c r="D33" s="85" t="s">
        <v>371</v>
      </c>
      <c r="E33" s="86"/>
      <c r="F33" s="86"/>
      <c r="G33" s="86"/>
      <c r="H33" s="86"/>
      <c r="I33" s="86"/>
      <c r="J33" s="86"/>
      <c r="K33" s="86"/>
      <c r="L33" s="86"/>
    </row>
    <row r="34" spans="2:12" ht="15" customHeight="1" x14ac:dyDescent="0.3">
      <c r="B34" s="1" t="s">
        <v>372</v>
      </c>
      <c r="C34" s="51">
        <f>H26+H24+H27</f>
        <v>2547500</v>
      </c>
      <c r="D34" s="85" t="s">
        <v>373</v>
      </c>
      <c r="E34" s="86"/>
      <c r="F34" s="86"/>
      <c r="G34" s="86"/>
      <c r="H34" s="86"/>
      <c r="I34" s="86"/>
      <c r="J34" s="86"/>
      <c r="K34" s="86"/>
      <c r="L34" s="86"/>
    </row>
    <row r="35" spans="2:12" ht="15" customHeight="1" x14ac:dyDescent="0.3">
      <c r="B35" s="1" t="s">
        <v>374</v>
      </c>
      <c r="C35" s="51">
        <f>H23+H28+H29</f>
        <v>-1960000</v>
      </c>
      <c r="D35" s="85" t="s">
        <v>375</v>
      </c>
      <c r="E35" s="86"/>
      <c r="F35" s="86"/>
      <c r="G35" s="86"/>
      <c r="H35" s="86"/>
      <c r="I35" s="86"/>
      <c r="J35" s="86"/>
      <c r="K35" s="86"/>
      <c r="L35" s="86"/>
    </row>
    <row r="36" spans="2:12" ht="15" customHeight="1" x14ac:dyDescent="0.3">
      <c r="B36" s="1" t="s">
        <v>376</v>
      </c>
      <c r="C36" s="51">
        <f>H30</f>
        <v>587585</v>
      </c>
      <c r="D36" s="85" t="s">
        <v>377</v>
      </c>
      <c r="E36" s="86"/>
      <c r="F36" s="86"/>
      <c r="G36" s="86"/>
      <c r="H36" s="86"/>
      <c r="I36" s="86"/>
      <c r="J36" s="86"/>
      <c r="K36" s="86"/>
      <c r="L36" s="86"/>
    </row>
    <row r="37" spans="2:12" ht="15" customHeight="1" x14ac:dyDescent="0.3">
      <c r="B37" s="1" t="s">
        <v>378</v>
      </c>
      <c r="C37" s="36">
        <f>IFERROR(H30/(H26+H24+H27),0)</f>
        <v>0.23065161923454366</v>
      </c>
      <c r="D37" s="85"/>
      <c r="E37" s="86"/>
      <c r="F37" s="86"/>
      <c r="G37" s="86"/>
      <c r="H37" s="86"/>
      <c r="I37" s="86"/>
      <c r="J37" s="86"/>
      <c r="K37" s="86"/>
      <c r="L37" s="86"/>
    </row>
    <row r="38" spans="2:12" ht="15" customHeight="1" x14ac:dyDescent="0.3">
      <c r="B38" s="1" t="s">
        <v>379</v>
      </c>
      <c r="C38" s="51">
        <f>C33+NPV(C33,D30:G30)</f>
        <v>532857.1763192527</v>
      </c>
      <c r="D38" s="85" t="s">
        <v>380</v>
      </c>
      <c r="E38" s="86"/>
      <c r="F38" s="86"/>
      <c r="G38" s="86"/>
      <c r="H38" s="86"/>
      <c r="I38" s="86"/>
      <c r="J38" s="86"/>
      <c r="K38" s="86"/>
      <c r="L38" s="86"/>
    </row>
    <row r="39" spans="2:12" ht="15" customHeight="1" x14ac:dyDescent="0.3">
      <c r="B39" s="1" t="s">
        <v>381</v>
      </c>
      <c r="C39" s="36">
        <f>IFERROR(IRR(C30:G30),"N/A")</f>
        <v>5.351507866148844</v>
      </c>
      <c r="D39" s="85" t="s">
        <v>382</v>
      </c>
      <c r="E39" s="86"/>
      <c r="F39" s="86"/>
      <c r="G39" s="86"/>
      <c r="H39" s="86"/>
      <c r="I39" s="86"/>
      <c r="J39" s="86"/>
      <c r="K39" s="86"/>
      <c r="L39" s="86"/>
    </row>
    <row r="40" spans="2:12" ht="15" customHeight="1" x14ac:dyDescent="0.3">
      <c r="B40" s="1" t="s">
        <v>383</v>
      </c>
      <c r="C40" s="60">
        <f>IFERROR((H23-H24-H27)/(F8-18000),0)</f>
        <v>-20</v>
      </c>
      <c r="D40" s="85" t="s">
        <v>384</v>
      </c>
      <c r="E40" s="86"/>
      <c r="F40" s="86"/>
      <c r="G40" s="86"/>
      <c r="H40" s="86"/>
      <c r="I40" s="86"/>
      <c r="J40" s="86"/>
      <c r="K40" s="86"/>
      <c r="L40" s="86"/>
    </row>
    <row r="41" spans="2:12" ht="15" customHeight="1" x14ac:dyDescent="0.3">
      <c r="B41" s="1" t="s">
        <v>385</v>
      </c>
      <c r="C41" s="51">
        <f>F8-18000</f>
        <v>10500</v>
      </c>
      <c r="D41" s="85" t="s">
        <v>386</v>
      </c>
      <c r="E41" s="86"/>
      <c r="F41" s="86"/>
      <c r="G41" s="86"/>
      <c r="H41" s="86"/>
      <c r="I41" s="86"/>
      <c r="J41" s="86"/>
      <c r="K41" s="86"/>
      <c r="L41" s="86"/>
    </row>
    <row r="43" spans="2:12" ht="19.5" customHeight="1" x14ac:dyDescent="0.3">
      <c r="B43" s="92" t="s">
        <v>387</v>
      </c>
      <c r="C43" s="84"/>
      <c r="D43" s="84"/>
      <c r="E43" s="84"/>
      <c r="F43" s="84"/>
      <c r="G43" s="84"/>
      <c r="H43" s="84"/>
      <c r="I43" s="84"/>
      <c r="J43" s="84"/>
      <c r="K43" s="84"/>
      <c r="L43" s="84"/>
    </row>
    <row r="45" spans="2:12" ht="15" customHeight="1" x14ac:dyDescent="0.3">
      <c r="B45" s="11" t="s">
        <v>388</v>
      </c>
      <c r="C45" s="61">
        <v>22000</v>
      </c>
      <c r="D45" s="61">
        <v>25000</v>
      </c>
      <c r="E45" s="61">
        <v>28500</v>
      </c>
      <c r="F45" s="61">
        <v>32000</v>
      </c>
      <c r="G45" s="61">
        <v>36000</v>
      </c>
    </row>
    <row r="46" spans="2:12" ht="15" customHeight="1" x14ac:dyDescent="0.3">
      <c r="B46" s="62">
        <v>50</v>
      </c>
      <c r="C46" s="48">
        <f>50*(22000-18000)-335000</f>
        <v>-135000</v>
      </c>
      <c r="D46" s="48">
        <f>50*(25000-18000)-335000</f>
        <v>15000</v>
      </c>
      <c r="E46" s="48">
        <f>50*(28500-18000)-335000</f>
        <v>190000</v>
      </c>
      <c r="F46" s="48">
        <f>50*(32000-18000)-335000</f>
        <v>365000</v>
      </c>
      <c r="G46" s="48">
        <f>50*(36000-18000)-335000</f>
        <v>565000</v>
      </c>
    </row>
    <row r="47" spans="2:12" ht="15" customHeight="1" x14ac:dyDescent="0.3">
      <c r="B47" s="62">
        <v>65</v>
      </c>
      <c r="C47" s="48">
        <f>65*(22000-18000)-335000</f>
        <v>-75000</v>
      </c>
      <c r="D47" s="48">
        <f>65*(25000-18000)-335000</f>
        <v>120000</v>
      </c>
      <c r="E47" s="48">
        <f>65*(28500-18000)-335000</f>
        <v>347500</v>
      </c>
      <c r="F47" s="48">
        <f>65*(32000-18000)-335000</f>
        <v>575000</v>
      </c>
      <c r="G47" s="48">
        <f>65*(36000-18000)-335000</f>
        <v>835000</v>
      </c>
    </row>
    <row r="48" spans="2:12" ht="15" customHeight="1" x14ac:dyDescent="0.3">
      <c r="B48" s="62">
        <v>85</v>
      </c>
      <c r="C48" s="48">
        <f>85*(22000-18000)-335000</f>
        <v>5000</v>
      </c>
      <c r="D48" s="48">
        <f>85*(25000-18000)-335000</f>
        <v>260000</v>
      </c>
      <c r="E48" s="51">
        <f>85*(28500-18000)-335000</f>
        <v>557500</v>
      </c>
      <c r="F48" s="48">
        <f>85*(32000-18000)-335000</f>
        <v>855000</v>
      </c>
      <c r="G48" s="48">
        <f>85*(36000-18000)-335000</f>
        <v>1195000</v>
      </c>
    </row>
    <row r="49" spans="2:7" ht="15" customHeight="1" x14ac:dyDescent="0.3">
      <c r="B49" s="62">
        <v>100</v>
      </c>
      <c r="C49" s="48">
        <f>100*(22000-18000)-335000</f>
        <v>65000</v>
      </c>
      <c r="D49" s="48">
        <f>100*(25000-18000)-335000</f>
        <v>365000</v>
      </c>
      <c r="E49" s="48">
        <f>100*(28500-18000)-335000</f>
        <v>715000</v>
      </c>
      <c r="F49" s="48">
        <f>100*(32000-18000)-335000</f>
        <v>1065000</v>
      </c>
      <c r="G49" s="48">
        <f>100*(36000-18000)-335000</f>
        <v>1465000</v>
      </c>
    </row>
    <row r="50" spans="2:7" ht="15" customHeight="1" x14ac:dyDescent="0.3">
      <c r="B50" s="62">
        <v>120</v>
      </c>
      <c r="C50" s="48">
        <f>120*(22000-18000)-335000</f>
        <v>145000</v>
      </c>
      <c r="D50" s="48">
        <f>120*(25000-18000)-335000</f>
        <v>505000</v>
      </c>
      <c r="E50" s="48">
        <f>120*(28500-18000)-335000</f>
        <v>925000</v>
      </c>
      <c r="F50" s="48">
        <f>120*(32000-18000)-335000</f>
        <v>1345000</v>
      </c>
      <c r="G50" s="48">
        <f>120*(36000-18000)-335000</f>
        <v>1825000</v>
      </c>
    </row>
    <row r="52" spans="2:7" ht="15" customHeight="1" x14ac:dyDescent="0.3">
      <c r="B52" s="63" t="s">
        <v>389</v>
      </c>
    </row>
  </sheetData>
  <mergeCells count="24">
    <mergeCell ref="B2:K2"/>
    <mergeCell ref="I25:L25"/>
    <mergeCell ref="D35:L35"/>
    <mergeCell ref="I22:L22"/>
    <mergeCell ref="I28:L28"/>
    <mergeCell ref="D34:L34"/>
    <mergeCell ref="B5:L5"/>
    <mergeCell ref="B20:L20"/>
    <mergeCell ref="I24:L24"/>
    <mergeCell ref="B32:L32"/>
    <mergeCell ref="I23:L23"/>
    <mergeCell ref="B3:K3"/>
    <mergeCell ref="I27:L27"/>
    <mergeCell ref="D33:L33"/>
    <mergeCell ref="I26:L26"/>
    <mergeCell ref="D38:L38"/>
    <mergeCell ref="D41:L41"/>
    <mergeCell ref="I29:L29"/>
    <mergeCell ref="B43:L43"/>
    <mergeCell ref="D37:L37"/>
    <mergeCell ref="D36:L36"/>
    <mergeCell ref="I30:L30"/>
    <mergeCell ref="D39:L39"/>
    <mergeCell ref="D40:L4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31"/>
  <sheetViews>
    <sheetView showGridLines="0" zoomScaleNormal="100" workbookViewId="0">
      <pane xSplit="1" ySplit="7" topLeftCell="B13" activePane="bottomRight" state="frozen"/>
      <selection pane="topRight" activeCell="B1" sqref="B1"/>
      <selection pane="bottomLeft" activeCell="A8" sqref="A8"/>
      <selection pane="bottomRight" activeCell="B27" sqref="B27:I31"/>
    </sheetView>
  </sheetViews>
  <sheetFormatPr defaultColWidth="8.6640625" defaultRowHeight="14.4" x14ac:dyDescent="0.3"/>
  <cols>
    <col min="1" max="1" width="3" customWidth="1"/>
    <col min="2" max="2" width="36.88671875" bestFit="1" customWidth="1"/>
    <col min="3" max="8" width="13" customWidth="1"/>
    <col min="9" max="9" width="32.33203125" bestFit="1" customWidth="1"/>
    <col min="10" max="10" width="30" customWidth="1"/>
  </cols>
  <sheetData>
    <row r="2" spans="2:9" ht="27.75" customHeight="1" x14ac:dyDescent="0.3">
      <c r="B2" s="98" t="s">
        <v>390</v>
      </c>
      <c r="C2" s="84"/>
      <c r="D2" s="84"/>
      <c r="E2" s="84"/>
      <c r="F2" s="84"/>
      <c r="G2" s="84"/>
      <c r="H2" s="84"/>
      <c r="I2" s="84"/>
    </row>
    <row r="3" spans="2:9" ht="19.5" customHeight="1" x14ac:dyDescent="0.3">
      <c r="B3" s="91" t="s">
        <v>391</v>
      </c>
      <c r="C3" s="84"/>
      <c r="D3" s="84"/>
      <c r="E3" s="84"/>
      <c r="F3" s="84"/>
      <c r="G3" s="84"/>
      <c r="H3" s="84"/>
      <c r="I3" s="84"/>
    </row>
    <row r="5" spans="2:9" ht="19.5" customHeight="1" x14ac:dyDescent="0.3">
      <c r="B5" s="92" t="s">
        <v>392</v>
      </c>
      <c r="C5" s="84"/>
      <c r="D5" s="84"/>
      <c r="E5" s="84"/>
      <c r="F5" s="84"/>
      <c r="G5" s="84"/>
      <c r="H5" s="84"/>
      <c r="I5" s="84"/>
    </row>
    <row r="7" spans="2:9" ht="27.75" customHeight="1" x14ac:dyDescent="0.3">
      <c r="B7" s="11" t="s">
        <v>393</v>
      </c>
      <c r="C7" s="11" t="s">
        <v>394</v>
      </c>
      <c r="D7" s="11" t="s">
        <v>395</v>
      </c>
      <c r="E7" s="11" t="s">
        <v>396</v>
      </c>
      <c r="F7" s="11" t="s">
        <v>397</v>
      </c>
      <c r="G7" s="11" t="s">
        <v>398</v>
      </c>
      <c r="H7" s="11" t="s">
        <v>399</v>
      </c>
      <c r="I7" s="11" t="s">
        <v>237</v>
      </c>
    </row>
    <row r="8" spans="2:9" ht="23.25" customHeight="1" x14ac:dyDescent="0.3">
      <c r="B8" s="4" t="s">
        <v>400</v>
      </c>
      <c r="C8" s="13">
        <v>32</v>
      </c>
      <c r="D8" s="13">
        <v>4280</v>
      </c>
      <c r="E8" s="64">
        <f>'2. Assumptions'!F47</f>
        <v>0.625</v>
      </c>
      <c r="F8" s="21">
        <f>D8*0.85*E8</f>
        <v>2273.75</v>
      </c>
      <c r="G8" s="22">
        <f t="shared" ref="G8:G13" si="0">IFERROR(F8/$F$14,0)</f>
        <v>0.23436885973558452</v>
      </c>
      <c r="H8" s="15" t="s">
        <v>401</v>
      </c>
      <c r="I8" s="23" t="s">
        <v>402</v>
      </c>
    </row>
    <row r="9" spans="2:9" ht="21.75" customHeight="1" x14ac:dyDescent="0.3">
      <c r="B9" s="4" t="s">
        <v>403</v>
      </c>
      <c r="C9" s="13">
        <v>4</v>
      </c>
      <c r="D9" s="13">
        <v>1650</v>
      </c>
      <c r="E9" s="64">
        <f>'2. Assumptions'!F47</f>
        <v>0.625</v>
      </c>
      <c r="F9" s="21">
        <f>D9*0.85*E9</f>
        <v>876.5625</v>
      </c>
      <c r="G9" s="22">
        <f t="shared" si="0"/>
        <v>9.0352480972830482E-2</v>
      </c>
      <c r="H9" s="15" t="s">
        <v>404</v>
      </c>
      <c r="I9" s="23" t="s">
        <v>405</v>
      </c>
    </row>
    <row r="10" spans="2:9" ht="23.25" customHeight="1" x14ac:dyDescent="0.3">
      <c r="B10" s="4" t="s">
        <v>406</v>
      </c>
      <c r="C10" s="13">
        <v>18</v>
      </c>
      <c r="D10" s="13">
        <v>1565</v>
      </c>
      <c r="E10" s="16">
        <v>0.3</v>
      </c>
      <c r="F10" s="21">
        <f>D10*0.85*E10</f>
        <v>399.07499999999999</v>
      </c>
      <c r="G10" s="22">
        <f t="shared" si="0"/>
        <v>4.1135020428357733E-2</v>
      </c>
      <c r="H10" s="15" t="s">
        <v>407</v>
      </c>
      <c r="I10" s="23" t="s">
        <v>408</v>
      </c>
    </row>
    <row r="11" spans="2:9" ht="21.75" customHeight="1" x14ac:dyDescent="0.3">
      <c r="B11" s="4" t="s">
        <v>409</v>
      </c>
      <c r="C11" s="13">
        <v>62</v>
      </c>
      <c r="D11" s="13">
        <v>14650</v>
      </c>
      <c r="E11" s="64">
        <f>'2. Assumptions'!F48</f>
        <v>0.32</v>
      </c>
      <c r="F11" s="21">
        <f>D11*1*E11</f>
        <v>4688</v>
      </c>
      <c r="G11" s="22">
        <f t="shared" si="0"/>
        <v>0.48321988540535249</v>
      </c>
      <c r="H11" s="15" t="s">
        <v>410</v>
      </c>
      <c r="I11" s="23" t="s">
        <v>411</v>
      </c>
    </row>
    <row r="12" spans="2:9" ht="32.25" customHeight="1" x14ac:dyDescent="0.3">
      <c r="B12" s="4" t="s">
        <v>412</v>
      </c>
      <c r="C12" s="13">
        <v>14</v>
      </c>
      <c r="D12" s="13">
        <v>1080</v>
      </c>
      <c r="E12" s="64">
        <f>'2. Assumptions'!F49</f>
        <v>0.15</v>
      </c>
      <c r="F12" s="21">
        <f>D12*0.9*E12</f>
        <v>145.79999999999998</v>
      </c>
      <c r="G12" s="22">
        <f t="shared" si="0"/>
        <v>1.5028468279031652E-2</v>
      </c>
      <c r="H12" s="15" t="s">
        <v>413</v>
      </c>
      <c r="I12" s="23" t="s">
        <v>414</v>
      </c>
    </row>
    <row r="13" spans="2:9" ht="21.75" customHeight="1" x14ac:dyDescent="0.3">
      <c r="B13" s="4" t="s">
        <v>415</v>
      </c>
      <c r="C13" s="13">
        <v>28</v>
      </c>
      <c r="D13" s="13">
        <v>4120</v>
      </c>
      <c r="E13" s="64">
        <f>'2. Assumptions'!F48</f>
        <v>0.32</v>
      </c>
      <c r="F13" s="21">
        <f>D13*1*E13</f>
        <v>1318.4</v>
      </c>
      <c r="G13" s="22">
        <f t="shared" si="0"/>
        <v>0.13589528517884317</v>
      </c>
      <c r="H13" s="15" t="s">
        <v>410</v>
      </c>
      <c r="I13" s="23" t="s">
        <v>416</v>
      </c>
    </row>
    <row r="14" spans="2:9" ht="15" customHeight="1" x14ac:dyDescent="0.3">
      <c r="B14" s="24" t="s">
        <v>344</v>
      </c>
      <c r="C14" s="25">
        <f>SUM(C8:C13)</f>
        <v>158</v>
      </c>
      <c r="D14" s="25">
        <f>SUM(D8:D13)</f>
        <v>27345</v>
      </c>
      <c r="E14" s="26">
        <f>IFERROR(F14/D14,0)</f>
        <v>0.35478469555677455</v>
      </c>
      <c r="F14" s="25">
        <f>SUM(F8:F13)</f>
        <v>9701.5874999999996</v>
      </c>
      <c r="G14" s="26">
        <f>IFERROR(F14/F14,0)</f>
        <v>1</v>
      </c>
      <c r="H14" s="65" t="s">
        <v>417</v>
      </c>
      <c r="I14" s="57" t="s">
        <v>418</v>
      </c>
    </row>
    <row r="16" spans="2:9" ht="19.5" customHeight="1" x14ac:dyDescent="0.3">
      <c r="B16" s="92" t="s">
        <v>419</v>
      </c>
      <c r="C16" s="84"/>
      <c r="D16" s="84"/>
      <c r="E16" s="84"/>
      <c r="F16" s="84"/>
      <c r="G16" s="84"/>
      <c r="H16" s="84"/>
      <c r="I16" s="84"/>
    </row>
    <row r="17" spans="2:9" ht="15" customHeight="1" x14ac:dyDescent="0.3">
      <c r="B17" s="1" t="s">
        <v>420</v>
      </c>
      <c r="C17" s="103">
        <f>D14</f>
        <v>27345</v>
      </c>
      <c r="D17" s="86"/>
      <c r="E17" s="86"/>
      <c r="F17" s="85" t="s">
        <v>421</v>
      </c>
      <c r="G17" s="86"/>
      <c r="H17" s="86"/>
      <c r="I17" s="86"/>
    </row>
    <row r="18" spans="2:9" ht="15" customHeight="1" x14ac:dyDescent="0.3">
      <c r="B18" s="1" t="s">
        <v>422</v>
      </c>
      <c r="C18" s="103">
        <f>F14</f>
        <v>9701.5874999999996</v>
      </c>
      <c r="D18" s="86"/>
      <c r="E18" s="86"/>
      <c r="F18" s="85" t="s">
        <v>423</v>
      </c>
      <c r="G18" s="86"/>
      <c r="H18" s="86"/>
      <c r="I18" s="86"/>
    </row>
    <row r="19" spans="2:9" ht="15" customHeight="1" x14ac:dyDescent="0.3">
      <c r="B19" s="1" t="s">
        <v>424</v>
      </c>
      <c r="C19" s="104">
        <f>IFERROR(F14/D14,0)</f>
        <v>0.35478469555677455</v>
      </c>
      <c r="D19" s="86"/>
      <c r="E19" s="86"/>
      <c r="F19" s="85" t="s">
        <v>425</v>
      </c>
      <c r="G19" s="86"/>
      <c r="H19" s="86"/>
      <c r="I19" s="86"/>
    </row>
    <row r="20" spans="2:9" ht="15" customHeight="1" x14ac:dyDescent="0.3">
      <c r="B20" s="1" t="s">
        <v>426</v>
      </c>
      <c r="C20" s="104">
        <f>IFERROR(F14/(D14+F14),0)</f>
        <v>0.26187533467151325</v>
      </c>
      <c r="D20" s="86"/>
      <c r="E20" s="86"/>
      <c r="F20" s="85" t="s">
        <v>427</v>
      </c>
      <c r="G20" s="86"/>
      <c r="H20" s="86"/>
      <c r="I20" s="86"/>
    </row>
    <row r="21" spans="2:9" ht="15" customHeight="1" x14ac:dyDescent="0.3">
      <c r="B21" s="1" t="s">
        <v>428</v>
      </c>
      <c r="C21" s="103">
        <f>F8+F9+F10</f>
        <v>3549.3874999999998</v>
      </c>
      <c r="D21" s="86"/>
      <c r="E21" s="86"/>
      <c r="F21" s="85" t="s">
        <v>429</v>
      </c>
      <c r="G21" s="86"/>
      <c r="H21" s="86"/>
      <c r="I21" s="86"/>
    </row>
    <row r="22" spans="2:9" ht="15" customHeight="1" x14ac:dyDescent="0.3">
      <c r="B22" s="1" t="s">
        <v>430</v>
      </c>
      <c r="C22" s="103">
        <f>F11+F13</f>
        <v>6006.4</v>
      </c>
      <c r="D22" s="86"/>
      <c r="E22" s="86"/>
      <c r="F22" s="85" t="s">
        <v>431</v>
      </c>
      <c r="G22" s="86"/>
      <c r="H22" s="86"/>
      <c r="I22" s="86"/>
    </row>
    <row r="23" spans="2:9" ht="15" customHeight="1" x14ac:dyDescent="0.3">
      <c r="B23" s="1" t="s">
        <v>432</v>
      </c>
      <c r="C23" s="103">
        <f>F12</f>
        <v>145.79999999999998</v>
      </c>
      <c r="D23" s="86"/>
      <c r="E23" s="86"/>
      <c r="F23" s="85" t="s">
        <v>433</v>
      </c>
      <c r="G23" s="86"/>
      <c r="H23" s="86"/>
      <c r="I23" s="86"/>
    </row>
    <row r="24" spans="2:9" ht="15" customHeight="1" x14ac:dyDescent="0.3">
      <c r="B24" s="1" t="s">
        <v>434</v>
      </c>
      <c r="C24" s="103">
        <f>D14*'2. Assumptions'!F47*0.85-F14</f>
        <v>4825.4437500000004</v>
      </c>
      <c r="D24" s="86"/>
      <c r="E24" s="86"/>
      <c r="F24" s="85" t="s">
        <v>435</v>
      </c>
      <c r="G24" s="86"/>
      <c r="H24" s="86"/>
      <c r="I24" s="86"/>
    </row>
    <row r="26" spans="2:9" ht="19.5" customHeight="1" x14ac:dyDescent="0.3">
      <c r="B26" s="92" t="s">
        <v>436</v>
      </c>
      <c r="C26" s="84"/>
      <c r="D26" s="84"/>
      <c r="E26" s="84"/>
      <c r="F26" s="84"/>
      <c r="G26" s="84"/>
      <c r="H26" s="84"/>
      <c r="I26" s="84"/>
    </row>
    <row r="27" spans="2:9" ht="21.75" customHeight="1" x14ac:dyDescent="0.3">
      <c r="B27" s="88" t="s">
        <v>437</v>
      </c>
      <c r="C27" s="89"/>
      <c r="D27" s="89"/>
      <c r="E27" s="89"/>
      <c r="F27" s="89"/>
      <c r="G27" s="89"/>
      <c r="H27" s="89"/>
      <c r="I27" s="89"/>
    </row>
    <row r="28" spans="2:9" ht="21.75" customHeight="1" x14ac:dyDescent="0.3">
      <c r="B28" s="90"/>
      <c r="C28" s="84"/>
      <c r="D28" s="84"/>
      <c r="E28" s="84"/>
      <c r="F28" s="84"/>
      <c r="G28" s="84"/>
      <c r="H28" s="84"/>
      <c r="I28" s="84"/>
    </row>
    <row r="29" spans="2:9" ht="21.75" customHeight="1" x14ac:dyDescent="0.3">
      <c r="B29" s="90"/>
      <c r="C29" s="84"/>
      <c r="D29" s="84"/>
      <c r="E29" s="84"/>
      <c r="F29" s="84"/>
      <c r="G29" s="84"/>
      <c r="H29" s="84"/>
      <c r="I29" s="84"/>
    </row>
    <row r="30" spans="2:9" ht="21.75" customHeight="1" x14ac:dyDescent="0.3">
      <c r="B30" s="90"/>
      <c r="C30" s="84"/>
      <c r="D30" s="84"/>
      <c r="E30" s="84"/>
      <c r="F30" s="84"/>
      <c r="G30" s="84"/>
      <c r="H30" s="84"/>
      <c r="I30" s="84"/>
    </row>
    <row r="31" spans="2:9" ht="21.75" customHeight="1" x14ac:dyDescent="0.3">
      <c r="B31" s="90"/>
      <c r="C31" s="84"/>
      <c r="D31" s="84"/>
      <c r="E31" s="84"/>
      <c r="F31" s="84"/>
      <c r="G31" s="84"/>
      <c r="H31" s="84"/>
      <c r="I31" s="84"/>
    </row>
  </sheetData>
  <mergeCells count="22">
    <mergeCell ref="C23:E23"/>
    <mergeCell ref="C17:E17"/>
    <mergeCell ref="B27:I31"/>
    <mergeCell ref="F19:I19"/>
    <mergeCell ref="C19:E19"/>
    <mergeCell ref="C18:E18"/>
    <mergeCell ref="F24:I24"/>
    <mergeCell ref="F21:I21"/>
    <mergeCell ref="F20:I20"/>
    <mergeCell ref="C24:E24"/>
    <mergeCell ref="F18:I18"/>
    <mergeCell ref="F17:I17"/>
    <mergeCell ref="F22:I22"/>
    <mergeCell ref="F23:I23"/>
    <mergeCell ref="C20:E20"/>
    <mergeCell ref="B26:I26"/>
    <mergeCell ref="B16:I16"/>
    <mergeCell ref="C22:E22"/>
    <mergeCell ref="B3:I3"/>
    <mergeCell ref="C21:E21"/>
    <mergeCell ref="B2:I2"/>
    <mergeCell ref="B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36"/>
  <sheetViews>
    <sheetView showGridLines="0" zoomScale="73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11" sqref="B11:C11"/>
    </sheetView>
  </sheetViews>
  <sheetFormatPr defaultColWidth="8.6640625" defaultRowHeight="14.4" x14ac:dyDescent="0.3"/>
  <cols>
    <col min="1" max="1" width="3" customWidth="1"/>
    <col min="2" max="9" width="22" customWidth="1"/>
    <col min="10" max="10" width="3" customWidth="1"/>
  </cols>
  <sheetData>
    <row r="2" spans="2:9" ht="30" customHeight="1" x14ac:dyDescent="0.3">
      <c r="B2" s="83" t="s">
        <v>438</v>
      </c>
      <c r="C2" s="84"/>
      <c r="D2" s="84"/>
      <c r="E2" s="84"/>
      <c r="F2" s="84"/>
      <c r="G2" s="84"/>
      <c r="H2" s="84"/>
      <c r="I2" s="84"/>
    </row>
    <row r="3" spans="2:9" ht="30" customHeight="1" x14ac:dyDescent="0.3">
      <c r="B3" s="84"/>
      <c r="C3" s="84"/>
      <c r="D3" s="84"/>
      <c r="E3" s="84"/>
      <c r="F3" s="84"/>
      <c r="G3" s="84"/>
      <c r="H3" s="84"/>
      <c r="I3" s="84"/>
    </row>
    <row r="4" spans="2:9" ht="21.75" customHeight="1" x14ac:dyDescent="0.3">
      <c r="B4" s="91" t="s">
        <v>439</v>
      </c>
      <c r="C4" s="84"/>
      <c r="D4" s="84"/>
      <c r="E4" s="84"/>
      <c r="F4" s="84"/>
      <c r="G4" s="84"/>
      <c r="H4" s="84"/>
      <c r="I4" s="84"/>
    </row>
    <row r="5" spans="2:9" ht="21.75" customHeight="1" x14ac:dyDescent="0.3">
      <c r="B5" s="84"/>
      <c r="C5" s="84"/>
      <c r="D5" s="84"/>
      <c r="E5" s="84"/>
      <c r="F5" s="84"/>
      <c r="G5" s="84"/>
      <c r="H5" s="84"/>
      <c r="I5" s="84"/>
    </row>
    <row r="7" spans="2:9" ht="25.5" customHeight="1" x14ac:dyDescent="0.3">
      <c r="B7" s="95" t="s">
        <v>440</v>
      </c>
      <c r="C7" s="86"/>
      <c r="D7" s="86"/>
      <c r="E7" s="96" t="str">
        <f>'2. Assumptions'!D6</f>
        <v>UPSIDE CASE</v>
      </c>
      <c r="F7" s="86"/>
      <c r="G7" s="86"/>
      <c r="H7" s="86"/>
      <c r="I7" s="86"/>
    </row>
    <row r="9" spans="2:9" ht="19.5" customHeight="1" x14ac:dyDescent="0.3">
      <c r="B9" s="92" t="s">
        <v>441</v>
      </c>
      <c r="C9" s="84"/>
      <c r="D9" s="84"/>
      <c r="E9" s="84"/>
      <c r="F9" s="84"/>
      <c r="G9" s="84"/>
      <c r="H9" s="84"/>
      <c r="I9" s="84"/>
    </row>
    <row r="10" spans="2:9" ht="18" customHeight="1" x14ac:dyDescent="0.3">
      <c r="B10" s="105" t="s">
        <v>442</v>
      </c>
      <c r="C10" s="86"/>
      <c r="D10" s="105" t="s">
        <v>443</v>
      </c>
      <c r="E10" s="86"/>
      <c r="F10" s="105" t="s">
        <v>444</v>
      </c>
      <c r="G10" s="86"/>
      <c r="H10" s="105" t="s">
        <v>445</v>
      </c>
      <c r="I10" s="86"/>
    </row>
    <row r="11" spans="2:9" ht="31.5" customHeight="1" x14ac:dyDescent="0.3">
      <c r="B11" s="106">
        <f>'4. Program P&amp;L'!E13*1000</f>
        <v>36189200</v>
      </c>
      <c r="C11" s="86"/>
      <c r="D11" s="106">
        <f>'4. Program P&amp;L'!E28*1000</f>
        <v>33004948.550000001</v>
      </c>
      <c r="E11" s="86"/>
      <c r="F11" s="106">
        <f>'4. Program P&amp;L'!E31*1000</f>
        <v>3184251.449999996</v>
      </c>
      <c r="G11" s="86"/>
      <c r="H11" s="108">
        <f>'4. Program P&amp;L'!E32</f>
        <v>8.7988998098880222E-2</v>
      </c>
      <c r="I11" s="86"/>
    </row>
    <row r="13" spans="2:9" ht="18" customHeight="1" x14ac:dyDescent="0.3">
      <c r="B13" s="105" t="s">
        <v>446</v>
      </c>
      <c r="C13" s="86"/>
      <c r="D13" s="105" t="s">
        <v>447</v>
      </c>
      <c r="E13" s="86"/>
      <c r="F13" s="105" t="s">
        <v>448</v>
      </c>
      <c r="G13" s="86"/>
      <c r="H13" s="105" t="s">
        <v>449</v>
      </c>
      <c r="I13" s="86"/>
    </row>
    <row r="14" spans="2:9" ht="31.5" customHeight="1" x14ac:dyDescent="0.3">
      <c r="B14" s="106">
        <f>'3. Budget Vs. Actual'!O31*1000</f>
        <v>2532000</v>
      </c>
      <c r="C14" s="86"/>
      <c r="D14" s="106">
        <f>'3. Budget Vs. Actual'!Q31*1000</f>
        <v>1041000</v>
      </c>
      <c r="E14" s="86"/>
      <c r="F14" s="108">
        <f>'3. Budget Vs. Actual'!O32</f>
        <v>7.4024265458266333E-2</v>
      </c>
      <c r="G14" s="86"/>
      <c r="H14" s="108">
        <f>'5. Forecast (5Yr)'!H21</f>
        <v>0.13332629950370678</v>
      </c>
      <c r="I14" s="86"/>
    </row>
    <row r="16" spans="2:9" ht="19.5" customHeight="1" x14ac:dyDescent="0.3">
      <c r="B16" s="92" t="s">
        <v>450</v>
      </c>
      <c r="C16" s="84"/>
      <c r="D16" s="84"/>
      <c r="E16" s="84"/>
      <c r="F16" s="84"/>
      <c r="G16" s="84"/>
      <c r="H16" s="84"/>
      <c r="I16" s="84"/>
    </row>
    <row r="17" spans="2:9" ht="18" customHeight="1" x14ac:dyDescent="0.3">
      <c r="B17" s="105" t="s">
        <v>451</v>
      </c>
      <c r="C17" s="86"/>
      <c r="D17" s="105" t="s">
        <v>452</v>
      </c>
      <c r="E17" s="86"/>
      <c r="F17" s="105" t="s">
        <v>453</v>
      </c>
      <c r="G17" s="86"/>
      <c r="H17" s="105" t="s">
        <v>454</v>
      </c>
      <c r="I17" s="86"/>
    </row>
    <row r="18" spans="2:9" ht="31.5" customHeight="1" x14ac:dyDescent="0.3">
      <c r="B18" s="107">
        <f>'2. Assumptions'!F21</f>
        <v>210</v>
      </c>
      <c r="C18" s="86"/>
      <c r="D18" s="107">
        <f>'2. Assumptions'!F22</f>
        <v>1500</v>
      </c>
      <c r="E18" s="86"/>
      <c r="F18" s="107">
        <f>'2. Assumptions'!F54</f>
        <v>140</v>
      </c>
      <c r="G18" s="86"/>
      <c r="H18" s="107">
        <f>SUM('2. Assumptions'!F28:F33)</f>
        <v>63</v>
      </c>
      <c r="I18" s="86"/>
    </row>
    <row r="20" spans="2:9" ht="19.5" customHeight="1" x14ac:dyDescent="0.3">
      <c r="B20" s="92" t="s">
        <v>455</v>
      </c>
      <c r="C20" s="84"/>
      <c r="D20" s="84"/>
      <c r="E20" s="84"/>
      <c r="F20" s="84"/>
      <c r="G20" s="84"/>
      <c r="H20" s="84"/>
      <c r="I20" s="84"/>
    </row>
    <row r="21" spans="2:9" ht="18" customHeight="1" x14ac:dyDescent="0.3">
      <c r="B21" s="105" t="s">
        <v>456</v>
      </c>
      <c r="C21" s="86"/>
      <c r="D21" s="105" t="s">
        <v>457</v>
      </c>
      <c r="E21" s="86"/>
      <c r="F21" s="105" t="s">
        <v>458</v>
      </c>
      <c r="G21" s="86"/>
      <c r="H21" s="105" t="s">
        <v>459</v>
      </c>
      <c r="I21" s="86"/>
    </row>
    <row r="22" spans="2:9" ht="31.5" customHeight="1" x14ac:dyDescent="0.3">
      <c r="B22" s="106">
        <f>'5. Forecast (5Yr)'!C36</f>
        <v>26193.822916666668</v>
      </c>
      <c r="C22" s="86"/>
      <c r="D22" s="106">
        <f>'5. Forecast (5Yr)'!C35</f>
        <v>21416.346666666668</v>
      </c>
      <c r="E22" s="86"/>
      <c r="F22" s="106">
        <f>'5. Forecast (5Yr)'!C36-'5. Forecast (5Yr)'!C35</f>
        <v>4777.4762499999997</v>
      </c>
      <c r="G22" s="86"/>
      <c r="H22" s="106">
        <f>'4. Program P&amp;L'!D13*1000/SUM('2. Assumptions'!F28:F33)</f>
        <v>542936.50793650793</v>
      </c>
      <c r="I22" s="86"/>
    </row>
    <row r="24" spans="2:9" ht="19.5" customHeight="1" x14ac:dyDescent="0.3">
      <c r="B24" s="92" t="s">
        <v>460</v>
      </c>
      <c r="C24" s="84"/>
      <c r="D24" s="84"/>
      <c r="E24" s="84"/>
      <c r="F24" s="84"/>
      <c r="G24" s="84"/>
      <c r="H24" s="84"/>
      <c r="I24" s="84"/>
    </row>
    <row r="25" spans="2:9" ht="18" customHeight="1" x14ac:dyDescent="0.3">
      <c r="B25" s="105" t="s">
        <v>461</v>
      </c>
      <c r="C25" s="86"/>
      <c r="D25" s="105" t="s">
        <v>462</v>
      </c>
      <c r="E25" s="86"/>
      <c r="F25" s="105" t="s">
        <v>463</v>
      </c>
      <c r="G25" s="86"/>
      <c r="H25" s="105" t="s">
        <v>464</v>
      </c>
      <c r="I25" s="86"/>
    </row>
    <row r="26" spans="2:9" ht="31.5" customHeight="1" x14ac:dyDescent="0.3">
      <c r="B26" s="106">
        <f>'7. Grant F&amp;A'!F14*1000</f>
        <v>9701587.5</v>
      </c>
      <c r="C26" s="86"/>
      <c r="D26" s="108">
        <f>'7. Grant F&amp;A'!E14</f>
        <v>0.35478469555677455</v>
      </c>
      <c r="E26" s="86"/>
      <c r="F26" s="108">
        <f>('7. Grant F&amp;A'!F8+'7. Grant F&amp;A'!F9+'7. Grant F&amp;A'!F10)/'7. Grant F&amp;A'!F14</f>
        <v>0.36585636113677272</v>
      </c>
      <c r="G26" s="86"/>
      <c r="H26" s="108">
        <f>('7. Grant F&amp;A'!F11+'7. Grant F&amp;A'!F13)/'7. Grant F&amp;A'!F14</f>
        <v>0.61911517058419563</v>
      </c>
      <c r="I26" s="86"/>
    </row>
    <row r="28" spans="2:9" ht="19.5" customHeight="1" x14ac:dyDescent="0.3">
      <c r="B28" s="92" t="s">
        <v>465</v>
      </c>
      <c r="C28" s="84"/>
      <c r="D28" s="84"/>
      <c r="E28" s="84"/>
      <c r="F28" s="84"/>
      <c r="G28" s="84"/>
      <c r="H28" s="84"/>
      <c r="I28" s="84"/>
    </row>
    <row r="29" spans="2:9" ht="21.75" customHeight="1" x14ac:dyDescent="0.3">
      <c r="B29" s="11" t="s">
        <v>466</v>
      </c>
      <c r="C29" s="11" t="s">
        <v>467</v>
      </c>
      <c r="D29" s="11" t="s">
        <v>468</v>
      </c>
      <c r="E29" s="11" t="s">
        <v>469</v>
      </c>
      <c r="F29" s="11" t="s">
        <v>470</v>
      </c>
      <c r="G29" s="11" t="s">
        <v>471</v>
      </c>
      <c r="H29" s="11" t="s">
        <v>472</v>
      </c>
    </row>
    <row r="30" spans="2:9" ht="15" customHeight="1" x14ac:dyDescent="0.3">
      <c r="B30" s="1" t="s">
        <v>473</v>
      </c>
      <c r="C30" s="38">
        <f>'5. Forecast (5Yr)'!C10</f>
        <v>1500</v>
      </c>
      <c r="D30" s="38">
        <f>'5. Forecast (5Yr)'!D10</f>
        <v>1605</v>
      </c>
      <c r="E30" s="38">
        <f>'5. Forecast (5Yr)'!E10</f>
        <v>1717.3500000000001</v>
      </c>
      <c r="F30" s="38">
        <f>'5. Forecast (5Yr)'!F10</f>
        <v>1837.5645000000002</v>
      </c>
      <c r="G30" s="38">
        <f>'5. Forecast (5Yr)'!G10</f>
        <v>1966.1940150000003</v>
      </c>
      <c r="H30" s="66">
        <f>'5. Forecast (5Yr)'!H10</f>
        <v>7.0000000000000062E-2</v>
      </c>
    </row>
    <row r="31" spans="2:9" ht="15" customHeight="1" x14ac:dyDescent="0.3">
      <c r="B31" s="1" t="s">
        <v>474</v>
      </c>
      <c r="C31" s="38">
        <f>'5. Forecast (5Yr)'!C21</f>
        <v>39290.734375</v>
      </c>
      <c r="D31" s="38">
        <f>'5. Forecast (5Yr)'!D21</f>
        <v>44503.040372500007</v>
      </c>
      <c r="E31" s="38">
        <f>'5. Forecast (5Yr)'!E21</f>
        <v>50427.336600994007</v>
      </c>
      <c r="F31" s="38">
        <f>'5. Forecast (5Yr)'!F21</f>
        <v>57162.238511747477</v>
      </c>
      <c r="G31" s="38">
        <f>'5. Forecast (5Yr)'!G21</f>
        <v>64820.147354373272</v>
      </c>
      <c r="H31" s="66">
        <f>'5. Forecast (5Yr)'!H21</f>
        <v>0.13332629950370678</v>
      </c>
    </row>
    <row r="32" spans="2:9" ht="15" customHeight="1" x14ac:dyDescent="0.3">
      <c r="B32" s="1" t="s">
        <v>475</v>
      </c>
      <c r="C32" s="38">
        <f>'5. Forecast (5Yr)'!C30</f>
        <v>32124.520000000004</v>
      </c>
      <c r="D32" s="38">
        <f>'5. Forecast (5Yr)'!D30</f>
        <v>33628.648856250002</v>
      </c>
      <c r="E32" s="38">
        <f>'5. Forecast (5Yr)'!E30</f>
        <v>35216.857717054685</v>
      </c>
      <c r="F32" s="38">
        <f>'5. Forecast (5Yr)'!F30</f>
        <v>36894.889792335693</v>
      </c>
      <c r="G32" s="38">
        <f>'5. Forecast (5Yr)'!G30</f>
        <v>38668.952415850021</v>
      </c>
      <c r="H32" s="66">
        <f>'5. Forecast (5Yr)'!H30</f>
        <v>4.7445511034989618E-2</v>
      </c>
    </row>
    <row r="33" spans="2:8" ht="15" customHeight="1" x14ac:dyDescent="0.3">
      <c r="B33" s="1" t="s">
        <v>476</v>
      </c>
      <c r="C33" s="38">
        <f>'5. Forecast (5Yr)'!C33</f>
        <v>7166.2143749999959</v>
      </c>
      <c r="D33" s="38">
        <f>'5. Forecast (5Yr)'!D33</f>
        <v>10874.391516250005</v>
      </c>
      <c r="E33" s="38">
        <f>'5. Forecast (5Yr)'!E33</f>
        <v>15210.478883939322</v>
      </c>
      <c r="F33" s="38">
        <f>'5. Forecast (5Yr)'!F33</f>
        <v>20267.348719411784</v>
      </c>
      <c r="G33" s="38">
        <f>'5. Forecast (5Yr)'!G33</f>
        <v>26151.194938523251</v>
      </c>
      <c r="H33" s="66">
        <f>'5. Forecast (5Yr)'!H33</f>
        <v>0.38213490692858554</v>
      </c>
    </row>
    <row r="34" spans="2:8" ht="15" customHeight="1" x14ac:dyDescent="0.3">
      <c r="B34" s="1" t="s">
        <v>229</v>
      </c>
      <c r="C34" s="64">
        <f>'5. Forecast (5Yr)'!C34</f>
        <v>0.18238942307883488</v>
      </c>
      <c r="D34" s="64">
        <f>'5. Forecast (5Yr)'!D34</f>
        <v>0.2443516538472206</v>
      </c>
      <c r="E34" s="64">
        <f>'5. Forecast (5Yr)'!E34</f>
        <v>0.3016316131127873</v>
      </c>
      <c r="F34" s="64">
        <f>'5. Forecast (5Yr)'!F34</f>
        <v>0.35455834563313365</v>
      </c>
      <c r="G34" s="64">
        <f>'5. Forecast (5Yr)'!G34</f>
        <v>0.40344238644744285</v>
      </c>
      <c r="H34" s="66">
        <f>'5. Forecast (5Yr)'!H34</f>
        <v>0</v>
      </c>
    </row>
    <row r="35" spans="2:8" ht="15" customHeight="1" x14ac:dyDescent="0.3">
      <c r="B35" s="1" t="s">
        <v>308</v>
      </c>
      <c r="C35" s="47">
        <f>'5. Forecast (5Yr)'!C35</f>
        <v>21416.346666666668</v>
      </c>
      <c r="D35" s="47">
        <f>'5. Forecast (5Yr)'!D35</f>
        <v>20952.429193925236</v>
      </c>
      <c r="E35" s="47">
        <f>'5. Forecast (5Yr)'!E35</f>
        <v>20506.511612108588</v>
      </c>
      <c r="F35" s="47">
        <f>'5. Forecast (5Yr)'!F35</f>
        <v>20078.146803737058</v>
      </c>
      <c r="G35" s="47">
        <f>'5. Forecast (5Yr)'!G35</f>
        <v>19666.905768630375</v>
      </c>
      <c r="H35" s="66">
        <f>'5. Forecast (5Yr)'!H35</f>
        <v>0</v>
      </c>
    </row>
    <row r="36" spans="2:8" ht="15" customHeight="1" x14ac:dyDescent="0.3">
      <c r="B36" s="1" t="s">
        <v>310</v>
      </c>
      <c r="C36" s="47">
        <f>'5. Forecast (5Yr)'!C36</f>
        <v>26193.822916666668</v>
      </c>
      <c r="D36" s="47">
        <f>'5. Forecast (5Yr)'!D36</f>
        <v>27727.751010903434</v>
      </c>
      <c r="E36" s="47">
        <f>'5. Forecast (5Yr)'!E36</f>
        <v>29363.459167318251</v>
      </c>
      <c r="F36" s="47">
        <f>'5. Forecast (5Yr)'!F36</f>
        <v>31107.609290311972</v>
      </c>
      <c r="G36" s="47">
        <f>'5. Forecast (5Yr)'!G36</f>
        <v>32967.320040577615</v>
      </c>
      <c r="H36" s="66">
        <f>'5. Forecast (5Yr)'!H36</f>
        <v>0</v>
      </c>
    </row>
  </sheetData>
  <mergeCells count="49">
    <mergeCell ref="B2:I3"/>
    <mergeCell ref="D14:E14"/>
    <mergeCell ref="F14:G14"/>
    <mergeCell ref="B26:C26"/>
    <mergeCell ref="D26:E26"/>
    <mergeCell ref="H26:I26"/>
    <mergeCell ref="F17:G17"/>
    <mergeCell ref="H17:I17"/>
    <mergeCell ref="B4:I5"/>
    <mergeCell ref="B13:C13"/>
    <mergeCell ref="H11:I11"/>
    <mergeCell ref="B10:C10"/>
    <mergeCell ref="D11:E11"/>
    <mergeCell ref="D13:E13"/>
    <mergeCell ref="F18:G18"/>
    <mergeCell ref="B14:C14"/>
    <mergeCell ref="B7:D7"/>
    <mergeCell ref="H13:I13"/>
    <mergeCell ref="H22:I22"/>
    <mergeCell ref="H14:I14"/>
    <mergeCell ref="B9:I9"/>
    <mergeCell ref="E7:I7"/>
    <mergeCell ref="B20:I20"/>
    <mergeCell ref="H18:I18"/>
    <mergeCell ref="D17:E17"/>
    <mergeCell ref="F10:G10"/>
    <mergeCell ref="B28:I28"/>
    <mergeCell ref="F22:G22"/>
    <mergeCell ref="F13:G13"/>
    <mergeCell ref="D18:E18"/>
    <mergeCell ref="D25:E25"/>
    <mergeCell ref="B24:I24"/>
    <mergeCell ref="F26:G26"/>
    <mergeCell ref="H10:I10"/>
    <mergeCell ref="B16:I16"/>
    <mergeCell ref="F25:G25"/>
    <mergeCell ref="B22:C22"/>
    <mergeCell ref="D22:E22"/>
    <mergeCell ref="B18:C18"/>
    <mergeCell ref="D21:E21"/>
    <mergeCell ref="F21:G21"/>
    <mergeCell ref="H25:I25"/>
    <mergeCell ref="B21:C21"/>
    <mergeCell ref="H21:I21"/>
    <mergeCell ref="B11:C11"/>
    <mergeCell ref="B17:C17"/>
    <mergeCell ref="F11:G11"/>
    <mergeCell ref="D10:E10"/>
    <mergeCell ref="B25:C2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34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36" customWidth="1"/>
    <col min="3" max="6" width="18" customWidth="1"/>
    <col min="7" max="7" width="25" customWidth="1"/>
    <col min="8" max="8" width="3" customWidth="1"/>
  </cols>
  <sheetData>
    <row r="2" spans="2:7" ht="27.75" customHeight="1" x14ac:dyDescent="0.3">
      <c r="B2" s="98" t="s">
        <v>477</v>
      </c>
      <c r="C2" s="84"/>
      <c r="D2" s="84"/>
      <c r="E2" s="84"/>
      <c r="F2" s="84"/>
      <c r="G2" s="84"/>
    </row>
    <row r="3" spans="2:7" ht="19.5" customHeight="1" x14ac:dyDescent="0.3">
      <c r="B3" s="91" t="s">
        <v>478</v>
      </c>
      <c r="C3" s="84"/>
      <c r="D3" s="84"/>
      <c r="E3" s="84"/>
      <c r="F3" s="84"/>
      <c r="G3" s="84"/>
    </row>
    <row r="5" spans="2:7" ht="21.75" customHeight="1" x14ac:dyDescent="0.3">
      <c r="B5" s="11" t="s">
        <v>466</v>
      </c>
      <c r="C5" s="11" t="s">
        <v>61</v>
      </c>
      <c r="D5" s="11" t="s">
        <v>62</v>
      </c>
      <c r="E5" s="11" t="s">
        <v>63</v>
      </c>
      <c r="F5" s="12" t="s">
        <v>64</v>
      </c>
      <c r="G5" s="11" t="s">
        <v>479</v>
      </c>
    </row>
    <row r="7" spans="2:7" ht="19.5" customHeight="1" x14ac:dyDescent="0.3">
      <c r="B7" s="92" t="s">
        <v>480</v>
      </c>
      <c r="C7" s="84"/>
      <c r="D7" s="84"/>
      <c r="E7" s="84"/>
      <c r="F7" s="84"/>
      <c r="G7" s="84"/>
    </row>
    <row r="8" spans="2:7" ht="15" customHeight="1" x14ac:dyDescent="0.3">
      <c r="B8" s="4" t="s">
        <v>481</v>
      </c>
      <c r="C8" s="38">
        <f>'2. Assumptions'!C22</f>
        <v>1250</v>
      </c>
      <c r="D8" s="67">
        <f>'2. Assumptions'!D22</f>
        <v>1500</v>
      </c>
      <c r="E8" s="68">
        <f>'2. Assumptions'!E22</f>
        <v>950</v>
      </c>
      <c r="F8" s="69">
        <f>'2. Assumptions'!F22</f>
        <v>1500</v>
      </c>
      <c r="G8" s="43" t="s">
        <v>482</v>
      </c>
    </row>
    <row r="9" spans="2:7" ht="15" customHeight="1" x14ac:dyDescent="0.3">
      <c r="B9" s="4" t="s">
        <v>483</v>
      </c>
      <c r="C9" s="38">
        <f>'2. Assumptions'!C21</f>
        <v>185</v>
      </c>
      <c r="D9" s="67">
        <f>'2. Assumptions'!D21</f>
        <v>210</v>
      </c>
      <c r="E9" s="68">
        <f>'2. Assumptions'!E21</f>
        <v>150</v>
      </c>
      <c r="F9" s="69">
        <f>'2. Assumptions'!F21</f>
        <v>210</v>
      </c>
      <c r="G9" s="43" t="s">
        <v>484</v>
      </c>
    </row>
    <row r="10" spans="2:7" ht="15" customHeight="1" x14ac:dyDescent="0.3">
      <c r="B10" s="4" t="s">
        <v>485</v>
      </c>
      <c r="C10" s="64">
        <f>'2. Assumptions'!C25</f>
        <v>0.55000000000000004</v>
      </c>
      <c r="D10" s="70">
        <f>'2. Assumptions'!D25</f>
        <v>0.65</v>
      </c>
      <c r="E10" s="71">
        <f>'2. Assumptions'!E25</f>
        <v>0.45</v>
      </c>
      <c r="F10" s="72">
        <f>'2. Assumptions'!F25</f>
        <v>0.65</v>
      </c>
      <c r="G10" s="43" t="s">
        <v>486</v>
      </c>
    </row>
    <row r="11" spans="2:7" ht="15" customHeight="1" x14ac:dyDescent="0.3">
      <c r="B11" s="4" t="s">
        <v>487</v>
      </c>
      <c r="C11" s="47">
        <f>'2. Assumptions'!C23</f>
        <v>18500</v>
      </c>
      <c r="D11" s="73">
        <f>'2. Assumptions'!D23</f>
        <v>22000</v>
      </c>
      <c r="E11" s="74">
        <f>'2. Assumptions'!E23</f>
        <v>15000</v>
      </c>
      <c r="F11" s="75">
        <f>'2. Assumptions'!F23</f>
        <v>22000</v>
      </c>
      <c r="G11" s="43" t="s">
        <v>488</v>
      </c>
    </row>
    <row r="12" spans="2:7" ht="15" customHeight="1" x14ac:dyDescent="0.3">
      <c r="B12" s="4" t="s">
        <v>489</v>
      </c>
      <c r="C12" s="47">
        <f>'2. Assumptions'!C24</f>
        <v>12000</v>
      </c>
      <c r="D12" s="73">
        <f>'2. Assumptions'!D24</f>
        <v>13500</v>
      </c>
      <c r="E12" s="74">
        <f>'2. Assumptions'!E24</f>
        <v>10500</v>
      </c>
      <c r="F12" s="75">
        <f>'2. Assumptions'!F24</f>
        <v>13500</v>
      </c>
      <c r="G12" s="43" t="s">
        <v>490</v>
      </c>
    </row>
    <row r="13" spans="2:7" ht="15" customHeight="1" x14ac:dyDescent="0.3">
      <c r="B13" s="4" t="s">
        <v>491</v>
      </c>
      <c r="C13" s="64">
        <f>'2. Assumptions'!C60</f>
        <v>0.04</v>
      </c>
      <c r="D13" s="70">
        <f>'2. Assumptions'!D60</f>
        <v>7.0000000000000007E-2</v>
      </c>
      <c r="E13" s="71">
        <f>'2. Assumptions'!E60</f>
        <v>0.01</v>
      </c>
      <c r="F13" s="72">
        <f>'2. Assumptions'!F60</f>
        <v>7.0000000000000007E-2</v>
      </c>
      <c r="G13" s="43" t="s">
        <v>492</v>
      </c>
    </row>
    <row r="14" spans="2:7" ht="15" customHeight="1" x14ac:dyDescent="0.3">
      <c r="B14" s="4" t="s">
        <v>493</v>
      </c>
      <c r="C14" s="64">
        <f>'2. Assumptions'!C62</f>
        <v>0.02</v>
      </c>
      <c r="D14" s="70">
        <f>'2. Assumptions'!D62</f>
        <v>0.04</v>
      </c>
      <c r="E14" s="71">
        <f>'2. Assumptions'!E62</f>
        <v>-0.02</v>
      </c>
      <c r="F14" s="72">
        <f>'2. Assumptions'!F62</f>
        <v>0.04</v>
      </c>
      <c r="G14" s="43" t="s">
        <v>494</v>
      </c>
    </row>
    <row r="15" spans="2:7" ht="15" customHeight="1" x14ac:dyDescent="0.3">
      <c r="B15" s="4" t="s">
        <v>495</v>
      </c>
      <c r="C15" s="38">
        <f>'2. Assumptions'!C54</f>
        <v>165</v>
      </c>
      <c r="D15" s="67">
        <f>'2. Assumptions'!D54</f>
        <v>140</v>
      </c>
      <c r="E15" s="68">
        <f>'2. Assumptions'!E54</f>
        <v>200</v>
      </c>
      <c r="F15" s="69">
        <f>'2. Assumptions'!F54</f>
        <v>140</v>
      </c>
      <c r="G15" s="43" t="s">
        <v>496</v>
      </c>
    </row>
    <row r="16" spans="2:7" ht="15" customHeight="1" x14ac:dyDescent="0.3">
      <c r="B16" s="4" t="s">
        <v>497</v>
      </c>
      <c r="C16" s="64">
        <f>'2. Assumptions'!C47</f>
        <v>0.625</v>
      </c>
      <c r="D16" s="70">
        <f>'2. Assumptions'!D47</f>
        <v>0.625</v>
      </c>
      <c r="E16" s="71">
        <f>'2. Assumptions'!E47</f>
        <v>0.58499999999999996</v>
      </c>
      <c r="F16" s="72">
        <f>'2. Assumptions'!F47</f>
        <v>0.625</v>
      </c>
      <c r="G16" s="43" t="s">
        <v>498</v>
      </c>
    </row>
    <row r="17" spans="2:7" ht="15" customHeight="1" x14ac:dyDescent="0.3">
      <c r="B17" s="4" t="s">
        <v>128</v>
      </c>
      <c r="C17" s="64">
        <f>'2. Assumptions'!C48</f>
        <v>0.3</v>
      </c>
      <c r="D17" s="70">
        <f>'2. Assumptions'!D48</f>
        <v>0.32</v>
      </c>
      <c r="E17" s="71">
        <f>'2. Assumptions'!E48</f>
        <v>0.28000000000000003</v>
      </c>
      <c r="F17" s="72">
        <f>'2. Assumptions'!F48</f>
        <v>0.32</v>
      </c>
      <c r="G17" s="43" t="s">
        <v>499</v>
      </c>
    </row>
    <row r="19" spans="2:7" ht="19.5" customHeight="1" x14ac:dyDescent="0.3">
      <c r="B19" s="92" t="s">
        <v>500</v>
      </c>
      <c r="C19" s="84"/>
      <c r="D19" s="84"/>
      <c r="E19" s="84"/>
      <c r="F19" s="84"/>
      <c r="G19" s="84"/>
    </row>
    <row r="20" spans="2:7" ht="15" customHeight="1" x14ac:dyDescent="0.3">
      <c r="B20" s="1" t="s">
        <v>501</v>
      </c>
      <c r="C20" s="109" t="s">
        <v>502</v>
      </c>
      <c r="D20" s="86"/>
      <c r="E20" s="86"/>
      <c r="F20" s="76">
        <f>'4. Program P&amp;L'!E13</f>
        <v>36189.199999999997</v>
      </c>
      <c r="G20" s="37"/>
    </row>
    <row r="21" spans="2:7" ht="15" customHeight="1" x14ac:dyDescent="0.3">
      <c r="B21" s="1" t="s">
        <v>503</v>
      </c>
      <c r="C21" s="109" t="s">
        <v>502</v>
      </c>
      <c r="D21" s="86"/>
      <c r="E21" s="86"/>
      <c r="F21" s="76">
        <f>'4. Program P&amp;L'!E28</f>
        <v>33004.948550000001</v>
      </c>
      <c r="G21" s="37"/>
    </row>
    <row r="22" spans="2:7" ht="15" customHeight="1" x14ac:dyDescent="0.3">
      <c r="B22" s="1" t="s">
        <v>504</v>
      </c>
      <c r="C22" s="109" t="s">
        <v>502</v>
      </c>
      <c r="D22" s="86"/>
      <c r="E22" s="86"/>
      <c r="F22" s="76">
        <f>'4. Program P&amp;L'!E31</f>
        <v>3184.2514499999961</v>
      </c>
      <c r="G22" s="37"/>
    </row>
    <row r="23" spans="2:7" ht="15" customHeight="1" x14ac:dyDescent="0.3">
      <c r="B23" s="1" t="s">
        <v>505</v>
      </c>
      <c r="C23" s="109" t="s">
        <v>502</v>
      </c>
      <c r="D23" s="86"/>
      <c r="E23" s="86"/>
      <c r="F23" s="36">
        <f>'4. Program P&amp;L'!E32</f>
        <v>8.7988998098880222E-2</v>
      </c>
      <c r="G23" s="37"/>
    </row>
    <row r="24" spans="2:7" ht="15" customHeight="1" x14ac:dyDescent="0.3">
      <c r="B24" s="1" t="s">
        <v>506</v>
      </c>
      <c r="C24" s="109" t="s">
        <v>502</v>
      </c>
      <c r="D24" s="86"/>
      <c r="E24" s="86"/>
      <c r="F24" s="76">
        <f>'5. Forecast (5Yr)'!G21</f>
        <v>64820.147354373272</v>
      </c>
      <c r="G24" s="37"/>
    </row>
    <row r="25" spans="2:7" ht="15" customHeight="1" x14ac:dyDescent="0.3">
      <c r="B25" s="1" t="s">
        <v>507</v>
      </c>
      <c r="C25" s="109" t="s">
        <v>502</v>
      </c>
      <c r="D25" s="86"/>
      <c r="E25" s="86"/>
      <c r="F25" s="36">
        <f>'5. Forecast (5Yr)'!G34</f>
        <v>0.40344238644744285</v>
      </c>
      <c r="G25" s="37"/>
    </row>
    <row r="26" spans="2:7" ht="15" customHeight="1" x14ac:dyDescent="0.3">
      <c r="B26" s="1" t="s">
        <v>508</v>
      </c>
      <c r="C26" s="109" t="s">
        <v>502</v>
      </c>
      <c r="D26" s="86"/>
      <c r="E26" s="86"/>
      <c r="F26" s="36">
        <f>'5. Forecast (5Yr)'!H21</f>
        <v>0.13332629950370678</v>
      </c>
      <c r="G26" s="37"/>
    </row>
    <row r="27" spans="2:7" ht="15" customHeight="1" x14ac:dyDescent="0.3">
      <c r="B27" s="1" t="s">
        <v>509</v>
      </c>
      <c r="C27" s="109" t="s">
        <v>502</v>
      </c>
      <c r="D27" s="86"/>
      <c r="E27" s="86"/>
      <c r="F27" s="36">
        <f>'5. Forecast (5Yr)'!H33</f>
        <v>0.38213490692858554</v>
      </c>
      <c r="G27" s="37"/>
    </row>
    <row r="28" spans="2:7" ht="15" customHeight="1" x14ac:dyDescent="0.3">
      <c r="B28" s="1" t="s">
        <v>510</v>
      </c>
      <c r="C28" s="109" t="s">
        <v>502</v>
      </c>
      <c r="D28" s="86"/>
      <c r="E28" s="86"/>
      <c r="F28" s="51">
        <f>'5. Forecast (5Yr)'!C35</f>
        <v>21416.346666666668</v>
      </c>
      <c r="G28" s="37"/>
    </row>
    <row r="29" spans="2:7" ht="15" customHeight="1" x14ac:dyDescent="0.3">
      <c r="B29" s="1" t="s">
        <v>511</v>
      </c>
      <c r="C29" s="109" t="s">
        <v>502</v>
      </c>
      <c r="D29" s="86"/>
      <c r="E29" s="86"/>
      <c r="F29" s="76">
        <f>'7. Grant F&amp;A'!F14</f>
        <v>9701.5874999999996</v>
      </c>
      <c r="G29" s="37"/>
    </row>
    <row r="31" spans="2:7" ht="19.5" customHeight="1" x14ac:dyDescent="0.3">
      <c r="B31" s="92" t="s">
        <v>512</v>
      </c>
      <c r="C31" s="84"/>
      <c r="D31" s="84"/>
      <c r="E31" s="84"/>
      <c r="F31" s="84"/>
      <c r="G31" s="84"/>
    </row>
    <row r="32" spans="2:7" ht="42" customHeight="1" x14ac:dyDescent="0.3">
      <c r="B32" s="45" t="s">
        <v>513</v>
      </c>
      <c r="C32" s="110" t="s">
        <v>514</v>
      </c>
      <c r="D32" s="86"/>
      <c r="E32" s="86"/>
      <c r="F32" s="86"/>
      <c r="G32" s="86"/>
    </row>
    <row r="33" spans="2:7" ht="42" customHeight="1" x14ac:dyDescent="0.3">
      <c r="B33" s="77" t="s">
        <v>515</v>
      </c>
      <c r="C33" s="110" t="s">
        <v>516</v>
      </c>
      <c r="D33" s="86"/>
      <c r="E33" s="86"/>
      <c r="F33" s="86"/>
      <c r="G33" s="86"/>
    </row>
    <row r="34" spans="2:7" ht="42" customHeight="1" x14ac:dyDescent="0.3">
      <c r="B34" s="78" t="s">
        <v>517</v>
      </c>
      <c r="C34" s="110" t="s">
        <v>518</v>
      </c>
      <c r="D34" s="86"/>
      <c r="E34" s="86"/>
      <c r="F34" s="86"/>
      <c r="G34" s="86"/>
    </row>
  </sheetData>
  <mergeCells count="18">
    <mergeCell ref="B3:G3"/>
    <mergeCell ref="B2:G2"/>
    <mergeCell ref="B19:G19"/>
    <mergeCell ref="C22:E22"/>
    <mergeCell ref="B7:G7"/>
    <mergeCell ref="C21:E21"/>
    <mergeCell ref="C20:E20"/>
    <mergeCell ref="C28:E28"/>
    <mergeCell ref="C34:G34"/>
    <mergeCell ref="C27:E27"/>
    <mergeCell ref="C32:G32"/>
    <mergeCell ref="C23:E23"/>
    <mergeCell ref="B31:G31"/>
    <mergeCell ref="C33:G33"/>
    <mergeCell ref="C26:E26"/>
    <mergeCell ref="C29:E29"/>
    <mergeCell ref="C25:E25"/>
    <mergeCell ref="C24:E2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34"/>
  <sheetViews>
    <sheetView showGridLines="0" topLeftCell="A8" zoomScaleNormal="100" workbookViewId="0">
      <selection activeCell="E7" sqref="E7:H7"/>
    </sheetView>
  </sheetViews>
  <sheetFormatPr defaultColWidth="8.6640625" defaultRowHeight="14.4" x14ac:dyDescent="0.3"/>
  <cols>
    <col min="1" max="1" width="3" customWidth="1"/>
    <col min="2" max="2" width="36" customWidth="1"/>
    <col min="3" max="8" width="18" customWidth="1"/>
    <col min="9" max="9" width="3" customWidth="1"/>
  </cols>
  <sheetData>
    <row r="2" spans="2:8" ht="30" customHeight="1" x14ac:dyDescent="0.3">
      <c r="B2" s="83" t="s">
        <v>519</v>
      </c>
      <c r="C2" s="84"/>
      <c r="D2" s="84"/>
      <c r="E2" s="84"/>
      <c r="F2" s="84"/>
      <c r="G2" s="84"/>
      <c r="H2" s="84"/>
    </row>
    <row r="3" spans="2:8" ht="30" customHeight="1" x14ac:dyDescent="0.3">
      <c r="B3" s="84"/>
      <c r="C3" s="84"/>
      <c r="D3" s="84"/>
      <c r="E3" s="84"/>
      <c r="F3" s="84"/>
      <c r="G3" s="84"/>
      <c r="H3" s="84"/>
    </row>
    <row r="4" spans="2:8" ht="21.75" customHeight="1" x14ac:dyDescent="0.3">
      <c r="B4" s="91" t="s">
        <v>520</v>
      </c>
      <c r="C4" s="84"/>
      <c r="D4" s="84"/>
      <c r="E4" s="84"/>
      <c r="F4" s="84"/>
      <c r="G4" s="84"/>
      <c r="H4" s="84"/>
    </row>
    <row r="5" spans="2:8" ht="21.75" customHeight="1" x14ac:dyDescent="0.3">
      <c r="B5" s="84"/>
      <c r="C5" s="84"/>
      <c r="D5" s="84"/>
      <c r="E5" s="84"/>
      <c r="F5" s="84"/>
      <c r="G5" s="84"/>
      <c r="H5" s="84"/>
    </row>
    <row r="7" spans="2:8" ht="25.5" customHeight="1" x14ac:dyDescent="0.3">
      <c r="B7" s="111" t="s">
        <v>440</v>
      </c>
      <c r="C7" s="112"/>
      <c r="D7" s="112"/>
      <c r="E7" s="96" t="str">
        <f>'2. Assumptions'!D6</f>
        <v>UPSIDE CASE</v>
      </c>
      <c r="F7" s="86"/>
      <c r="G7" s="86"/>
      <c r="H7" s="86"/>
    </row>
    <row r="9" spans="2:8" ht="19.5" customHeight="1" x14ac:dyDescent="0.3">
      <c r="B9" s="92" t="s">
        <v>521</v>
      </c>
      <c r="C9" s="84"/>
      <c r="D9" s="84"/>
      <c r="E9" s="84"/>
      <c r="F9" s="84"/>
      <c r="G9" s="84"/>
      <c r="H9" s="84"/>
    </row>
    <row r="10" spans="2:8" ht="27.75" customHeight="1" x14ac:dyDescent="0.3">
      <c r="B10" s="88" t="s">
        <v>522</v>
      </c>
      <c r="C10" s="89"/>
      <c r="D10" s="89"/>
      <c r="E10" s="89"/>
      <c r="F10" s="89"/>
      <c r="G10" s="89"/>
      <c r="H10" s="89"/>
    </row>
    <row r="11" spans="2:8" ht="27.75" customHeight="1" x14ac:dyDescent="0.3">
      <c r="B11" s="90"/>
      <c r="C11" s="84"/>
      <c r="D11" s="84"/>
      <c r="E11" s="84"/>
      <c r="F11" s="84"/>
      <c r="G11" s="84"/>
      <c r="H11" s="84"/>
    </row>
    <row r="12" spans="2:8" ht="27.75" customHeight="1" x14ac:dyDescent="0.3">
      <c r="B12" s="90"/>
      <c r="C12" s="84"/>
      <c r="D12" s="84"/>
      <c r="E12" s="84"/>
      <c r="F12" s="84"/>
      <c r="G12" s="84"/>
      <c r="H12" s="84"/>
    </row>
    <row r="13" spans="2:8" ht="27.75" customHeight="1" x14ac:dyDescent="0.3">
      <c r="B13" s="90"/>
      <c r="C13" s="84"/>
      <c r="D13" s="84"/>
      <c r="E13" s="84"/>
      <c r="F13" s="84"/>
      <c r="G13" s="84"/>
      <c r="H13" s="84"/>
    </row>
    <row r="15" spans="2:8" ht="19.5" customHeight="1" x14ac:dyDescent="0.3">
      <c r="B15" s="92" t="s">
        <v>523</v>
      </c>
      <c r="C15" s="84"/>
      <c r="D15" s="84"/>
      <c r="E15" s="84"/>
      <c r="F15" s="84"/>
      <c r="G15" s="84"/>
      <c r="H15" s="84"/>
    </row>
    <row r="16" spans="2:8" ht="21.75" customHeight="1" x14ac:dyDescent="0.3">
      <c r="B16" s="11" t="s">
        <v>524</v>
      </c>
      <c r="C16" s="11" t="s">
        <v>525</v>
      </c>
      <c r="D16" s="11" t="s">
        <v>526</v>
      </c>
      <c r="E16" s="11" t="s">
        <v>527</v>
      </c>
      <c r="F16" s="87" t="s">
        <v>237</v>
      </c>
      <c r="G16" s="86"/>
      <c r="H16" s="86"/>
    </row>
    <row r="17" spans="2:8" ht="15" customHeight="1" x14ac:dyDescent="0.3">
      <c r="B17" s="1" t="s">
        <v>528</v>
      </c>
      <c r="C17" s="64">
        <f>'2. Assumptions'!F70</f>
        <v>0.08</v>
      </c>
      <c r="D17" s="64">
        <f>'4. Program P&amp;L'!E32</f>
        <v>8.7988998098880222E-2</v>
      </c>
      <c r="E17" s="54" t="str">
        <f>IF('4. Program P&amp;L'!E32&gt;='2. Assumptions'!F70,"PASS","FAIL")</f>
        <v>PASS</v>
      </c>
      <c r="F17" s="85" t="s">
        <v>529</v>
      </c>
      <c r="G17" s="86"/>
      <c r="H17" s="86"/>
    </row>
    <row r="18" spans="2:8" ht="15" customHeight="1" x14ac:dyDescent="0.3">
      <c r="B18" s="1" t="s">
        <v>530</v>
      </c>
      <c r="C18" s="47">
        <f>'2. Assumptions'!F71</f>
        <v>14000</v>
      </c>
      <c r="D18" s="47">
        <f>'5. Forecast (5Yr)'!C35</f>
        <v>21416.346666666668</v>
      </c>
      <c r="E18" s="54" t="str">
        <f>IF('5. Forecast (5Yr)'!C35&lt;='2. Assumptions'!F71,"PASS","FAIL")</f>
        <v>FAIL</v>
      </c>
      <c r="F18" s="85" t="s">
        <v>496</v>
      </c>
      <c r="G18" s="86"/>
      <c r="H18" s="86"/>
    </row>
    <row r="19" spans="2:8" ht="15" customHeight="1" x14ac:dyDescent="0.3">
      <c r="B19" s="1" t="s">
        <v>531</v>
      </c>
      <c r="C19" s="38">
        <f>'2. Assumptions'!F72</f>
        <v>150</v>
      </c>
      <c r="D19" s="38">
        <f>'2. Assumptions'!F54</f>
        <v>140</v>
      </c>
      <c r="E19" s="54" t="str">
        <f>IF('2. Assumptions'!F54&lt;='2. Assumptions'!F72,"PASS","FAIL")</f>
        <v>PASS</v>
      </c>
      <c r="F19" s="85" t="s">
        <v>532</v>
      </c>
      <c r="G19" s="86"/>
      <c r="H19" s="86"/>
    </row>
    <row r="20" spans="2:8" ht="15" customHeight="1" x14ac:dyDescent="0.3">
      <c r="B20" s="1" t="s">
        <v>533</v>
      </c>
      <c r="C20" s="79">
        <v>0.04</v>
      </c>
      <c r="D20" s="64">
        <f>'5. Forecast (5Yr)'!H21</f>
        <v>0.13332629950370678</v>
      </c>
      <c r="E20" s="54" t="str">
        <f>IF('5. Forecast (5Yr)'!H21&gt;=0.04,"PASS","FAIL")</f>
        <v>PASS</v>
      </c>
      <c r="F20" s="85" t="s">
        <v>534</v>
      </c>
      <c r="G20" s="86"/>
      <c r="H20" s="86"/>
    </row>
    <row r="21" spans="2:8" ht="15" customHeight="1" x14ac:dyDescent="0.3">
      <c r="B21" s="1" t="s">
        <v>485</v>
      </c>
      <c r="C21" s="79">
        <v>0.5</v>
      </c>
      <c r="D21" s="64">
        <f>'2. Assumptions'!F25</f>
        <v>0.65</v>
      </c>
      <c r="E21" s="54" t="str">
        <f>IF('2. Assumptions'!F25&gt;=0.5,"PASS","FAIL")</f>
        <v>PASS</v>
      </c>
      <c r="F21" s="85" t="s">
        <v>535</v>
      </c>
      <c r="G21" s="86"/>
      <c r="H21" s="86"/>
    </row>
    <row r="22" spans="2:8" ht="15" customHeight="1" x14ac:dyDescent="0.3">
      <c r="B22" s="1" t="s">
        <v>497</v>
      </c>
      <c r="C22" s="79">
        <v>0.55000000000000004</v>
      </c>
      <c r="D22" s="64">
        <f>'2. Assumptions'!F47</f>
        <v>0.625</v>
      </c>
      <c r="E22" s="54" t="str">
        <f>IF('2. Assumptions'!F47&gt;=0.55,"PASS","FAIL")</f>
        <v>PASS</v>
      </c>
      <c r="F22" s="85" t="s">
        <v>536</v>
      </c>
      <c r="G22" s="86"/>
      <c r="H22" s="86"/>
    </row>
    <row r="24" spans="2:8" ht="19.5" customHeight="1" x14ac:dyDescent="0.3">
      <c r="B24" s="92" t="s">
        <v>537</v>
      </c>
      <c r="C24" s="84"/>
      <c r="D24" s="84"/>
      <c r="E24" s="84"/>
      <c r="F24" s="84"/>
      <c r="G24" s="84"/>
      <c r="H24" s="84"/>
    </row>
    <row r="25" spans="2:8" ht="21.75" customHeight="1" x14ac:dyDescent="0.3">
      <c r="B25" s="11" t="s">
        <v>538</v>
      </c>
      <c r="C25" s="11" t="s">
        <v>539</v>
      </c>
      <c r="D25" s="11" t="s">
        <v>540</v>
      </c>
      <c r="E25" s="87" t="s">
        <v>541</v>
      </c>
      <c r="F25" s="86"/>
      <c r="G25" s="86"/>
      <c r="H25" s="86"/>
    </row>
    <row r="26" spans="2:8" ht="15" customHeight="1" x14ac:dyDescent="0.3">
      <c r="B26" s="4" t="s">
        <v>542</v>
      </c>
      <c r="C26" s="80" t="s">
        <v>543</v>
      </c>
      <c r="D26" s="81" t="s">
        <v>544</v>
      </c>
      <c r="E26" s="93" t="s">
        <v>545</v>
      </c>
      <c r="F26" s="86"/>
      <c r="G26" s="86"/>
      <c r="H26" s="86"/>
    </row>
    <row r="27" spans="2:8" ht="15" customHeight="1" x14ac:dyDescent="0.3">
      <c r="B27" s="4" t="s">
        <v>546</v>
      </c>
      <c r="C27" s="80" t="s">
        <v>543</v>
      </c>
      <c r="D27" s="80" t="s">
        <v>543</v>
      </c>
      <c r="E27" s="93" t="s">
        <v>547</v>
      </c>
      <c r="F27" s="86"/>
      <c r="G27" s="86"/>
      <c r="H27" s="86"/>
    </row>
    <row r="28" spans="2:8" ht="15" customHeight="1" x14ac:dyDescent="0.3">
      <c r="B28" s="4" t="s">
        <v>548</v>
      </c>
      <c r="C28" s="82" t="s">
        <v>549</v>
      </c>
      <c r="D28" s="80" t="s">
        <v>543</v>
      </c>
      <c r="E28" s="93" t="s">
        <v>550</v>
      </c>
      <c r="F28" s="86"/>
      <c r="G28" s="86"/>
      <c r="H28" s="86"/>
    </row>
    <row r="29" spans="2:8" ht="15" customHeight="1" x14ac:dyDescent="0.3">
      <c r="B29" s="4" t="s">
        <v>551</v>
      </c>
      <c r="C29" s="82" t="s">
        <v>549</v>
      </c>
      <c r="D29" s="80" t="s">
        <v>543</v>
      </c>
      <c r="E29" s="93" t="s">
        <v>552</v>
      </c>
      <c r="F29" s="86"/>
      <c r="G29" s="86"/>
      <c r="H29" s="86"/>
    </row>
    <row r="30" spans="2:8" ht="15" customHeight="1" x14ac:dyDescent="0.3">
      <c r="B30" s="4" t="s">
        <v>553</v>
      </c>
      <c r="C30" s="80" t="s">
        <v>543</v>
      </c>
      <c r="D30" s="81" t="s">
        <v>544</v>
      </c>
      <c r="E30" s="93" t="s">
        <v>554</v>
      </c>
      <c r="F30" s="86"/>
      <c r="G30" s="86"/>
      <c r="H30" s="86"/>
    </row>
    <row r="31" spans="2:8" ht="15" customHeight="1" x14ac:dyDescent="0.3">
      <c r="B31" s="4" t="s">
        <v>555</v>
      </c>
      <c r="C31" s="80" t="s">
        <v>543</v>
      </c>
      <c r="D31" s="82" t="s">
        <v>549</v>
      </c>
      <c r="E31" s="93" t="s">
        <v>556</v>
      </c>
      <c r="F31" s="86"/>
      <c r="G31" s="86"/>
      <c r="H31" s="86"/>
    </row>
    <row r="33" spans="2:8" ht="21.75" customHeight="1" x14ac:dyDescent="0.3">
      <c r="B33" s="94" t="s">
        <v>557</v>
      </c>
      <c r="C33" s="89"/>
      <c r="D33" s="89"/>
      <c r="E33" s="89"/>
      <c r="F33" s="89"/>
      <c r="G33" s="89"/>
      <c r="H33" s="89"/>
    </row>
    <row r="34" spans="2:8" ht="21.75" customHeight="1" x14ac:dyDescent="0.3">
      <c r="B34" s="90"/>
      <c r="C34" s="84"/>
      <c r="D34" s="84"/>
      <c r="E34" s="84"/>
      <c r="F34" s="84"/>
      <c r="G34" s="84"/>
      <c r="H34" s="84"/>
    </row>
  </sheetData>
  <mergeCells count="23">
    <mergeCell ref="E29:H29"/>
    <mergeCell ref="B33:H34"/>
    <mergeCell ref="B7:D7"/>
    <mergeCell ref="E28:H28"/>
    <mergeCell ref="F16:H16"/>
    <mergeCell ref="F19:H19"/>
    <mergeCell ref="E31:H31"/>
    <mergeCell ref="E30:H30"/>
    <mergeCell ref="F21:H21"/>
    <mergeCell ref="E27:H27"/>
    <mergeCell ref="E7:H7"/>
    <mergeCell ref="B15:H15"/>
    <mergeCell ref="E26:H26"/>
    <mergeCell ref="B2:H3"/>
    <mergeCell ref="F17:H17"/>
    <mergeCell ref="E25:H25"/>
    <mergeCell ref="F22:H22"/>
    <mergeCell ref="B10:H13"/>
    <mergeCell ref="B4:H5"/>
    <mergeCell ref="F20:H20"/>
    <mergeCell ref="B9:H9"/>
    <mergeCell ref="F18:H18"/>
    <mergeCell ref="B24:H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Cover</vt:lpstr>
      <vt:lpstr>2. Assumptions</vt:lpstr>
      <vt:lpstr>3. Budget Vs. Actual</vt:lpstr>
      <vt:lpstr>4. Program P&amp;L</vt:lpstr>
      <vt:lpstr>5. Forecast (5Yr)</vt:lpstr>
      <vt:lpstr>6. Trial Decision</vt:lpstr>
      <vt:lpstr>7. Grant F&amp;A</vt:lpstr>
      <vt:lpstr>8. KPI Dashboard</vt:lpstr>
      <vt:lpstr>9. Scenarios</vt:lpstr>
      <vt:lpstr>10. IC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 Koranne</cp:lastModifiedBy>
  <cp:revision>0</cp:revision>
  <dcterms:created xsi:type="dcterms:W3CDTF">2026-04-28T05:54:11Z</dcterms:created>
  <dcterms:modified xsi:type="dcterms:W3CDTF">2026-05-04T21:31:44Z</dcterms:modified>
  <dc:language>en-US</dc:language>
</cp:coreProperties>
</file>